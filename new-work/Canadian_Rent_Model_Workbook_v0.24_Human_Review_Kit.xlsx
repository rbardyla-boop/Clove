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ables/table4.xml" ContentType="application/vnd.openxmlformats-officedocument.spreadsheetml.table+xml"/>
  <Override PartName="/xl/worksheets/sheet49.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50.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ables/table5.xml" ContentType="application/vnd.openxmlformats-officedocument.spreadsheetml.table+xml"/>
  <Override PartName="/xl/worksheets/sheet64.xml" ContentType="application/vnd.openxmlformats-officedocument.spreadsheetml.worksheet+xml"/>
  <Override PartName="/xl/tables/table6.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cb990b7e4b4b07" /></Relationships>
</file>

<file path=xl/workbook.xml><?xml version="1.0" encoding="utf-8"?>
<x:workbook xmlns:x="http://schemas.openxmlformats.org/spreadsheetml/2006/main">
  <x:sheets>
    <x:sheet xmlns:r="http://schemas.openxmlformats.org/officeDocument/2006/relationships" name="Read_Me" sheetId="1" r:id="R8f6e2e21bc9749ac"/>
    <x:sheet xmlns:r="http://schemas.openxmlformats.org/officeDocument/2006/relationships" name="Assumptions" sheetId="2" r:id="Rbfadc839f6054454"/>
    <x:sheet xmlns:r="http://schemas.openxmlformats.org/officeDocument/2006/relationships" name="Resource_Rent" sheetId="3" r:id="Ra7205277def2499a"/>
    <x:sheet xmlns:r="http://schemas.openxmlformats.org/officeDocument/2006/relationships" name="Royalty_Capture" sheetId="4" r:id="R7d7ccd63b89e4152"/>
    <x:sheet xmlns:r="http://schemas.openxmlformats.org/officeDocument/2006/relationships" name="Land_Property" sheetId="5" r:id="R8c0dec1ac2184d52"/>
    <x:sheet xmlns:r="http://schemas.openxmlformats.org/officeDocument/2006/relationships" name="Infrastructure_Gains" sheetId="6" r:id="R84a141e80e5e41f5"/>
    <x:sheet xmlns:r="http://schemas.openxmlformats.org/officeDocument/2006/relationships" name="Concentration" sheetId="7" r:id="R7f9b29fe989e4821"/>
    <x:sheet xmlns:r="http://schemas.openxmlformats.org/officeDocument/2006/relationships" name="Public_Funds" sheetId="8" r:id="R64c22eeb54ca4841"/>
    <x:sheet xmlns:r="http://schemas.openxmlformats.org/officeDocument/2006/relationships" name="SWF_Scenario" sheetId="9" r:id="R22480ae6af394aa5"/>
    <x:sheet xmlns:r="http://schemas.openxmlformats.org/officeDocument/2006/relationships" name="Sources" sheetId="10" r:id="R0526025332134e54"/>
    <x:sheet xmlns:r="http://schemas.openxmlformats.org/officeDocument/2006/relationships" name="Dashboard" sheetId="11" r:id="Re06499a83bfb4b9d"/>
    <x:sheet xmlns:r="http://schemas.openxmlformats.org/officeDocument/2006/relationships" name="Discovery_Log" sheetId="12" r:id="R3c490557011e44ae"/>
    <x:sheet xmlns:r="http://schemas.openxmlformats.org/officeDocument/2006/relationships" name="Rent_Flow_Method" sheetId="13" r:id="R03c046bb77eb4d11"/>
    <x:sheet xmlns:r="http://schemas.openxmlformats.org/officeDocument/2006/relationships" name="Liability_Ledger" sheetId="14" r:id="R5b1d2f6babf2409f"/>
    <x:sheet xmlns:r="http://schemas.openxmlformats.org/officeDocument/2006/relationships" name="Indigenous_Models" sheetId="15" r:id="R8fa646cb3da24cf8"/>
    <x:sheet xmlns:r="http://schemas.openxmlformats.org/officeDocument/2006/relationships" name="Constitution_Map" sheetId="16" r:id="R63c384436fc24c37"/>
    <x:sheet xmlns:r="http://schemas.openxmlformats.org/officeDocument/2006/relationships" name="Sector_Tests" sheetId="17" r:id="R085b39ff79244baa"/>
    <x:sheet xmlns:r="http://schemas.openxmlformats.org/officeDocument/2006/relationships" name="Closure_Security" sheetId="18" r:id="Rdbc7098ad8d44676"/>
    <x:sheet xmlns:r="http://schemas.openxmlformats.org/officeDocument/2006/relationships" name="Commodity_Rent_Bridge" sheetId="19" r:id="Raa0762d161b24e83"/>
    <x:sheet xmlns:r="http://schemas.openxmlformats.org/officeDocument/2006/relationships" name="Jurisdiction_Queue" sheetId="20" r:id="Rf55303da229f4eaf"/>
    <x:sheet xmlns:r="http://schemas.openxmlformats.org/officeDocument/2006/relationships" name="StatsCan_Vector_Map" sheetId="21" r:id="R4920c7c022bc4abe"/>
    <x:sheet xmlns:r="http://schemas.openxmlformats.org/officeDocument/2006/relationships" name="Revenue_Use" sheetId="22" r:id="R8276bcf62ea84c9e"/>
    <x:sheet xmlns:r="http://schemas.openxmlformats.org/officeDocument/2006/relationships" name="Public_Account_Recon" sheetId="23" r:id="Rd68c5c1423a84ebe"/>
    <x:sheet xmlns:r="http://schemas.openxmlformats.org/officeDocument/2006/relationships" name="Rent_Component_Vectors" sheetId="24" r:id="R0af0a5133f414870"/>
    <x:sheet xmlns:r="http://schemas.openxmlformats.org/officeDocument/2006/relationships" name="Commodity_Data_Map" sheetId="25" r:id="R4b1b64129875413f"/>
    <x:sheet xmlns:r="http://schemas.openxmlformats.org/officeDocument/2006/relationships" name="CGFS_Extraction" sheetId="26" r:id="R0b7d58710d7946f9"/>
    <x:sheet xmlns:r="http://schemas.openxmlformats.org/officeDocument/2006/relationships" name="Commodity_Diagnostics" sheetId="27" r:id="Rcfe9d6b970ef42ad"/>
    <x:sheet xmlns:r="http://schemas.openxmlformats.org/officeDocument/2006/relationships" name="CGFS_Imported_2024" sheetId="28" r:id="Rf7443ce19a0e4156"/>
    <x:sheet xmlns:r="http://schemas.openxmlformats.org/officeDocument/2006/relationships" name="CGFS_Import_Receipt" sheetId="29" r:id="Rbd7139aa86954bd3"/>
    <x:sheet xmlns:r="http://schemas.openxmlformats.org/officeDocument/2006/relationships" name="Jurisdiction_Reconciliation" sheetId="30" r:id="Re1f80d550e75424d"/>
    <x:sheet xmlns:r="http://schemas.openxmlformats.org/officeDocument/2006/relationships" name="Commodity_Output_Crosswalk" sheetId="31" r:id="R109add6b8ee24850"/>
    <x:sheet xmlns:r="http://schemas.openxmlformats.org/officeDocument/2006/relationships" name="CGFS_Rent_Components" sheetId="32" r:id="Rabb4dcd841c14212"/>
    <x:sheet xmlns:r="http://schemas.openxmlformats.org/officeDocument/2006/relationships" name="Commodity_Input_Staging" sheetId="33" r:id="R46c43cd49720410f"/>
    <x:sheet xmlns:r="http://schemas.openxmlformats.org/officeDocument/2006/relationships" name="Industry_Input_Summary" sheetId="34" r:id="R0156f4a77205491c"/>
    <x:sheet xmlns:r="http://schemas.openxmlformats.org/officeDocument/2006/relationships" name="Extractor_Errata" sheetId="35" r:id="R9838beeeb2264898"/>
    <x:sheet xmlns:r="http://schemas.openxmlformats.org/officeDocument/2006/relationships" name="Rent_Evidence_Receipt" sheetId="36" r:id="R15fd3d365ba24666"/>
    <x:sheet xmlns:r="http://schemas.openxmlformats.org/officeDocument/2006/relationships" name="Labour_Benchmark_2024" sheetId="37" r:id="R0d193d62903c4f16"/>
    <x:sheet xmlns:r="http://schemas.openxmlformats.org/officeDocument/2006/relationships" name="Labour_Scaling_Audit" sheetId="38" r:id="Rc59807e3511042a4"/>
    <x:sheet xmlns:r="http://schemas.openxmlformats.org/officeDocument/2006/relationships" name="Capital_Boundary_Map" sheetId="39" r:id="R0212d2fe3c1b426c"/>
    <x:sheet xmlns:r="http://schemas.openxmlformats.org/officeDocument/2006/relationships" name="Capital_Allocation_2024" sheetId="40" r:id="R1a2b32a106cb44a5"/>
    <x:sheet xmlns:r="http://schemas.openxmlformats.org/officeDocument/2006/relationships" name="Oil_Sands_Bridge_2024" sheetId="41" r:id="R915b3e68eae043f6"/>
    <x:sheet xmlns:r="http://schemas.openxmlformats.org/officeDocument/2006/relationships" name="Capital_Proxy_Stress_Test" sheetId="42" r:id="R9f8146da86b04219"/>
    <x:sheet xmlns:r="http://schemas.openxmlformats.org/officeDocument/2006/relationships" name="Potash_Bridge_2024" sheetId="43" r:id="R6ff14b64aee94a75"/>
    <x:sheet xmlns:r="http://schemas.openxmlformats.org/officeDocument/2006/relationships" name="Historical_Capital_Evidence" sheetId="44" r:id="Rd24b53771e1c4668"/>
    <x:sheet xmlns:r="http://schemas.openxmlformats.org/officeDocument/2006/relationships" name="Potash_PIM_Evidence_Gate" sheetId="45" r:id="Rd8a2abd4f8ba4e77"/>
    <x:sheet xmlns:r="http://schemas.openxmlformats.org/officeDocument/2006/relationships" name="Capital_Data_Request" sheetId="46" r:id="R0ee447f2cd1045fa"/>
    <x:sheet xmlns:r="http://schemas.openxmlformats.org/officeDocument/2006/relationships" name="Deep_Research_Audit" sheetId="47" r:id="R8d684e71d9284384"/>
    <x:sheet xmlns:r="http://schemas.openxmlformats.org/officeDocument/2006/relationships" name="AB_OS_Project_Data_2024" sheetId="48" r:id="R4844e7805fd64390"/>
    <x:sheet xmlns:r="http://schemas.openxmlformats.org/officeDocument/2006/relationships" name="AB_OS_Fiscal_Diagnostic" sheetId="49" r:id="Rccf5a389d8fa4571"/>
    <x:sheet xmlns:r="http://schemas.openxmlformats.org/officeDocument/2006/relationships" name="Potash_CAPEX_Vintages" sheetId="50" r:id="R40b8726f0ca344e9"/>
    <x:sheet xmlns:r="http://schemas.openxmlformats.org/officeDocument/2006/relationships" name="Potash_Asset_Cube_Audit" sheetId="51" r:id="Rcbabf863d2f8477c"/>
    <x:sheet xmlns:r="http://schemas.openxmlformats.org/officeDocument/2006/relationships" name="AB_Royalty_Reconciliation" sheetId="52" r:id="Rb89e358937834faa"/>
    <x:sheet xmlns:r="http://schemas.openxmlformats.org/officeDocument/2006/relationships" name="Potash_Producer_Evidence" sheetId="53" r:id="Ra92d61fb9ea04a5b"/>
    <x:sheet xmlns:r="http://schemas.openxmlformats.org/officeDocument/2006/relationships" name="Potash_CIP_Productive_Bridge" sheetId="54" r:id="R29318305b0b14d29"/>
    <x:sheet xmlns:r="http://schemas.openxmlformats.org/officeDocument/2006/relationships" name="Evidence_Dashboard" sheetId="55" r:id="Rd755323873fa4685"/>
    <x:sheet xmlns:r="http://schemas.openxmlformats.org/officeDocument/2006/relationships" name="Governance_Remediation" sheetId="56" r:id="R0d42e4e6e5fa4164"/>
    <x:sheet xmlns:r="http://schemas.openxmlformats.org/officeDocument/2006/relationships" name="Model_Parameters" sheetId="57" r:id="R8444a45721f949fa"/>
    <x:sheet xmlns:r="http://schemas.openxmlformats.org/officeDocument/2006/relationships" name="Source_Lineage_Register" sheetId="58" r:id="Re3310ffe415a4bb1"/>
    <x:sheet xmlns:r="http://schemas.openxmlformats.org/officeDocument/2006/relationships" name="Formula_Constants_Review" sheetId="59" r:id="R5f87db05544f4a57"/>
    <x:sheet xmlns:r="http://schemas.openxmlformats.org/officeDocument/2006/relationships" name="Assumption_Register" sheetId="60" r:id="R927d87fa83044f2d"/>
    <x:sheet xmlns:r="http://schemas.openxmlformats.org/officeDocument/2006/relationships" name="Governance_Remediation_v023" sheetId="61" r:id="Rba608b594cc9481b"/>
    <x:sheet xmlns:r="http://schemas.openxmlformats.org/officeDocument/2006/relationships" name="Human_Review_Start_Here" sheetId="62" r:id="Rcdeaa5d705ff4ffb"/>
    <x:sheet xmlns:r="http://schemas.openxmlformats.org/officeDocument/2006/relationships" name="Human_Source_Checklist" sheetId="63" r:id="R3df446a8b65a4ec1"/>
    <x:sheet xmlns:r="http://schemas.openxmlformats.org/officeDocument/2006/relationships" name="Threshold_Approval" sheetId="64" r:id="R729b02e1c07b4b83"/>
    <x:sheet xmlns:r="http://schemas.openxmlformats.org/officeDocument/2006/relationships" name="Review_Summary" sheetId="65" r:id="Rd0bbd1c33ca64d66"/>
    <x:sheet xmlns:r="http://schemas.openxmlformats.org/officeDocument/2006/relationships" name="Required_Review_Walkthrough" sheetId="66" r:id="Rff9ed7ffb96147e2"/>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0.0%;[Red](0.0%);-"/>
    <x:numFmt numFmtId="201" formatCode="0"/>
    <x:numFmt numFmtId="202" formatCode="$#,##0.0;[Red]($#,##0.0);-"/>
    <x:numFmt numFmtId="203" formatCode="#,##0;[Red](#,##0);-"/>
    <x:numFmt numFmtId="204" formatCode="$0.000;[Red]($0.000);-"/>
    <x:numFmt numFmtId="205" formatCode="@"/>
    <x:numFmt numFmtId="206" formatCode="$0.000000;[Red]($0.000000);-"/>
    <x:numFmt numFmtId="207" formatCode="$0.000000"/>
    <x:numFmt numFmtId="208" formatCode="0.0%"/>
    <x:numFmt numFmtId="209" formatCode="$0.0000;[Red]($0.0000);-"/>
    <x:numFmt numFmtId="210" formatCode="0.00%;[Red](0.00%);-"/>
    <x:numFmt numFmtId="211" formatCode="#,##0.000;[Red](#,##0.000);-"/>
    <x:numFmt numFmtId="212" formatCode="0.000;[Red](0.000);-"/>
    <x:numFmt numFmtId="213" formatCode="0.00x;[Red](0.00x);-"/>
    <x:numFmt numFmtId="214" formatCode="0;[Red](0);-"/>
    <x:numFmt numFmtId="215" formatCode="$0.00;[Red]($0.00);-"/>
    <x:numFmt numFmtId="216" formatCode="0.00"/>
    <x:numFmt numFmtId="217" formatCode="#,##0.0"/>
    <x:numFmt numFmtId="218" formatCode="0.00%"/>
    <x:numFmt numFmtId="219" formatCode="#,##0.0;[Red](#,##0.0);-"/>
    <x:numFmt numFmtId="220" formatCode="0.000"/>
    <x:numFmt numFmtId="221" formatCode="#,##0.000000;[Red](#,##0.000000);-"/>
  </x:numFmts>
  <x:fonts count="42">
    <x:font>
      <x:sz val="11"/>
      <x:name val="Carlito"/>
    </x:font>
    <x:font>
      <x:b/>
      <x:sz val="16"/>
      <x:color rgb="FFFFFFFF"/>
      <x:name val="Carlito"/>
    </x:font>
    <x:font>
      <x:i/>
      <x:sz val="10"/>
      <x:color rgb="FF17365D"/>
      <x:name val="Carlito"/>
    </x:font>
    <x:font>
      <x:b/>
      <x:sz val="11"/>
      <x:color rgb="FFFFFFFF"/>
      <x:name val="Carlito"/>
    </x:font>
    <x:font>
      <x:sz val="11"/>
      <x:color rgb="FF0000FF"/>
      <x:name val="Carlito"/>
    </x:font>
    <x:font>
      <x:sz val="11"/>
      <x:color rgb="FF008000"/>
      <x:name val="Carlito"/>
    </x:font>
    <x:font>
      <x:sz val="11"/>
      <x:color rgb="FF000000"/>
      <x:name val="Carlito"/>
    </x:font>
    <x:font>
      <x:b/>
      <x:sz val="11"/>
      <x:name val="Carlito"/>
    </x:font>
    <x:font>
      <x:b/>
      <x:sz val="11"/>
      <x:color rgb="FF008000"/>
      <x:name val="Carlito"/>
    </x:font>
    <x:font>
      <x:sz val="11"/>
      <x:color rgb="FFFF0000"/>
      <x:name val="Carlito"/>
    </x:font>
    <x:font>
      <x:i/>
      <x:sz val="11"/>
      <x:color rgb="FF1F1F1F"/>
      <x:name val="Carlito"/>
    </x:font>
    <x:font>
      <x:b/>
      <x:sz val="11"/>
      <x:color rgb="FF9C0006"/>
      <x:name val="Carlito"/>
    </x:font>
    <x:font>
      <x:i/>
      <x:sz val="11"/>
      <x:name val="Carlito"/>
    </x:font>
    <x:font>
      <x:b/>
      <x:sz val="11"/>
      <x:color rgb="FF375623"/>
      <x:name val="Carlito"/>
    </x:font>
    <x:font>
      <x:b/>
      <x:sz val="14"/>
      <x:color rgb="FFFFFFFF"/>
      <x:name val="Carlito"/>
    </x:font>
    <x:font>
      <x:i/>
      <x:sz val="11"/>
      <x:color rgb="FF000000"/>
      <x:name val="Carlito"/>
    </x:font>
    <x:font>
      <x:b/>
      <x:sz val="11"/>
      <x:color rgb="FF000000"/>
      <x:name val="Carlito"/>
    </x:font>
    <x:font>
      <x:b/>
      <x:sz val="11"/>
      <x:color rgb="FFFF0000"/>
      <x:name val="Carlito"/>
    </x:font>
    <x:font>
      <x:i/>
      <x:sz val="10"/>
      <x:color rgb="FF404040"/>
      <x:name val="Carlito"/>
    </x:font>
    <x:font>
      <x:sz val="9"/>
      <x:color rgb="FF0000FF"/>
      <x:name val="Carlito"/>
    </x:font>
    <x:font>
      <x:b/>
      <x:sz val="11"/>
      <x:color rgb="FF006100"/>
      <x:name val="Carlito"/>
    </x:font>
    <x:font>
      <x:b/>
      <x:sz val="11"/>
      <x:color rgb="FF9C6500"/>
      <x:name val="Carlito"/>
    </x:font>
    <x:font>
      <x:b/>
      <x:sz val="11"/>
      <x:color rgb="FF17365D"/>
      <x:name val="Carlito"/>
    </x:font>
    <x:font>
      <x:i/>
      <x:sz val="9"/>
      <x:color rgb="FF5B6573"/>
      <x:name val="Carlito"/>
    </x:font>
    <x:font>
      <x:b/>
      <x:sz val="10"/>
      <x:color rgb="FFFFFFFF"/>
      <x:name val="Carlito"/>
    </x:font>
    <x:font>
      <x:b/>
      <x:sz val="9"/>
      <x:color rgb="FFFFFFFF"/>
      <x:name val="Carlito"/>
    </x:font>
    <x:font>
      <x:sz val="11"/>
      <x:color rgb="FFC00000"/>
      <x:name val="Carlito"/>
    </x:font>
    <x:font>
      <x:sz val="10"/>
      <x:color rgb="FF000000"/>
      <x:name val="Carlito"/>
    </x:font>
    <x:font>
      <x:b/>
      <x:sz val="15"/>
      <x:color rgb="FFFFFFFF"/>
      <x:name val="Carlito"/>
    </x:font>
    <x:font>
      <x:i/>
      <x:sz val="11"/>
      <x:color rgb="FF404040"/>
      <x:name val="Carlito"/>
    </x:font>
    <x:font>
      <x:sz val="9"/>
      <x:name val="Carlito"/>
    </x:font>
    <x:font>
      <x:i/>
      <x:sz val="10"/>
      <x:color rgb="FF000000"/>
      <x:name val="Carlito"/>
    </x:font>
    <x:font>
      <x:sz val="9"/>
      <x:color rgb="FF000000"/>
      <x:name val="Carlito"/>
    </x:font>
    <x:font>
      <x:b/>
      <x:sz val="11"/>
      <x:color rgb="FFC00000"/>
      <x:name val="Carlito"/>
    </x:font>
    <x:font>
      <x:sz val="10"/>
      <x:color rgb="FF0000FF"/>
      <x:name val="Carlito"/>
    </x:font>
    <x:font>
      <x:b/>
      <x:sz val="10"/>
      <x:color rgb="FF000000"/>
      <x:name val="Carlito"/>
    </x:font>
    <x:font>
      <x:b/>
      <x:sz val="11"/>
      <x:color rgb="FF7F6000"/>
      <x:name val="Carlito"/>
    </x:font>
    <x:font>
      <x:sz val="10"/>
      <x:color rgb="FF008000"/>
      <x:name val="Carlito"/>
    </x:font>
    <x:font>
      <x:b/>
      <x:sz val="11"/>
      <x:color rgb="FF0000FF"/>
      <x:name val="Carlito"/>
    </x:font>
    <x:font>
      <x:b/>
      <x:sz val="16"/>
      <x:color rgb="FFC00000"/>
      <x:name val="Carlito"/>
    </x:font>
    <x:font>
      <x:b/>
      <x:i/>
      <x:sz val="10"/>
      <x:color rgb="FFC00000"/>
      <x:name val="Carlito"/>
    </x:font>
    <x:font>
      <x:b/>
      <x:sz val="11"/>
      <x:color rgb="FF274E13"/>
      <x:name val="Carlito"/>
    </x:font>
  </x:fonts>
  <x:fills count="11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7E6E6"/>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7E6E6"/>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7E6E6"/>
      </x:patternFill>
    </x:fill>
    <x:fill>
      <x:patternFill patternType="solid">
        <x:fgColor rgb="FFF4CCCC"/>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7E6E6"/>
      </x:patternFill>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1F4E78"/>
      </x:patternFill>
    </x:fill>
    <x:fill>
      <x:patternFill patternType="solid">
        <x:fgColor rgb="FFF7FBFF"/>
      </x:patternFill>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E2F0D9"/>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1F4E78"/>
      </x:patternFill>
    </x:fill>
    <x:fill>
      <x:patternFill patternType="solid">
        <x:fgColor rgb="FFEAF2F8"/>
      </x:patternFill>
    </x:fill>
    <x:fill>
      <x:patternFill patternType="solid">
        <x:fgColor rgb="FFE2F0D9"/>
      </x:patternFill>
    </x:fill>
    <x:fill>
      <x:patternFill patternType="solid">
        <x:fgColor rgb="FF5B9BD5"/>
      </x:patternFill>
    </x:fill>
    <x:fill>
      <x:patternFill patternType="solid">
        <x:fgColor rgb="FFFFF2CC"/>
      </x:patternFill>
    </x:fill>
    <x:fill>
      <x:patternFill patternType="solid">
        <x:fgColor rgb="FFFCE4D6"/>
      </x:patternFill>
    </x:fill>
  </x:fills>
  <x:borders count="180">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bottom/>
    </x:border>
    <x:border>
      <x:bottom/>
    </x:border>
    <x:border>
      <x:right/>
      <x:bottom/>
    </x:border>
    <x:border>
      <x:bottom/>
    </x:border>
  </x:borders>
  <x:cellStyleXfs count="1">
    <x:xf numFmtId="0" fontId="0" fillId="0" borderId="0"/>
  </x:cellStyleXfs>
  <x:cellXfs count="19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200" fontId="4" fillId="5" borderId="0" xfId="0" applyNumberFormat="1" applyFont="1" applyFill="1" applyBorder="1"/>
    <x:xf numFmtId="200" fontId="4" fillId="5" borderId="1" xfId="0" applyNumberFormat="1" applyFont="1" applyFill="1" applyBorder="1"/>
    <x:xf numFmtId="201" fontId="4" fillId="5" borderId="0" xfId="0" applyNumberFormat="1" applyFont="1" applyFill="1" applyBorder="1"/>
    <x:xf numFmtId="201" fontId="4" fillId="5" borderId="1" xfId="0" applyNumberFormat="1" applyFont="1" applyFill="1" applyBorder="1"/>
    <x:xf numFmtId="202" fontId="4" fillId="5" borderId="0" xfId="0" applyNumberFormat="1" applyFont="1" applyFill="1" applyBorder="1"/>
    <x:xf numFmtId="202" fontId="4" fillId="5" borderId="1" xfId="0" applyNumberFormat="1" applyFont="1" applyFill="1" applyBorder="1"/>
    <x:xf numFmtId="201" fontId="4" fillId="5" borderId="0" xfId="0" applyNumberFormat="1" applyFont="1" applyFill="1" applyBorder="1" applyAlignment="1">
      <x:alignment wrapText="1"/>
    </x:xf>
    <x:xf numFmtId="200" fontId="4" fillId="5" borderId="0" xfId="0" applyNumberFormat="1" applyFont="1" applyFill="1" applyBorder="1" applyAlignment="1">
      <x:alignment wrapText="1"/>
    </x:xf>
    <x:xf numFmtId="202" fontId="4" fillId="5" borderId="0" xfId="0" applyNumberFormat="1" applyFont="1" applyFill="1" applyBorder="1" applyAlignment="1">
      <x:alignment wrapText="1"/>
    </x:xf>
    <x:xf numFmtId="201" fontId="4" fillId="5" borderId="1" xfId="0" applyNumberFormat="1" applyFont="1" applyFill="1" applyBorder="1" applyAlignment="1">
      <x:alignment wrapText="1"/>
    </x:xf>
    <x:xf numFmtId="200" fontId="4" fillId="5" borderId="1" xfId="0" applyNumberFormat="1" applyFont="1" applyFill="1" applyBorder="1" applyAlignment="1">
      <x:alignment wrapText="1"/>
    </x:xf>
    <x:xf numFmtId="202" fontId="4" fillId="5"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7" fillId="3" borderId="0" xfId="0" applyNumberFormat="1" applyFont="1" applyFill="1" applyBorder="1"/>
    <x:xf numFmtId="0" fontId="7" fillId="3" borderId="1" xfId="0" applyNumberFormat="1" applyFont="1" applyFill="1" applyBorder="1"/>
    <x:xf numFmtId="202" fontId="0" fillId="0" borderId="0" xfId="0" applyNumberFormat="1" applyFont="1" applyFill="1" applyBorder="1"/>
    <x:xf numFmtId="202" fontId="7" fillId="3" borderId="0" xfId="0" applyNumberFormat="1" applyFont="1" applyFill="1" applyBorder="1"/>
    <x:xf numFmtId="202" fontId="0" fillId="0" borderId="1" xfId="0" applyNumberFormat="1" applyFont="1" applyFill="1" applyBorder="1"/>
    <x:xf numFmtId="202" fontId="7" fillId="3" borderId="1" xfId="0" applyNumberFormat="1" applyFont="1" applyFill="1" applyBorder="1"/>
    <x:xf numFmtId="200" fontId="0" fillId="0" borderId="0" xfId="0" applyNumberFormat="1" applyFont="1" applyFill="1" applyBorder="1"/>
    <x:xf numFmtId="200" fontId="5" fillId="0" borderId="0" xfId="0" applyNumberFormat="1" applyFont="1" applyFill="1" applyBorder="1"/>
    <x:xf numFmtId="200" fontId="6" fillId="0" borderId="0" xfId="0" applyNumberFormat="1" applyFont="1" applyFill="1" applyBorder="1"/>
    <x:xf numFmtId="200" fontId="7" fillId="3" borderId="0" xfId="0" applyNumberFormat="1" applyFont="1" applyFill="1" applyBorder="1"/>
    <x:xf numFmtId="200" fontId="0" fillId="0" borderId="1" xfId="0" applyNumberFormat="1" applyFont="1" applyFill="1" applyBorder="1"/>
    <x:xf numFmtId="200" fontId="5" fillId="0" borderId="1" xfId="0" applyNumberFormat="1" applyFont="1" applyFill="1" applyBorder="1"/>
    <x:xf numFmtId="200" fontId="6" fillId="0" borderId="1" xfId="0" applyNumberFormat="1" applyFont="1" applyFill="1" applyBorder="1"/>
    <x:xf numFmtId="200" fontId="7" fillId="3" borderId="1" xfId="0" applyNumberFormat="1" applyFont="1" applyFill="1" applyBorder="1"/>
    <x:xf numFmtId="202" fontId="4" fillId="0" borderId="0" xfId="0" applyNumberFormat="1" applyFont="1" applyFill="1" applyBorder="1"/>
    <x:xf numFmtId="202" fontId="4" fillId="0" borderId="1" xfId="0" applyNumberFormat="1" applyFont="1" applyFill="1" applyBorder="1"/>
    <x:xf numFmtId="202" fontId="4"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0" fontId="5" fillId="0" borderId="0" xfId="0" applyNumberFormat="1" applyFont="1" applyFill="1" applyBorder="1" applyAlignment="1">
      <x:alignment wrapText="1"/>
    </x:xf>
    <x:xf numFmtId="200" fontId="6" fillId="0" borderId="0" xfId="0" applyNumberFormat="1" applyFont="1" applyFill="1" applyBorder="1" applyAlignment="1">
      <x:alignment wrapText="1"/>
    </x:xf>
    <x:xf numFmtId="0" fontId="7" fillId="3" borderId="0" xfId="0" applyNumberFormat="1" applyFont="1" applyFill="1" applyBorder="1" applyAlignment="1">
      <x:alignment wrapText="1"/>
    </x:xf>
    <x:xf numFmtId="202" fontId="7" fillId="3" borderId="0" xfId="0" applyNumberFormat="1" applyFont="1" applyFill="1" applyBorder="1" applyAlignment="1">
      <x:alignment wrapText="1"/>
    </x:xf>
    <x:xf numFmtId="200" fontId="7" fillId="3" borderId="0" xfId="0" applyNumberFormat="1" applyFont="1" applyFill="1" applyBorder="1" applyAlignment="1">
      <x:alignment wrapText="1"/>
    </x:xf>
    <x:xf numFmtId="202" fontId="4"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0" fontId="5" fillId="0" borderId="1" xfId="0" applyNumberFormat="1" applyFont="1" applyFill="1" applyBorder="1" applyAlignment="1">
      <x:alignment wrapText="1"/>
    </x:xf>
    <x:xf numFmtId="200" fontId="6" fillId="0" borderId="1" xfId="0" applyNumberFormat="1" applyFont="1" applyFill="1" applyBorder="1" applyAlignment="1">
      <x:alignment wrapText="1"/>
    </x:xf>
    <x:xf numFmtId="0" fontId="7" fillId="3" borderId="1" xfId="0" applyNumberFormat="1" applyFont="1" applyFill="1" applyBorder="1" applyAlignment="1">
      <x:alignment wrapText="1"/>
    </x:xf>
    <x:xf numFmtId="202" fontId="7" fillId="3" borderId="1" xfId="0" applyNumberFormat="1" applyFont="1" applyFill="1" applyBorder="1" applyAlignment="1">
      <x:alignment wrapText="1"/>
    </x:xf>
    <x:xf numFmtId="200" fontId="7" fillId="3" borderId="1" xfId="0" applyNumberFormat="1" applyFont="1" applyFill="1" applyBorder="1" applyAlignment="1">
      <x:alignment wrapText="1"/>
    </x:xf>
    <x:xf numFmtId="202" fontId="5" fillId="0" borderId="0" xfId="0" applyNumberFormat="1" applyFont="1" applyFill="1" applyBorder="1"/>
    <x:xf numFmtId="202" fontId="5" fillId="0" borderId="1" xfId="0" applyNumberFormat="1" applyFont="1" applyFill="1" applyBorder="1"/>
    <x:xf numFmtId="0" fontId="3" fillId="2" borderId="0" xfId="0" applyNumberFormat="1" applyFont="1" applyFill="1" applyBorder="1" applyAlignment="1">
      <x:alignment horizontal="left" vertical="center" wrapText="1"/>
    </x:xf>
    <x:xf numFmtId="202" fontId="5" fillId="0" borderId="0" xfId="0" applyNumberFormat="1" applyFont="1" applyFill="1" applyBorder="1" applyAlignment="1">
      <x:alignment wrapText="1"/>
    </x:xf>
    <x:xf numFmtId="0" fontId="3" fillId="2" borderId="1" xfId="0" applyNumberFormat="1" applyFont="1" applyFill="1" applyBorder="1" applyAlignment="1">
      <x:alignment horizontal="left" vertical="center" wrapText="1"/>
    </x:xf>
    <x:xf numFmtId="202" fontId="5" fillId="0"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0" fontId="4" fillId="0" borderId="0" xfId="0" applyNumberFormat="1" applyFont="1" applyFill="1" applyBorder="1"/>
    <x:xf numFmtId="200" fontId="4" fillId="0" borderId="1" xfId="0" applyNumberFormat="1" applyFont="1" applyFill="1" applyBorder="1"/>
    <x:xf numFmtId="200" fontId="4" fillId="0" borderId="0" xfId="0" applyNumberFormat="1" applyFont="1" applyFill="1" applyBorder="1" applyAlignment="1">
      <x:alignment wrapText="1"/>
    </x:xf>
    <x:xf numFmtId="200" fontId="4"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3" fontId="4" fillId="0" borderId="0" xfId="0" applyNumberFormat="1" applyFont="1" applyFill="1" applyBorder="1"/>
    <x:xf numFmtId="203" fontId="4"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0" fontId="4" fillId="0" borderId="0" xfId="0" applyNumberFormat="1" applyFont="1" applyFill="1" applyBorder="1" applyAlignment="1">
      <x:alignment wrapText="1"/>
    </x:xf>
    <x:xf numFmtId="203" fontId="4" fillId="0" borderId="0" xfId="0" applyNumberFormat="1" applyFont="1" applyFill="1" applyBorder="1" applyAlignment="1">
      <x:alignment wrapText="1"/>
    </x:xf>
    <x:xf numFmtId="203" fontId="6"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4" fillId="0" borderId="1" xfId="0" applyNumberFormat="1" applyFont="1" applyFill="1" applyBorder="1" applyAlignment="1">
      <x:alignment wrapText="1"/>
    </x:xf>
    <x:xf numFmtId="203" fontId="4" fillId="0" borderId="1" xfId="0" applyNumberFormat="1" applyFont="1" applyFill="1" applyBorder="1" applyAlignment="1">
      <x:alignment wrapText="1"/>
    </x:xf>
    <x:xf numFmtId="203" fontId="6" fillId="0" borderId="1" xfId="0" applyNumberFormat="1" applyFont="1" applyFill="1" applyBorder="1" applyAlignment="1">
      <x:alignment wrapText="1"/>
    </x:xf>
    <x:xf numFmtId="203" fontId="0" fillId="0" borderId="1" xfId="0" applyNumberFormat="1" applyFont="1" applyFill="1" applyBorder="1" applyAlignment="1">
      <x:alignment wrapText="1"/>
    </x:xf>
    <x:xf numFmtId="202" fontId="5" fillId="3" borderId="0" xfId="0" applyNumberFormat="1" applyFont="1" applyFill="1" applyBorder="1"/>
    <x:xf numFmtId="202" fontId="8" fillId="3" borderId="0" xfId="0" applyNumberFormat="1" applyFont="1" applyFill="1" applyBorder="1"/>
    <x:xf numFmtId="202" fontId="5" fillId="3" borderId="1" xfId="0" applyNumberFormat="1" applyFont="1" applyFill="1" applyBorder="1"/>
    <x:xf numFmtId="202" fontId="8" fillId="3" borderId="1" xfId="0" applyNumberFormat="1" applyFont="1" applyFill="1" applyBorder="1"/>
    <x:xf numFmtId="0" fontId="9" fillId="0" borderId="0" xfId="0" applyNumberFormat="1" applyFont="1" applyFill="1" applyBorder="1"/>
    <x:xf numFmtId="0" fontId="9" fillId="0" borderId="1" xfId="0" applyNumberFormat="1" applyFont="1" applyFill="1" applyBorder="1"/>
    <x:xf numFmtId="0" fontId="9" fillId="0" borderId="0" xfId="0" applyNumberFormat="1" applyFont="1" applyFill="1" applyBorder="1" applyAlignment="1">
      <x:alignment wrapText="1"/>
    </x:xf>
    <x:xf numFmtId="0" fontId="9" fillId="0" borderId="1" xfId="0" applyNumberFormat="1" applyFont="1" applyFill="1" applyBorder="1" applyAlignment="1">
      <x:alignment wrapText="1"/>
    </x:xf>
    <x:xf numFmtId="0" fontId="0" fillId="0" borderId="0" xfId="0" applyNumberFormat="1" applyFont="1" applyFill="1" applyBorder="1"/>
    <x:xf numFmtId="204" fontId="4" fillId="0" borderId="0" xfId="0" applyNumberFormat="1" applyFont="1" applyFill="1" applyBorder="1" applyAlignment="1">
      <x:alignment wrapText="1"/>
    </x:xf>
    <x:xf numFmtId="204" fontId="0" fillId="0" borderId="0" xfId="0" applyNumberFormat="1" applyFont="1" applyFill="1" applyBorder="1" applyAlignment="1">
      <x:alignment wrapText="1"/>
    </x:xf>
    <x:xf numFmtId="204" fontId="5" fillId="0"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xfId="0" applyNumberFormat="1" applyFont="1" applyFill="1" applyBorder="0"/>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xfId="0" applyNumberFormat="1" applyFont="1" applyFill="1" applyBorder="0"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xfId="0" applyNumberFormat="1" applyFont="1" applyFill="1" applyBorder="0" applyAlignment="1">
      <x:alignment vertical="top" wrapText="1"/>
    </x:xf>
    <x:xf numFmtId="0" fontId="4" fillId="0" borderId="8" xfId="0" applyNumberFormat="1" applyFont="1" applyFill="1" applyBorder="1" applyAlignment="1">
      <x:alignment vertical="top" wrapText="1"/>
    </x:xf>
    <x:xf numFmtId="205" fontId="0" fillId="0" borderId="3" xfId="0" applyNumberFormat="1" applyFont="1" applyFill="1" applyBorder="1" applyAlignment="1">
      <x:alignment vertical="top" wrapText="1"/>
    </x:xf>
    <x:xf numFmtId="205" fontId="0" fillId="0" xfId="0" applyNumberFormat="1" applyFont="1" applyFill="1" applyBorder="0" applyAlignment="1">
      <x:alignment vertical="top" wrapText="1"/>
    </x:xf>
    <x:xf numFmtId="205" fontId="0" fillId="0" borderId="8"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6" fontId="4" fillId="0" borderId="0" xfId="0" applyNumberFormat="1" applyFont="1" applyFill="1" applyBorder="1" applyAlignment="1">
      <x:alignment wrapText="1"/>
    </x:xf>
    <x:xf numFmtId="206" fontId="0" fillId="0"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10" xfId="0" applyNumberFormat="1" applyFont="1" applyFill="1" applyBorder="1"/>
    <x:xf numFmtId="0" fontId="3" fillId="11" borderId="11" xfId="0" applyNumberFormat="1" applyFont="1" applyFill="1" applyBorder="1"/>
    <x:xf numFmtId="0" fontId="3" fillId="11" borderId="12" xfId="0" applyNumberFormat="1" applyFont="1" applyFill="1" applyBorder="1"/>
    <x:xf numFmtId="0" fontId="3" fillId="11" borderId="10" xfId="0" applyNumberFormat="1" applyFont="1" applyFill="1" applyBorder="1" applyAlignment="1">
      <x:alignment wrapText="1"/>
    </x:xf>
    <x:xf numFmtId="0" fontId="3" fillId="11" borderId="11" xfId="0" applyNumberFormat="1" applyFont="1" applyFill="1" applyBorder="1" applyAlignment="1">
      <x:alignment wrapText="1"/>
    </x:xf>
    <x:xf numFmtId="0" fontId="3" fillId="11" borderId="12" xfId="0" applyNumberFormat="1" applyFont="1" applyFill="1" applyBorder="1" applyAlignment="1">
      <x:alignment wrapText="1"/>
    </x:xf>
    <x:xf numFmtId="0" fontId="3" fillId="11" borderId="10" xfId="0" applyNumberFormat="1" applyFont="1" applyFill="1" applyBorder="1" applyAlignment="1">
      <x:alignment horizontal="center" wrapText="1"/>
    </x:xf>
    <x:xf numFmtId="0" fontId="3" fillId="11" borderId="11" xfId="0" applyNumberFormat="1" applyFont="1" applyFill="1" applyBorder="1" applyAlignment="1">
      <x:alignment horizontal="center" wrapText="1"/>
    </x:xf>
    <x:xf numFmtId="0" fontId="3" fillId="11" borderId="12" xfId="0" applyNumberFormat="1" applyFont="1" applyFill="1" applyBorder="1" applyAlignment="1">
      <x:alignment horizontal="center" wrapText="1"/>
    </x:xf>
    <x:xf numFmtId="0" fontId="3" fillId="11" borderId="10" xfId="0" applyNumberFormat="1" applyFont="1" applyFill="1" applyBorder="1" applyAlignment="1">
      <x:alignment horizontal="center" vertical="center" wrapText="1"/>
    </x:xf>
    <x:xf numFmtId="0" fontId="3" fillId="11" borderId="11" xfId="0" applyNumberFormat="1" applyFont="1" applyFill="1" applyBorder="1" applyAlignment="1">
      <x:alignment horizontal="center" vertical="center" wrapText="1"/>
    </x:xf>
    <x:xf numFmtId="0" fontId="3" fillId="11"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4" fontId="0" fillId="0" borderId="14" xfId="0" applyNumberFormat="1" applyFont="1" applyFill="1" applyBorder="1" applyAlignment="1">
      <x:alignment vertical="top" wrapText="1"/>
    </x:xf>
    <x:xf numFmtId="204" fontId="0" fillId="0" xfId="0" applyNumberFormat="1" applyFont="1" applyFill="1" applyBorder="0" applyAlignment="1">
      <x:alignment vertical="top" wrapText="1"/>
    </x:xf>
    <x:xf numFmtId="204" fontId="4" fillId="0" borderId="14" xfId="0" applyNumberFormat="1" applyFont="1" applyFill="1" applyBorder="1" applyAlignment="1">
      <x:alignment vertical="top" wrapText="1"/>
    </x:xf>
    <x:xf numFmtId="204" fontId="4" fillId="0" xfId="0" applyNumberFormat="1" applyFont="1" applyFill="1" applyBorder="0" applyAlignment="1">
      <x:alignment vertical="top" wrapText="1"/>
    </x:xf>
    <x:xf numFmtId="204" fontId="5" fillId="0" xfId="0" applyNumberFormat="1" applyFont="1" applyFill="1" applyBorder="0" applyAlignment="1">
      <x:alignment vertical="top" wrapText="1"/>
    </x:xf>
    <x:xf numFmtId="206" fontId="0" fillId="0" borderId="14" xfId="0" applyNumberFormat="1" applyFont="1" applyFill="1" applyBorder="1" applyAlignment="1">
      <x:alignment vertical="top" wrapText="1"/>
    </x:xf>
    <x:xf numFmtId="206" fontId="0" fillId="0" xfId="0" applyNumberFormat="1" applyFont="1" applyFill="1" applyBorder="0" applyAlignment="1">
      <x:alignment vertical="top" wrapText="1"/>
    </x:xf>
    <x:xf numFmtId="206" fontId="4" fillId="0" borderId="14" xfId="0" applyNumberFormat="1" applyFont="1" applyFill="1" applyBorder="1" applyAlignment="1">
      <x:alignment vertical="top" wrapText="1"/>
    </x:xf>
    <x:xf numFmtId="206" fontId="4" fillId="0" xfId="0" applyNumberFormat="1" applyFont="1" applyFill="1" applyBorder="0" applyAlignment="1">
      <x:alignment vertical="top" wrapText="1"/>
    </x:xf>
    <x:xf numFmtId="206" fontId="6" fillId="0" borderId="14" xfId="0" applyNumberFormat="1" applyFont="1" applyFill="1" applyBorder="1" applyAlignment="1">
      <x:alignment vertical="top" wrapText="1"/>
    </x:xf>
    <x:xf numFmtId="206" fontId="6" fillId="0" xfId="0" applyNumberFormat="1" applyFont="1" applyFill="1" applyBorder="0" applyAlignment="1">
      <x:alignment vertical="top" wrapText="1"/>
    </x:xf>
    <x:xf numFmtId="0" fontId="0" fillId="12" borderId="19" xfId="0" applyNumberFormat="1" applyFont="1" applyFill="1" applyBorder="1" applyAlignment="1">
      <x:alignment vertical="top" wrapText="1"/>
    </x:xf>
    <x:xf numFmtId="0" fontId="7" fillId="12" borderId="19" xfId="0" applyNumberFormat="1" applyFont="1" applyFill="1" applyBorder="1" applyAlignment="1">
      <x:alignment vertical="top" wrapText="1"/>
    </x:xf>
    <x:xf numFmtId="207" fontId="7" fillId="12" borderId="19" xfId="0" applyNumberFormat="1" applyFont="1" applyFill="1" applyBorder="1" applyAlignment="1">
      <x:alignment vertical="top" wrapText="1"/>
    </x:xf>
    <x:xf numFmtId="204" fontId="0" fillId="0" borderId="19" xfId="0" applyNumberFormat="1" applyFont="1" applyFill="1" applyBorder="1" applyAlignment="1">
      <x:alignment vertical="top" wrapText="1"/>
    </x:xf>
    <x:xf numFmtId="204" fontId="4" fillId="0" borderId="19" xfId="0" applyNumberFormat="1" applyFont="1" applyFill="1" applyBorder="1" applyAlignment="1">
      <x:alignment vertical="top" wrapText="1"/>
    </x:xf>
    <x:xf numFmtId="208" fontId="0" fillId="0" borderId="14" xfId="0" applyNumberFormat="1" applyFont="1" applyFill="1" applyBorder="1" applyAlignment="1">
      <x:alignment vertical="top" wrapText="1"/>
    </x:xf>
    <x:xf numFmtId="208" fontId="0" fillId="0" xfId="0" applyNumberFormat="1" applyFont="1" applyFill="1" applyBorder="0" applyAlignment="1">
      <x:alignment vertical="top" wrapText="1"/>
    </x:xf>
    <x:xf numFmtId="208" fontId="0" fillId="0" borderId="19" xfId="0" applyNumberFormat="1" applyFont="1" applyFill="1" applyBorder="1" applyAlignment="1">
      <x:alignment vertical="top" wrapText="1"/>
    </x:xf>
    <x:xf numFmtId="208" fontId="4" fillId="0" borderId="14" xfId="0" applyNumberFormat="1" applyFont="1" applyFill="1" applyBorder="1" applyAlignment="1">
      <x:alignment vertical="top" wrapText="1"/>
    </x:xf>
    <x:xf numFmtId="208" fontId="4" fillId="0" xfId="0" applyNumberFormat="1" applyFont="1" applyFill="1" applyBorder="0" applyAlignment="1">
      <x:alignment vertical="top" wrapText="1"/>
    </x:xf>
    <x:xf numFmtId="208" fontId="4" fillId="0" borderId="19" xfId="0" applyNumberFormat="1" applyFont="1" applyFill="1" applyBorder="1" applyAlignment="1">
      <x:alignment vertical="top" wrapText="1"/>
    </x:xf>
    <x:xf numFmtId="201" fontId="0" fillId="0" borderId="14" xfId="0" applyNumberFormat="1" applyFont="1" applyFill="1" applyBorder="1" applyAlignment="1">
      <x:alignment vertical="top" wrapText="1"/>
    </x:xf>
    <x:xf numFmtId="201" fontId="0" fillId="0" xfId="0" applyNumberFormat="1" applyFont="1" applyFill="1" applyBorder="0" applyAlignment="1">
      <x:alignment vertical="top" wrapText="1"/>
    </x:xf>
    <x:xf numFmtId="201" fontId="0" fillId="0" borderId="19" xfId="0" applyNumberFormat="1" applyFont="1" applyFill="1" applyBorder="1" applyAlignment="1">
      <x:alignment vertical="top" wrapText="1"/>
    </x:xf>
    <x:xf numFmtId="204" fontId="0" fillId="0" borderId="0" xfId="0" applyNumberFormat="1" applyFont="1" applyFill="1" applyBorder="1"/>
    <x:xf numFmtId="0" fontId="7" fillId="0" borderId="13"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4" fillId="0" borderId="0" xfId="0" applyNumberFormat="1" applyFont="1" applyFill="1" applyBorder="1" applyAlignment="1">
      <x:alignment vertical="top" wrapText="1"/>
    </x:xf>
    <x:xf numFmtId="206" fontId="6"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12" borderId="0" xfId="0" applyNumberFormat="1" applyFont="1" applyFill="1" applyBorder="1" applyAlignment="1">
      <x:alignment vertical="top" wrapText="1"/>
    </x:xf>
    <x:xf numFmtId="207" fontId="7" fillId="12" borderId="0" xfId="0" applyNumberFormat="1" applyFont="1" applyFill="1" applyBorder="1" applyAlignment="1">
      <x:alignment vertical="top" wrapText="1"/>
    </x:xf>
    <x:xf numFmtId="208" fontId="0" fillId="0" borderId="0" xfId="0" applyNumberFormat="1" applyFont="1" applyFill="1" applyBorder="1" applyAlignment="1">
      <x:alignment vertical="top" wrapText="1"/>
    </x:xf>
    <x:xf numFmtId="208" fontId="4"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left"/>
    </x:xf>
    <x:xf numFmtId="0" fontId="1" fillId="13" borderId="0" xfId="0" applyNumberFormat="1" applyFont="1" applyFill="1" applyBorder="1" applyAlignment="1">
      <x:alignment horizontal="left" vertical="center"/>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21" xfId="0" applyNumberFormat="1" applyFont="1" applyFill="1" applyBorder="1"/>
    <x:xf numFmtId="0" fontId="3" fillId="15" borderId="22" xfId="0" applyNumberFormat="1" applyFont="1" applyFill="1" applyBorder="1"/>
    <x:xf numFmtId="0" fontId="3" fillId="15" borderId="23" xfId="0" applyNumberFormat="1" applyFont="1" applyFill="1" applyBorder="1"/>
    <x:xf numFmtId="0" fontId="3" fillId="15" borderId="21" xfId="0" applyNumberFormat="1" applyFont="1" applyFill="1" applyBorder="1" applyAlignment="1">
      <x:alignment wrapText="1"/>
    </x:xf>
    <x:xf numFmtId="0" fontId="3" fillId="15" borderId="22" xfId="0" applyNumberFormat="1" applyFont="1" applyFill="1" applyBorder="1" applyAlignment="1">
      <x:alignment wrapText="1"/>
    </x:xf>
    <x:xf numFmtId="0" fontId="3" fillId="15" borderId="23" xfId="0" applyNumberFormat="1" applyFont="1" applyFill="1" applyBorder="1" applyAlignment="1">
      <x:alignment wrapText="1"/>
    </x:xf>
    <x:xf numFmtId="0" fontId="3" fillId="15" borderId="21" xfId="0" applyNumberFormat="1" applyFont="1" applyFill="1" applyBorder="1" applyAlignment="1">
      <x:alignment horizontal="center" wrapText="1"/>
    </x:xf>
    <x:xf numFmtId="0" fontId="3" fillId="15" borderId="22" xfId="0" applyNumberFormat="1" applyFont="1" applyFill="1" applyBorder="1" applyAlignment="1">
      <x:alignment horizontal="center" wrapText="1"/>
    </x:xf>
    <x:xf numFmtId="0" fontId="3" fillId="15" borderId="23" xfId="0" applyNumberFormat="1" applyFont="1" applyFill="1" applyBorder="1" applyAlignment="1">
      <x:alignment horizontal="center" wrapText="1"/>
    </x:xf>
    <x:xf numFmtId="0" fontId="3" fillId="15" borderId="21" xfId="0" applyNumberFormat="1" applyFont="1" applyFill="1" applyBorder="1" applyAlignment="1">
      <x:alignment horizontal="center" vertical="center" wrapText="1"/>
    </x:xf>
    <x:xf numFmtId="0" fontId="3" fillId="15" borderId="22" xfId="0" applyNumberFormat="1" applyFont="1" applyFill="1" applyBorder="1" applyAlignment="1">
      <x:alignment horizontal="center" vertical="center" wrapText="1"/>
    </x:xf>
    <x:xf numFmtId="0" fontId="3" fillId="15" borderId="23" xfId="0" applyNumberFormat="1" applyFont="1" applyFill="1" applyBorder="1" applyAlignment="1">
      <x:alignment horizontal="center" vertical="center" wrapText="1"/>
    </x:xf>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204" fontId="0" fillId="0" borderId="25" xfId="0" applyNumberFormat="1" applyFont="1" applyFill="1" applyBorder="1" applyAlignment="1">
      <x:alignment vertical="top" wrapText="1"/>
    </x:xf>
    <x:xf numFmtId="204" fontId="0" fillId="0" borderId="30" xfId="0" applyNumberFormat="1" applyFont="1" applyFill="1" applyBorder="1" applyAlignment="1">
      <x:alignment vertical="top" wrapText="1"/>
    </x:xf>
    <x:xf numFmtId="204" fontId="4" fillId="0" borderId="25" xfId="0" applyNumberFormat="1" applyFont="1" applyFill="1" applyBorder="1" applyAlignment="1">
      <x:alignment vertical="top" wrapText="1"/>
    </x:xf>
    <x:xf numFmtId="204" fontId="4" fillId="0" borderId="30" xfId="0" applyNumberFormat="1" applyFont="1" applyFill="1" applyBorder="1" applyAlignment="1">
      <x:alignment vertical="top" wrapText="1"/>
    </x:xf>
    <x:xf numFmtId="204" fontId="6" fillId="0" borderId="25" xfId="0" applyNumberFormat="1" applyFont="1" applyFill="1" applyBorder="1" applyAlignment="1">
      <x:alignment vertical="top" wrapText="1"/>
    </x:xf>
    <x:xf numFmtId="204" fontId="6" fillId="0" xfId="0" applyNumberFormat="1" applyFont="1" applyFill="1" applyBorder="0" applyAlignment="1">
      <x:alignment vertical="top" wrapText="1"/>
    </x:xf>
    <x:xf numFmtId="204" fontId="6" fillId="0" borderId="30"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204" fontId="0" fillId="0" borderId="33" xfId="0" applyNumberFormat="1" applyFont="1" applyFill="1" applyBorder="1" applyAlignment="1">
      <x:alignment vertical="top" wrapText="1"/>
    </x:xf>
    <x:xf numFmtId="204" fontId="4" fillId="0" borderId="33" xfId="0" applyNumberFormat="1" applyFont="1" applyFill="1" applyBorder="1" applyAlignment="1">
      <x:alignment vertical="top" wrapText="1"/>
    </x:xf>
    <x:xf numFmtId="0" fontId="7" fillId="0" borderId="24" xfId="0" applyNumberFormat="1" applyFont="1" applyFill="1" applyBorder="1" applyAlignment="1">
      <x:alignment vertical="top" wrapText="1"/>
    </x:xf>
    <x:xf numFmtId="0" fontId="7" fillId="0" borderId="27" xfId="0" applyNumberFormat="1" applyFont="1" applyFill="1" applyBorder="1" applyAlignment="1">
      <x:alignment vertical="top" wrapText="1"/>
    </x:xf>
    <x:xf numFmtId="0" fontId="7" fillId="0" borderId="29"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30" xfId="0" applyNumberFormat="1" applyFont="1" applyFill="1" applyBorder="1" applyAlignment="1">
      <x:alignment vertical="top" wrapText="1"/>
    </x:xf>
    <x:xf numFmtId="204" fontId="6" fillId="0" borderId="0"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left"/>
    </x:xf>
    <x:xf numFmtId="0" fontId="1" fillId="16" borderId="0" xfId="0" applyNumberFormat="1" applyFont="1" applyFill="1" applyBorder="1" applyAlignment="1">
      <x:alignment horizontal="left" vertical="center"/>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wrapText="1"/>
    </x:xf>
    <x:xf numFmtId="0" fontId="0" fillId="18" borderId="0" xfId="0" applyNumberFormat="1" applyFont="1" applyFill="1" applyBorder="1"/>
    <x:xf numFmtId="0" fontId="3" fillId="18" borderId="0" xfId="0" applyNumberFormat="1" applyFont="1" applyFill="1" applyBorder="1"/>
    <x:xf numFmtId="0" fontId="3" fillId="18" borderId="35" xfId="0" applyNumberFormat="1" applyFont="1" applyFill="1" applyBorder="1"/>
    <x:xf numFmtId="0" fontId="3" fillId="18" borderId="36" xfId="0" applyNumberFormat="1" applyFont="1" applyFill="1" applyBorder="1"/>
    <x:xf numFmtId="0" fontId="3" fillId="18" borderId="37" xfId="0" applyNumberFormat="1" applyFont="1" applyFill="1" applyBorder="1"/>
    <x:xf numFmtId="0" fontId="3" fillId="18" borderId="35" xfId="0" applyNumberFormat="1" applyFont="1" applyFill="1" applyBorder="1" applyAlignment="1">
      <x:alignment wrapText="1"/>
    </x:xf>
    <x:xf numFmtId="0" fontId="3" fillId="18" borderId="36" xfId="0" applyNumberFormat="1" applyFont="1" applyFill="1" applyBorder="1" applyAlignment="1">
      <x:alignment wrapText="1"/>
    </x:xf>
    <x:xf numFmtId="0" fontId="3" fillId="18" borderId="37" xfId="0" applyNumberFormat="1" applyFont="1" applyFill="1" applyBorder="1" applyAlignment="1">
      <x:alignment wrapText="1"/>
    </x:xf>
    <x:xf numFmtId="0" fontId="3" fillId="18" borderId="35" xfId="0" applyNumberFormat="1" applyFont="1" applyFill="1" applyBorder="1" applyAlignment="1">
      <x:alignment horizontal="center" wrapText="1"/>
    </x:xf>
    <x:xf numFmtId="0" fontId="3" fillId="18" borderId="36" xfId="0" applyNumberFormat="1" applyFont="1" applyFill="1" applyBorder="1" applyAlignment="1">
      <x:alignment horizontal="center" wrapText="1"/>
    </x:xf>
    <x:xf numFmtId="0" fontId="3" fillId="18" borderId="37" xfId="0" applyNumberFormat="1" applyFont="1" applyFill="1" applyBorder="1" applyAlignment="1">
      <x:alignment horizontal="center" wrapText="1"/>
    </x:xf>
    <x:xf numFmtId="0" fontId="3" fillId="18" borderId="35" xfId="0" applyNumberFormat="1" applyFont="1" applyFill="1" applyBorder="1" applyAlignment="1">
      <x:alignment horizontal="center" vertical="center" wrapText="1"/>
    </x:xf>
    <x:xf numFmtId="0" fontId="3" fillId="18" borderId="36" xfId="0" applyNumberFormat="1" applyFont="1" applyFill="1" applyBorder="1" applyAlignment="1">
      <x:alignment horizontal="center" vertical="center" wrapText="1"/>
    </x:xf>
    <x:xf numFmtId="0" fontId="3" fillId="18" borderId="37" xfId="0" applyNumberFormat="1" applyFont="1" applyFill="1" applyBorder="1" applyAlignment="1">
      <x:alignment horizontal="center" vertical="center" wrapText="1"/>
    </x:xf>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206" fontId="0" fillId="0" borderId="39" xfId="0" applyNumberFormat="1" applyFont="1" applyFill="1" applyBorder="1" applyAlignment="1">
      <x:alignment vertical="top" wrapText="1"/>
    </x:xf>
    <x:xf numFmtId="206" fontId="0" fillId="0" borderId="44" xfId="0" applyNumberFormat="1" applyFont="1" applyFill="1" applyBorder="1" applyAlignment="1">
      <x:alignment vertical="top" wrapText="1"/>
    </x:xf>
    <x:xf numFmtId="0" fontId="4" fillId="0" borderId="39" xfId="0" applyNumberFormat="1" applyFont="1" applyFill="1" applyBorder="1" applyAlignment="1">
      <x:alignment vertical="top" wrapText="1"/>
    </x:xf>
    <x:xf numFmtId="206" fontId="4" fillId="0" borderId="39" xfId="0" applyNumberFormat="1" applyFont="1" applyFill="1" applyBorder="1" applyAlignment="1">
      <x:alignment vertical="top" wrapText="1"/>
    </x:xf>
    <x:xf numFmtId="0" fontId="4" fillId="0" borderId="44" xfId="0" applyNumberFormat="1" applyFont="1" applyFill="1" applyBorder="1" applyAlignment="1">
      <x:alignment vertical="top" wrapText="1"/>
    </x:xf>
    <x:xf numFmtId="206" fontId="4" fillId="0" borderId="44" xfId="0" applyNumberFormat="1" applyFont="1" applyFill="1" applyBorder="1" applyAlignment="1">
      <x:alignment vertical="top" wrapText="1"/>
    </x:xf>
    <x:xf numFmtId="206" fontId="6" fillId="0" borderId="39" xfId="0" applyNumberFormat="1" applyFont="1" applyFill="1" applyBorder="1" applyAlignment="1">
      <x:alignment vertical="top" wrapText="1"/>
    </x:xf>
    <x:xf numFmtId="206" fontId="6" fillId="0" borderId="44" xfId="0" applyNumberFormat="1" applyFont="1" applyFill="1" applyBorder="1" applyAlignment="1">
      <x:alignment vertical="top" wrapText="1"/>
    </x:xf>
    <x:xf numFmtId="206" fontId="0" fillId="0" borderId="0" xfId="0" applyNumberFormat="1" applyFont="1" applyFill="1" applyBorder="1"/>
    <x:xf numFmtId="206" fontId="4" fillId="0" borderId="0" xfId="0" applyNumberFormat="1" applyFont="1" applyFill="1" applyBorder="1"/>
    <x:xf numFmtId="206" fontId="4" fillId="0" borderId="39" xfId="0" applyNumberFormat="1" applyFont="1" applyFill="1" applyBorder="1"/>
    <x:xf numFmtId="206" fontId="4" fillId="0" xfId="0" applyNumberFormat="1" applyFont="1" applyFill="1" applyBorder="0"/>
    <x:xf numFmtId="206" fontId="4" fillId="0" borderId="44" xfId="0" applyNumberFormat="1" applyFont="1" applyFill="1" applyBorder="1"/>
    <x:xf numFmtId="206" fontId="4" fillId="0" borderId="39" xfId="0" applyNumberFormat="1" applyFont="1" applyFill="1" applyBorder="1" applyAlignment="1">
      <x:alignment wrapText="1"/>
    </x:xf>
    <x:xf numFmtId="206" fontId="4" fillId="0" xfId="0" applyNumberFormat="1" applyFont="1" applyFill="1" applyBorder="0" applyAlignment="1">
      <x:alignment wrapText="1"/>
    </x:xf>
    <x:xf numFmtId="206" fontId="4" fillId="0" borderId="44" xfId="0" applyNumberFormat="1" applyFont="1" applyFill="1" applyBorder="1" applyAlignment="1">
      <x:alignment wrapText="1"/>
    </x:xf>
    <x:xf numFmtId="208" fontId="0" fillId="0" borderId="39" xfId="0" applyNumberFormat="1" applyFont="1" applyFill="1" applyBorder="1" applyAlignment="1">
      <x:alignment vertical="top" wrapText="1"/>
    </x:xf>
    <x:xf numFmtId="208" fontId="0" fillId="0" borderId="44" xfId="0" applyNumberFormat="1" applyFont="1" applyFill="1" applyBorder="1" applyAlignment="1">
      <x:alignment vertical="top" wrapText="1"/>
    </x:xf>
    <x:xf numFmtId="208" fontId="6" fillId="0" borderId="39" xfId="0" applyNumberFormat="1" applyFont="1" applyFill="1" applyBorder="1" applyAlignment="1">
      <x:alignment vertical="top" wrapText="1"/>
    </x:xf>
    <x:xf numFmtId="208" fontId="6" fillId="0" xfId="0" applyNumberFormat="1" applyFont="1" applyFill="1" applyBorder="0" applyAlignment="1">
      <x:alignment vertical="top" wrapText="1"/>
    </x:xf>
    <x:xf numFmtId="208" fontId="6" fillId="0" borderId="44" xfId="0" applyNumberFormat="1" applyFont="1" applyFill="1" applyBorder="1" applyAlignment="1">
      <x:alignment vertical="top" wrapText="1"/>
    </x:xf>
    <x:xf numFmtId="209" fontId="0" fillId="0" borderId="0" xfId="0" applyNumberFormat="1" applyFont="1" applyFill="1" applyBorder="1"/>
    <x:xf numFmtId="209" fontId="0" fillId="0" borderId="0" xfId="0" applyNumberFormat="1" applyFont="1" applyFill="1" applyBorder="1" applyAlignment="1">
      <x:alignment wrapText="1"/>
    </x:xf>
    <x:xf numFmtId="208" fontId="0" fillId="0" borderId="0" xfId="0" applyNumberFormat="1" applyFont="1" applyFill="1" applyBorder="1"/>
    <x:xf numFmtId="208" fontId="0" fillId="0" xfId="0" applyNumberFormat="1" applyFont="1" applyFill="1" applyBorder="0"/>
    <x:xf numFmtId="208" fontId="0" fillId="0" xfId="0" applyNumberFormat="1" applyFont="1" applyFill="1" applyBorder="0" applyAlignment="1">
      <x:alignment wrapText="1"/>
    </x:xf>
    <x:xf numFmtId="0" fontId="7" fillId="0" borderId="38" xfId="0" applyNumberFormat="1" applyFont="1" applyFill="1" applyBorder="1" applyAlignment="1">
      <x:alignment vertical="top" wrapText="1"/>
    </x:xf>
    <x:xf numFmtId="0" fontId="7" fillId="0" borderId="41" xfId="0" applyNumberFormat="1" applyFont="1" applyFill="1" applyBorder="1" applyAlignment="1">
      <x:alignment vertical="top" wrapText="1"/>
    </x:xf>
    <x:xf numFmtId="0" fontId="7" fillId="0" borderId="43" xfId="0" applyNumberFormat="1" applyFont="1" applyFill="1" applyBorder="1" applyAlignment="1">
      <x:alignment vertical="top" wrapText="1"/>
    </x:xf>
    <x:xf numFmtId="208" fontId="6" fillId="0" borderId="0" xfId="0" applyNumberFormat="1" applyFont="1" applyFill="1" applyBorder="1" applyAlignment="1">
      <x:alignment vertical="top" wrapText="1"/>
    </x:xf>
    <x:xf numFmtId="206" fontId="6" fillId="0" borderId="0" xfId="0" applyNumberFormat="1" applyFont="1" applyFill="1" applyBorder="1"/>
    <x:xf numFmtId="208" fontId="6" fillId="0" borderId="0" xfId="0" applyNumberFormat="1" applyFont="1" applyFill="1" applyBorder="1"/>
    <x:xf numFmtId="0" fontId="0" fillId="0" borderId="46" xfId="0" applyNumberFormat="1" applyFont="1" applyFill="1" applyBorder="1"/>
    <x:xf numFmtId="0" fontId="0" fillId="0" borderId="47" xfId="0" applyNumberFormat="1" applyFont="1" applyFill="1" applyBorder="1"/>
    <x:xf numFmtId="206" fontId="4" fillId="0" borderId="47" xfId="0" applyNumberFormat="1" applyFont="1" applyFill="1" applyBorder="1"/>
    <x:xf numFmtId="206" fontId="6" fillId="0" borderId="47" xfId="0" applyNumberFormat="1" applyFont="1" applyFill="1" applyBorder="1"/>
    <x:xf numFmtId="208" fontId="6" fillId="0" borderId="47" xfId="0" applyNumberFormat="1" applyFont="1" applyFill="1" applyBorder="1"/>
    <x:xf numFmtId="0" fontId="0" fillId="0" borderId="48" xfId="0" applyNumberFormat="1" applyFont="1" applyFill="1" applyBorder="1"/>
    <x:xf numFmtId="0" fontId="0" fillId="0" borderId="49" xfId="0" applyNumberFormat="1" applyFont="1" applyFill="1" applyBorder="1"/>
    <x:xf numFmtId="206" fontId="6" fillId="0" xfId="0" applyNumberFormat="1" applyFont="1" applyFill="1" applyBorder="0"/>
    <x:xf numFmtId="208" fontId="6" fillId="0" xfId="0" applyNumberFormat="1" applyFont="1" applyFill="1" applyBorder="0"/>
    <x:xf numFmtId="0" fontId="0" fillId="0" borderId="50" xfId="0" applyNumberFormat="1" applyFont="1" applyFill="1" applyBorder="1"/>
    <x:xf numFmtId="0" fontId="0" fillId="0" borderId="51" xfId="0" applyNumberFormat="1" applyFont="1" applyFill="1" applyBorder="1"/>
    <x:xf numFmtId="0" fontId="0" fillId="0" borderId="52" xfId="0" applyNumberFormat="1" applyFont="1" applyFill="1" applyBorder="1"/>
    <x:xf numFmtId="206" fontId="4" fillId="0" borderId="52" xfId="0" applyNumberFormat="1" applyFont="1" applyFill="1" applyBorder="1"/>
    <x:xf numFmtId="206" fontId="6" fillId="0" borderId="52" xfId="0" applyNumberFormat="1" applyFont="1" applyFill="1" applyBorder="1"/>
    <x:xf numFmtId="208" fontId="6" fillId="0" borderId="52" xfId="0" applyNumberFormat="1" applyFont="1" applyFill="1" applyBorder="1"/>
    <x:xf numFmtId="0" fontId="0" fillId="0" borderId="53" xfId="0" applyNumberFormat="1" applyFont="1" applyFill="1" applyBorder="1"/>
    <x:xf numFmtId="0" fontId="0" fillId="0" borderId="46" xfId="0" applyNumberFormat="1" applyFont="1" applyFill="1" applyBorder="1" applyAlignment="1">
      <x:alignment wrapText="1"/>
    </x:xf>
    <x:xf numFmtId="0" fontId="0" fillId="0" borderId="47" xfId="0" applyNumberFormat="1" applyFont="1" applyFill="1" applyBorder="1" applyAlignment="1">
      <x:alignment wrapText="1"/>
    </x:xf>
    <x:xf numFmtId="206" fontId="4" fillId="0" borderId="47" xfId="0" applyNumberFormat="1" applyFont="1" applyFill="1" applyBorder="1" applyAlignment="1">
      <x:alignment wrapText="1"/>
    </x:xf>
    <x:xf numFmtId="206" fontId="6" fillId="0" borderId="47" xfId="0" applyNumberFormat="1" applyFont="1" applyFill="1" applyBorder="1" applyAlignment="1">
      <x:alignment wrapText="1"/>
    </x:xf>
    <x:xf numFmtId="208" fontId="6" fillId="0" borderId="47" xfId="0" applyNumberFormat="1" applyFont="1" applyFill="1" applyBorder="1" applyAlignment="1">
      <x:alignment wrapText="1"/>
    </x:xf>
    <x:xf numFmtId="0" fontId="0" fillId="0" borderId="48" xfId="0" applyNumberFormat="1" applyFont="1" applyFill="1" applyBorder="1" applyAlignment="1">
      <x:alignment wrapText="1"/>
    </x:xf>
    <x:xf numFmtId="0" fontId="0" fillId="0" borderId="49" xfId="0" applyNumberFormat="1" applyFont="1" applyFill="1" applyBorder="1" applyAlignment="1">
      <x:alignment wrapText="1"/>
    </x:xf>
    <x:xf numFmtId="206" fontId="6" fillId="0" xfId="0" applyNumberFormat="1" applyFont="1" applyFill="1" applyBorder="0" applyAlignment="1">
      <x:alignment wrapText="1"/>
    </x:xf>
    <x:xf numFmtId="208" fontId="6" fillId="0" xfId="0" applyNumberFormat="1" applyFont="1" applyFill="1" applyBorder="0" applyAlignment="1">
      <x:alignment wrapText="1"/>
    </x:xf>
    <x:xf numFmtId="0" fontId="0" fillId="0" borderId="50" xfId="0" applyNumberFormat="1" applyFont="1" applyFill="1" applyBorder="1" applyAlignment="1">
      <x:alignment wrapText="1"/>
    </x:xf>
    <x:xf numFmtId="0" fontId="0" fillId="0" borderId="51" xfId="0" applyNumberFormat="1" applyFont="1" applyFill="1" applyBorder="1" applyAlignment="1">
      <x:alignment wrapText="1"/>
    </x:xf>
    <x:xf numFmtId="0" fontId="0" fillId="0" borderId="52" xfId="0" applyNumberFormat="1" applyFont="1" applyFill="1" applyBorder="1" applyAlignment="1">
      <x:alignment wrapText="1"/>
    </x:xf>
    <x:xf numFmtId="206" fontId="4" fillId="0" borderId="52" xfId="0" applyNumberFormat="1" applyFont="1" applyFill="1" applyBorder="1" applyAlignment="1">
      <x:alignment wrapText="1"/>
    </x:xf>
    <x:xf numFmtId="206" fontId="6" fillId="0" borderId="52" xfId="0" applyNumberFormat="1" applyFont="1" applyFill="1" applyBorder="1" applyAlignment="1">
      <x:alignment wrapText="1"/>
    </x:xf>
    <x:xf numFmtId="208" fontId="6"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vertical="top" wrapText="1"/>
    </x:xf>
    <x:xf numFmtId="206" fontId="4" fillId="0" borderId="47" xfId="0" applyNumberFormat="1" applyFont="1" applyFill="1" applyBorder="1" applyAlignment="1">
      <x:alignment vertical="top" wrapText="1"/>
    </x:xf>
    <x:xf numFmtId="206" fontId="6" fillId="0" borderId="47" xfId="0" applyNumberFormat="1" applyFont="1" applyFill="1" applyBorder="1" applyAlignment="1">
      <x:alignment vertical="top" wrapText="1"/>
    </x:xf>
    <x:xf numFmtId="208" fontId="6"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applyAlignment="1">
      <x:alignment vertical="top"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206" fontId="4" fillId="0" borderId="52" xfId="0" applyNumberFormat="1" applyFont="1" applyFill="1" applyBorder="1" applyAlignment="1">
      <x:alignment vertical="top" wrapText="1"/>
    </x:xf>
    <x:xf numFmtId="206" fontId="6" fillId="0" borderId="52" xfId="0" applyNumberFormat="1" applyFont="1" applyFill="1" applyBorder="1" applyAlignment="1">
      <x:alignment vertical="top" wrapText="1"/>
    </x:xf>
    <x:xf numFmtId="208" fontId="6"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horizontal="left"/>
    </x:xf>
    <x:xf numFmtId="0" fontId="1" fillId="19" borderId="0" xfId="0" applyNumberFormat="1" applyFont="1" applyFill="1" applyBorder="1" applyAlignment="1">
      <x:alignment horizontal="left" vertical="center"/>
    </x:xf>
    <x:xf numFmtId="0" fontId="0" fillId="20" borderId="0"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54" xfId="0" applyNumberFormat="1" applyFont="1" applyFill="1" applyBorder="1"/>
    <x:xf numFmtId="0" fontId="3" fillId="21" borderId="55" xfId="0" applyNumberFormat="1" applyFont="1" applyFill="1" applyBorder="1"/>
    <x:xf numFmtId="0" fontId="3" fillId="21" borderId="56" xfId="0" applyNumberFormat="1" applyFont="1" applyFill="1" applyBorder="1"/>
    <x:xf numFmtId="0" fontId="3" fillId="21" borderId="54" xfId="0" applyNumberFormat="1" applyFont="1" applyFill="1" applyBorder="1" applyAlignment="1">
      <x:alignment wrapText="1"/>
    </x:xf>
    <x:xf numFmtId="0" fontId="3" fillId="21" borderId="55" xfId="0" applyNumberFormat="1" applyFont="1" applyFill="1" applyBorder="1" applyAlignment="1">
      <x:alignment wrapText="1"/>
    </x:xf>
    <x:xf numFmtId="0" fontId="3" fillId="21" borderId="56" xfId="0" applyNumberFormat="1" applyFont="1" applyFill="1" applyBorder="1" applyAlignment="1">
      <x:alignment wrapText="1"/>
    </x:xf>
    <x:xf numFmtId="0" fontId="3" fillId="21" borderId="54" xfId="0" applyNumberFormat="1" applyFont="1" applyFill="1" applyBorder="1" applyAlignment="1">
      <x:alignment horizontal="center" wrapText="1"/>
    </x:xf>
    <x:xf numFmtId="0" fontId="3" fillId="21" borderId="55" xfId="0" applyNumberFormat="1" applyFont="1" applyFill="1" applyBorder="1" applyAlignment="1">
      <x:alignment horizontal="center" wrapText="1"/>
    </x:xf>
    <x:xf numFmtId="0" fontId="3" fillId="21" borderId="56" xfId="0" applyNumberFormat="1" applyFont="1" applyFill="1" applyBorder="1" applyAlignment="1">
      <x:alignment horizontal="center" wrapText="1"/>
    </x:xf>
    <x:xf numFmtId="0" fontId="3" fillId="21" borderId="54" xfId="0" applyNumberFormat="1" applyFont="1" applyFill="1" applyBorder="1" applyAlignment="1">
      <x:alignment horizontal="center" vertical="center" wrapText="1"/>
    </x:xf>
    <x:xf numFmtId="0" fontId="3" fillId="21" borderId="55" xfId="0" applyNumberFormat="1" applyFont="1" applyFill="1" applyBorder="1" applyAlignment="1">
      <x:alignment horizontal="center" vertical="center" wrapText="1"/>
    </x:xf>
    <x:xf numFmtId="0" fontId="3" fillId="21" borderId="56" xfId="0" applyNumberFormat="1" applyFont="1" applyFill="1" applyBorder="1" applyAlignment="1">
      <x:alignment horizontal="center" vertical="center" wrapText="1"/>
    </x:xf>
    <x:xf numFmtId="206" fontId="0" fillId="0" borderId="47" xfId="0" applyNumberFormat="1" applyFont="1" applyFill="1" applyBorder="1" applyAlignment="1">
      <x:alignment vertical="top" wrapText="1"/>
    </x:xf>
    <x:xf numFmtId="206" fontId="0" fillId="0" borderId="52" xfId="0" applyNumberFormat="1" applyFont="1" applyFill="1" applyBorder="1" applyAlignment="1">
      <x:alignment vertical="top" wrapText="1"/>
    </x:xf>
    <x:xf numFmtId="206" fontId="5" fillId="0" borderId="47" xfId="0" applyNumberFormat="1" applyFont="1" applyFill="1" applyBorder="1" applyAlignment="1">
      <x:alignment vertical="top" wrapText="1"/>
    </x:xf>
    <x:xf numFmtId="206" fontId="5" fillId="0" xfId="0" applyNumberFormat="1" applyFont="1" applyFill="1" applyBorder="0" applyAlignment="1">
      <x:alignment vertical="top" wrapText="1"/>
    </x:xf>
    <x:xf numFmtId="206" fontId="5" fillId="0" borderId="52" xfId="0" applyNumberFormat="1" applyFont="1" applyFill="1" applyBorder="1" applyAlignment="1">
      <x:alignment vertical="top" wrapText="1"/>
    </x:xf>
    <x:xf numFmtId="0" fontId="4" fillId="0" borderId="47" xfId="0" applyNumberFormat="1" applyFont="1" applyFill="1" applyBorder="1" applyAlignment="1">
      <x:alignment vertical="top" wrapText="1"/>
    </x:xf>
    <x:xf numFmtId="0" fontId="4" fillId="0" borderId="52" xfId="0" applyNumberFormat="1" applyFont="1" applyFill="1" applyBorder="1" applyAlignment="1">
      <x:alignment vertical="top" wrapText="1"/>
    </x:xf>
    <x:xf numFmtId="201" fontId="4" fillId="0" borderId="47" xfId="0" applyNumberFormat="1" applyFont="1" applyFill="1" applyBorder="1" applyAlignment="1">
      <x:alignment vertical="top" wrapText="1"/>
    </x:xf>
    <x:xf numFmtId="201" fontId="4" fillId="0" xfId="0" applyNumberFormat="1" applyFont="1" applyFill="1" applyBorder="0" applyAlignment="1">
      <x:alignment vertical="top" wrapText="1"/>
    </x:xf>
    <x:xf numFmtId="201" fontId="4" fillId="0" borderId="52" xfId="0" applyNumberFormat="1" applyFont="1" applyFill="1" applyBorder="1" applyAlignment="1">
      <x:alignment vertical="top" wrapText="1"/>
    </x:xf>
    <x:xf numFmtId="0" fontId="7" fillId="0" borderId="46" xfId="0" applyNumberFormat="1" applyFont="1" applyFill="1" applyBorder="1" applyAlignment="1">
      <x:alignment vertical="top" wrapText="1"/>
    </x:xf>
    <x:xf numFmtId="0" fontId="7" fillId="0" borderId="49" xfId="0" applyNumberFormat="1" applyFont="1" applyFill="1" applyBorder="1" applyAlignment="1">
      <x:alignment vertical="top" wrapText="1"/>
    </x:xf>
    <x:xf numFmtId="0" fontId="7" fillId="0" borderId="51" xfId="0" applyNumberFormat="1" applyFont="1" applyFill="1" applyBorder="1" applyAlignment="1">
      <x:alignment vertical="top" wrapText="1"/>
    </x:xf>
    <x:xf numFmtId="206" fontId="6" fillId="0" borderId="0" xfId="0" applyNumberFormat="1" applyFont="1" applyFill="1" applyBorder="1" applyAlignment="1">
      <x:alignment wrapText="1"/>
    </x:xf>
    <x:xf numFmtId="208" fontId="6" fillId="0" borderId="0" xfId="0" applyNumberFormat="1" applyFont="1" applyFill="1" applyBorder="1" applyAlignment="1">
      <x:alignment wrapText="1"/>
    </x:xf>
    <x:xf numFmtId="206" fontId="5"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0" fillId="22" borderId="0" xfId="0" applyNumberFormat="1" applyFont="1" applyFill="1" applyBorder="1" applyAlignment="1">
      <x:alignment wrapText="1"/>
    </x:xf>
    <x:xf numFmtId="200" fontId="5" fillId="22" borderId="0" xfId="0" applyNumberFormat="1" applyFont="1" applyFill="1" applyBorder="1" applyAlignment="1">
      <x:alignment wrapText="1"/>
    </x:xf>
    <x:xf numFmtId="0" fontId="11" fillId="22" borderId="0" xfId="0" applyNumberFormat="1" applyFont="1" applyFill="1" applyBorder="1" applyAlignment="1">
      <x:alignment wrapText="1"/>
    </x:xf>
    <x:xf numFmtId="200" fontId="11" fillId="22" borderId="0" xfId="0" applyNumberFormat="1" applyFont="1" applyFill="1" applyBorder="1" applyAlignment="1">
      <x:alignment wrapText="1"/>
    </x:xf>
    <x:xf numFmtId="0" fontId="11" fillId="22" borderId="57" xfId="0" applyNumberFormat="1" applyFont="1" applyFill="1" applyBorder="1" applyAlignment="1">
      <x:alignment wrapText="1"/>
    </x:xf>
    <x:xf numFmtId="200" fontId="11" fillId="22" borderId="58" xfId="0" applyNumberFormat="1" applyFont="1" applyFill="1" applyBorder="1" applyAlignment="1">
      <x:alignment wrapText="1"/>
    </x:xf>
    <x:xf numFmtId="0" fontId="11" fillId="22" borderId="58" xfId="0" applyNumberFormat="1" applyFont="1" applyFill="1" applyBorder="1" applyAlignment="1">
      <x:alignment wrapText="1"/>
    </x:xf>
    <x:xf numFmtId="0" fontId="11" fillId="22" borderId="59" xfId="0" applyNumberFormat="1" applyFont="1" applyFill="1" applyBorder="1" applyAlignment="1">
      <x:alignment wrapText="1"/>
    </x:xf>
    <x:xf numFmtId="200" fontId="0"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0" fillId="0" borderId="60" xfId="0" applyNumberFormat="1" applyFont="1" applyFill="1" applyBorder="1"/>
    <x:xf numFmtId="0" fontId="0" fillId="0" borderId="61" xfId="0" applyNumberFormat="1" applyFont="1" applyFill="1" applyBorder="1"/>
    <x:xf numFmtId="0" fontId="0" fillId="0" borderId="62" xfId="0" applyNumberFormat="1" applyFont="1" applyFill="1" applyBorder="1"/>
    <x:xf numFmtId="0" fontId="0" fillId="0" borderId="63" xfId="0" applyNumberFormat="1" applyFont="1" applyFill="1" applyBorder="1"/>
    <x:xf numFmtId="0" fontId="0" fillId="0" borderId="64" xfId="0" applyNumberFormat="1" applyFont="1" applyFill="1" applyBorder="1"/>
    <x:xf numFmtId="0" fontId="0" fillId="0" borderId="65" xfId="0" applyNumberFormat="1" applyFont="1" applyFill="1" applyBorder="1"/>
    <x:xf numFmtId="0" fontId="0" fillId="0" borderId="66" xfId="0" applyNumberFormat="1" applyFont="1" applyFill="1" applyBorder="1"/>
    <x:xf numFmtId="0" fontId="0" fillId="0" borderId="67" xfId="0" applyNumberFormat="1" applyFont="1" applyFill="1" applyBorder="1"/>
    <x:xf numFmtId="0" fontId="0" fillId="0" borderId="60" xfId="0" applyNumberFormat="1" applyFont="1" applyFill="1" applyBorder="1" applyAlignment="1">
      <x:alignment wrapText="1"/>
    </x:xf>
    <x:xf numFmtId="0" fontId="0" fillId="0" borderId="61" xfId="0" applyNumberFormat="1" applyFont="1" applyFill="1" applyBorder="1" applyAlignment="1">
      <x:alignment wrapText="1"/>
    </x:xf>
    <x:xf numFmtId="0" fontId="0" fillId="0" borderId="62" xfId="0" applyNumberFormat="1" applyFont="1" applyFill="1" applyBorder="1" applyAlignment="1">
      <x:alignment wrapText="1"/>
    </x:xf>
    <x:xf numFmtId="0" fontId="0" fillId="0" borderId="63" xfId="0" applyNumberFormat="1" applyFont="1" applyFill="1" applyBorder="1"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0" fontId="0" fillId="0" borderId="67"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horizontal="left"/>
    </x:xf>
    <x:xf numFmtId="0" fontId="1" fillId="24" borderId="0" xfId="0" applyNumberFormat="1" applyFont="1" applyFill="1" applyBorder="1" applyAlignment="1">
      <x:alignment horizontal="left" vertical="center"/>
    </x:xf>
    <x:xf numFmtId="0" fontId="0" fillId="25" borderId="0" xfId="0" applyNumberFormat="1" applyFont="1" applyFill="1" applyBorder="1"/>
    <x:xf numFmtId="0" fontId="10" fillId="25" borderId="0" xfId="0" applyNumberFormat="1" applyFont="1" applyFill="1" applyBorder="1"/>
    <x:xf numFmtId="0" fontId="10" fillId="25" borderId="0" xfId="0" applyNumberFormat="1" applyFont="1" applyFill="1" applyBorder="1" applyAlignment="1">
      <x:alignment wrapText="1"/>
    </x:xf>
    <x:xf numFmtId="0" fontId="3" fillId="23" borderId="57" xfId="0" applyNumberFormat="1" applyFont="1" applyFill="1" applyBorder="1"/>
    <x:xf numFmtId="0" fontId="3" fillId="23" borderId="58" xfId="0" applyNumberFormat="1" applyFont="1" applyFill="1" applyBorder="1"/>
    <x:xf numFmtId="0" fontId="3" fillId="23" borderId="59" xfId="0" applyNumberFormat="1" applyFont="1" applyFill="1" applyBorder="1"/>
    <x:xf numFmtId="0" fontId="3" fillId="23" borderId="57" xfId="0" applyNumberFormat="1" applyFont="1" applyFill="1" applyBorder="1" applyAlignment="1">
      <x:alignment wrapText="1"/>
    </x:xf>
    <x:xf numFmtId="0" fontId="3" fillId="23" borderId="58" xfId="0" applyNumberFormat="1" applyFont="1" applyFill="1" applyBorder="1" applyAlignment="1">
      <x:alignment wrapText="1"/>
    </x:xf>
    <x:xf numFmtId="0" fontId="3" fillId="23" borderId="59" xfId="0" applyNumberFormat="1" applyFont="1" applyFill="1" applyBorder="1" applyAlignment="1">
      <x:alignment wrapText="1"/>
    </x:xf>
    <x:xf numFmtId="0" fontId="3" fillId="23" borderId="57" xfId="0" applyNumberFormat="1" applyFont="1" applyFill="1" applyBorder="1" applyAlignment="1">
      <x:alignment horizontal="center" wrapText="1"/>
    </x:xf>
    <x:xf numFmtId="0" fontId="3" fillId="23" borderId="58" xfId="0" applyNumberFormat="1" applyFont="1" applyFill="1" applyBorder="1" applyAlignment="1">
      <x:alignment horizontal="center" wrapText="1"/>
    </x:xf>
    <x:xf numFmtId="0" fontId="3" fillId="23" borderId="59" xfId="0" applyNumberFormat="1" applyFont="1" applyFill="1" applyBorder="1" applyAlignment="1">
      <x:alignment horizontal="center" wrapText="1"/>
    </x:xf>
    <x:xf numFmtId="0" fontId="3" fillId="23" borderId="57" xfId="0" applyNumberFormat="1" applyFont="1" applyFill="1" applyBorder="1" applyAlignment="1">
      <x:alignment horizontal="center" vertical="center" wrapText="1"/>
    </x:xf>
    <x:xf numFmtId="0" fontId="3" fillId="23" borderId="58" xfId="0" applyNumberFormat="1" applyFont="1" applyFill="1" applyBorder="1" applyAlignment="1">
      <x:alignment horizontal="center" vertical="center" wrapText="1"/>
    </x:xf>
    <x:xf numFmtId="0" fontId="3" fillId="23" borderId="59" xfId="0" applyNumberFormat="1" applyFont="1" applyFill="1" applyBorder="1" applyAlignment="1">
      <x:alignment horizontal="center" vertical="center" wrapText="1"/>
    </x:xf>
    <x:xf numFmtId="0" fontId="0" fillId="0" borderId="60" xfId="0" applyNumberFormat="1" applyFont="1" applyFill="1" applyBorder="1" applyAlignment="1">
      <x:alignment vertical="top" wrapText="1"/>
    </x:xf>
    <x:xf numFmtId="0" fontId="0" fillId="0" borderId="61" xfId="0" applyNumberFormat="1" applyFont="1" applyFill="1" applyBorder="1" applyAlignment="1">
      <x:alignment vertical="top" wrapText="1"/>
    </x:xf>
    <x:xf numFmtId="0" fontId="0" fillId="0" borderId="62" xfId="0" applyNumberFormat="1" applyFont="1" applyFill="1" applyBorder="1" applyAlignment="1">
      <x:alignment vertical="top" wrapText="1"/>
    </x:xf>
    <x:xf numFmtId="0" fontId="0" fillId="0" borderId="63" xfId="0" applyNumberFormat="1" applyFont="1" applyFill="1" applyBorder="1" applyAlignment="1">
      <x:alignment vertical="top" wrapText="1"/>
    </x:xf>
    <x:xf numFmtId="0" fontId="0" fillId="0" borderId="64" xfId="0" applyNumberFormat="1" applyFont="1" applyFill="1" applyBorder="1" applyAlignment="1">
      <x:alignment vertical="top" wrapText="1"/>
    </x:xf>
    <x:xf numFmtId="0" fontId="0" fillId="0" borderId="65" xfId="0" applyNumberFormat="1" applyFont="1" applyFill="1" applyBorder="1" applyAlignment="1">
      <x:alignment vertical="top" wrapText="1"/>
    </x:xf>
    <x:xf numFmtId="0" fontId="0" fillId="0" borderId="66" xfId="0" applyNumberFormat="1" applyFont="1" applyFill="1" applyBorder="1" applyAlignment="1">
      <x:alignment vertical="top" wrapText="1"/>
    </x:xf>
    <x:xf numFmtId="0" fontId="0" fillId="0" borderId="67" xfId="0" applyNumberFormat="1" applyFont="1" applyFill="1" applyBorder="1" applyAlignment="1">
      <x:alignment vertical="top" wrapText="1"/>
    </x:xf>
    <x:xf numFmtId="206" fontId="0" fillId="0" borderId="61" xfId="0" applyNumberFormat="1" applyFont="1" applyFill="1" applyBorder="1" applyAlignment="1">
      <x:alignment vertical="top" wrapText="1"/>
    </x:xf>
    <x:xf numFmtId="206" fontId="0" fillId="0" borderId="66" xfId="0" applyNumberFormat="1" applyFont="1" applyFill="1" applyBorder="1" applyAlignment="1">
      <x:alignment vertical="top" wrapText="1"/>
    </x:xf>
    <x:xf numFmtId="0" fontId="4" fillId="0" borderId="61" xfId="0" applyNumberFormat="1" applyFont="1" applyFill="1" applyBorder="1" applyAlignment="1">
      <x:alignment vertical="top" wrapText="1"/>
    </x:xf>
    <x:xf numFmtId="206" fontId="4" fillId="0" borderId="61" xfId="0" applyNumberFormat="1" applyFont="1" applyFill="1" applyBorder="1" applyAlignment="1">
      <x:alignment vertical="top" wrapText="1"/>
    </x:xf>
    <x:xf numFmtId="0" fontId="4" fillId="0" borderId="66" xfId="0" applyNumberFormat="1" applyFont="1" applyFill="1" applyBorder="1" applyAlignment="1">
      <x:alignment vertical="top" wrapText="1"/>
    </x:xf>
    <x:xf numFmtId="206" fontId="4" fillId="0" borderId="66" xfId="0" applyNumberFormat="1" applyFont="1" applyFill="1" applyBorder="1" applyAlignment="1">
      <x:alignment vertical="top" wrapText="1"/>
    </x:xf>
    <x:xf numFmtId="209" fontId="0" fillId="0" borderId="61" xfId="0" applyNumberFormat="1" applyFont="1" applyFill="1" applyBorder="1" applyAlignment="1">
      <x:alignment vertical="top" wrapText="1"/>
    </x:xf>
    <x:xf numFmtId="209" fontId="0" fillId="0" xfId="0" applyNumberFormat="1" applyFont="1" applyFill="1" applyBorder="0" applyAlignment="1">
      <x:alignment vertical="top" wrapText="1"/>
    </x:xf>
    <x:xf numFmtId="209" fontId="0" fillId="0" borderId="66" xfId="0" applyNumberFormat="1" applyFont="1" applyFill="1" applyBorder="1" applyAlignment="1">
      <x:alignment vertical="top" wrapText="1"/>
    </x:xf>
    <x:xf numFmtId="208" fontId="0" fillId="0" borderId="61" xfId="0" applyNumberFormat="1" applyFont="1" applyFill="1" applyBorder="1" applyAlignment="1">
      <x:alignment vertical="top" wrapText="1"/>
    </x:xf>
    <x:xf numFmtId="208" fontId="0" fillId="0" borderId="66" xfId="0" applyNumberFormat="1" applyFont="1" applyFill="1" applyBorder="1" applyAlignment="1">
      <x:alignment vertical="top" wrapText="1"/>
    </x:xf>
    <x:xf numFmtId="209" fontId="4" fillId="0" borderId="61" xfId="0" applyNumberFormat="1" applyFont="1" applyFill="1" applyBorder="1" applyAlignment="1">
      <x:alignment vertical="top" wrapText="1"/>
    </x:xf>
    <x:xf numFmtId="209" fontId="4" fillId="0" xfId="0" applyNumberFormat="1" applyFont="1" applyFill="1" applyBorder="0" applyAlignment="1">
      <x:alignment vertical="top" wrapText="1"/>
    </x:xf>
    <x:xf numFmtId="209" fontId="4" fillId="0" borderId="66" xfId="0" applyNumberFormat="1" applyFont="1" applyFill="1" applyBorder="1" applyAlignment="1">
      <x:alignment vertical="top" wrapText="1"/>
    </x:xf>
    <x:xf numFmtId="208" fontId="6" fillId="0" borderId="61" xfId="0" applyNumberFormat="1" applyFont="1" applyFill="1" applyBorder="1" applyAlignment="1">
      <x:alignment vertical="top" wrapText="1"/>
    </x:xf>
    <x:xf numFmtId="208" fontId="6" fillId="0" borderId="66" xfId="0" applyNumberFormat="1" applyFont="1" applyFill="1" applyBorder="1" applyAlignment="1">
      <x:alignment vertical="top" wrapText="1"/>
    </x:xf>
    <x:xf numFmtId="0" fontId="0" fillId="26" borderId="60" xfId="0" applyNumberFormat="1" applyFont="1" applyFill="1" applyBorder="1" applyAlignment="1">
      <x:alignment vertical="top" wrapText="1"/>
    </x:xf>
    <x:xf numFmtId="0" fontId="0" fillId="26" borderId="61" xfId="0" applyNumberFormat="1" applyFont="1" applyFill="1" applyBorder="1" applyAlignment="1">
      <x:alignment vertical="top" wrapText="1"/>
    </x:xf>
    <x:xf numFmtId="0" fontId="4" fillId="26" borderId="61" xfId="0" applyNumberFormat="1" applyFont="1" applyFill="1" applyBorder="1" applyAlignment="1">
      <x:alignment vertical="top" wrapText="1"/>
    </x:xf>
    <x:xf numFmtId="209" fontId="4" fillId="26" borderId="61" xfId="0" applyNumberFormat="1" applyFont="1" applyFill="1" applyBorder="1" applyAlignment="1">
      <x:alignment vertical="top" wrapText="1"/>
    </x:xf>
    <x:xf numFmtId="208" fontId="6" fillId="26" borderId="61" xfId="0" applyNumberFormat="1" applyFont="1" applyFill="1" applyBorder="1" applyAlignment="1">
      <x:alignment vertical="top" wrapText="1"/>
    </x:xf>
    <x:xf numFmtId="0" fontId="0" fillId="26" borderId="62" xfId="0" applyNumberFormat="1" applyFont="1" applyFill="1" applyBorder="1" applyAlignment="1">
      <x:alignment vertical="top" wrapText="1"/>
    </x:xf>
    <x:xf numFmtId="0" fontId="0" fillId="26" borderId="57" xfId="0" applyNumberFormat="1" applyFont="1" applyFill="1" applyBorder="1" applyAlignment="1">
      <x:alignment vertical="top" wrapText="1"/>
    </x:xf>
    <x:xf numFmtId="0" fontId="0" fillId="26" borderId="58" xfId="0" applyNumberFormat="1" applyFont="1" applyFill="1" applyBorder="1" applyAlignment="1">
      <x:alignment vertical="top" wrapText="1"/>
    </x:xf>
    <x:xf numFmtId="0" fontId="4" fillId="26" borderId="58" xfId="0" applyNumberFormat="1" applyFont="1" applyFill="1" applyBorder="1" applyAlignment="1">
      <x:alignment vertical="top" wrapText="1"/>
    </x:xf>
    <x:xf numFmtId="209" fontId="4" fillId="26" borderId="58" xfId="0" applyNumberFormat="1" applyFont="1" applyFill="1" applyBorder="1" applyAlignment="1">
      <x:alignment vertical="top" wrapText="1"/>
    </x:xf>
    <x:xf numFmtId="208" fontId="6" fillId="26" borderId="58" xfId="0" applyNumberFormat="1" applyFont="1" applyFill="1" applyBorder="1" applyAlignment="1">
      <x:alignment vertical="top" wrapText="1"/>
    </x:xf>
    <x:xf numFmtId="0" fontId="0" fillId="26" borderId="59" xfId="0" applyNumberFormat="1" applyFont="1" applyFill="1" applyBorder="1" applyAlignment="1">
      <x:alignment vertical="top" wrapText="1"/>
    </x:xf>
    <x:xf numFmtId="0" fontId="7" fillId="0" borderId="60" xfId="0" applyNumberFormat="1" applyFont="1" applyFill="1" applyBorder="1" applyAlignment="1">
      <x:alignment vertical="top" wrapText="1"/>
    </x:xf>
    <x:xf numFmtId="0" fontId="7" fillId="0" borderId="63" xfId="0" applyNumberFormat="1" applyFont="1" applyFill="1" applyBorder="1" applyAlignment="1">
      <x:alignment vertical="top" wrapText="1"/>
    </x:xf>
    <x:xf numFmtId="0" fontId="7" fillId="0" borderId="65" xfId="0" applyNumberFormat="1" applyFont="1" applyFill="1" applyBorder="1" applyAlignment="1">
      <x:alignment vertical="top" wrapText="1"/>
    </x:xf>
    <x:xf numFmtId="209" fontId="0" fillId="0" borderId="0" xfId="0" applyNumberFormat="1" applyFont="1" applyFill="1" applyBorder="1" applyAlignment="1">
      <x:alignment vertical="top" wrapText="1"/>
    </x:xf>
    <x:xf numFmtId="209" fontId="4" fillId="0"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209" fontId="4" fillId="12" borderId="0" xfId="0" applyNumberFormat="1" applyFont="1" applyFill="1" applyBorder="1" applyAlignment="1">
      <x:alignment vertical="top" wrapText="1"/>
    </x:xf>
    <x:xf numFmtId="208" fontId="6" fillId="12" borderId="0" xfId="0" applyNumberFormat="1" applyFont="1" applyFill="1" applyBorder="1" applyAlignment="1">
      <x:alignment vertical="top" wrapText="1"/>
    </x:xf>
    <x:xf numFmtId="201" fontId="4" fillId="0" borderId="61" xfId="0" applyNumberFormat="1" applyFont="1" applyFill="1" applyBorder="1" applyAlignment="1">
      <x:alignment vertical="top" wrapText="1"/>
    </x:xf>
    <x:xf numFmtId="201" fontId="4" fillId="0" borderId="66" xfId="0" applyNumberFormat="1" applyFont="1" applyFill="1" applyBorder="1" applyAlignment="1">
      <x:alignment vertical="top" wrapText="1"/>
    </x:xf>
    <x:xf numFmtId="204" fontId="4" fillId="0" borderId="61" xfId="0" applyNumberFormat="1" applyFont="1" applyFill="1" applyBorder="1" applyAlignment="1">
      <x:alignment vertical="top" wrapText="1"/>
    </x:xf>
    <x:xf numFmtId="204" fontId="4" fillId="0" borderId="66" xfId="0" applyNumberFormat="1" applyFont="1" applyFill="1" applyBorder="1" applyAlignment="1">
      <x:alignment vertical="top" wrapText="1"/>
    </x:xf>
    <x:xf numFmtId="0" fontId="6" fillId="0" borderId="61"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66"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68" xfId="0" applyNumberFormat="1" applyFont="1" applyFill="1" applyBorder="1"/>
    <x:xf numFmtId="0" fontId="3" fillId="29" borderId="69" xfId="0" applyNumberFormat="1" applyFont="1" applyFill="1" applyBorder="1"/>
    <x:xf numFmtId="0" fontId="3" fillId="29" borderId="70" xfId="0" applyNumberFormat="1" applyFont="1" applyFill="1" applyBorder="1"/>
    <x:xf numFmtId="0" fontId="3" fillId="29" borderId="68" xfId="0" applyNumberFormat="1" applyFont="1" applyFill="1" applyBorder="1" applyAlignment="1">
      <x:alignment wrapText="1"/>
    </x:xf>
    <x:xf numFmtId="0" fontId="3" fillId="29" borderId="69" xfId="0" applyNumberFormat="1" applyFont="1" applyFill="1" applyBorder="1" applyAlignment="1">
      <x:alignment wrapText="1"/>
    </x:xf>
    <x:xf numFmtId="0" fontId="3" fillId="29" borderId="70" xfId="0" applyNumberFormat="1" applyFont="1" applyFill="1" applyBorder="1" applyAlignment="1">
      <x:alignment wrapText="1"/>
    </x:xf>
    <x:xf numFmtId="0" fontId="3" fillId="29" borderId="68" xfId="0" applyNumberFormat="1" applyFont="1" applyFill="1" applyBorder="1" applyAlignment="1">
      <x:alignment horizontal="center" wrapText="1"/>
    </x:xf>
    <x:xf numFmtId="0" fontId="3" fillId="29" borderId="69" xfId="0" applyNumberFormat="1" applyFont="1" applyFill="1" applyBorder="1" applyAlignment="1">
      <x:alignment horizontal="center" wrapText="1"/>
    </x:xf>
    <x:xf numFmtId="0" fontId="3" fillId="29" borderId="70" xfId="0" applyNumberFormat="1" applyFont="1" applyFill="1" applyBorder="1" applyAlignment="1">
      <x:alignment horizontal="center" wrapText="1"/>
    </x:xf>
    <x:xf numFmtId="0" fontId="3" fillId="29" borderId="68" xfId="0" applyNumberFormat="1" applyFont="1" applyFill="1" applyBorder="1" applyAlignment="1">
      <x:alignment horizontal="center" vertical="center" wrapText="1"/>
    </x:xf>
    <x:xf numFmtId="0" fontId="3" fillId="29" borderId="69" xfId="0" applyNumberFormat="1" applyFont="1" applyFill="1" applyBorder="1" applyAlignment="1">
      <x:alignment horizontal="center" vertical="center" wrapText="1"/>
    </x:xf>
    <x:xf numFmtId="0" fontId="3" fillId="29" borderId="70" xfId="0" applyNumberFormat="1" applyFont="1" applyFill="1" applyBorder="1" applyAlignment="1">
      <x:alignment horizontal="center" vertical="center" wrapText="1"/>
    </x:xf>
    <x:xf numFmtId="0" fontId="0" fillId="0" borderId="71" xfId="0" applyNumberFormat="1" applyFont="1" applyFill="1" applyBorder="1"/>
    <x:xf numFmtId="0" fontId="0" fillId="0" borderId="72" xfId="0" applyNumberFormat="1" applyFont="1" applyFill="1" applyBorder="1"/>
    <x:xf numFmtId="0" fontId="0" fillId="0" borderId="73" xfId="0" applyNumberFormat="1" applyFont="1" applyFill="1" applyBorder="1"/>
    <x:xf numFmtId="0" fontId="0" fillId="0" borderId="74" xfId="0" applyNumberFormat="1" applyFont="1" applyFill="1" applyBorder="1"/>
    <x:xf numFmtId="0" fontId="0" fillId="0" borderId="75" xfId="0" applyNumberFormat="1" applyFont="1" applyFill="1" applyBorder="1"/>
    <x:xf numFmtId="0" fontId="0" fillId="0" borderId="76" xfId="0" applyNumberFormat="1" applyFont="1" applyFill="1" applyBorder="1"/>
    <x:xf numFmtId="0" fontId="0" fillId="0" borderId="77" xfId="0" applyNumberFormat="1" applyFont="1" applyFill="1" applyBorder="1"/>
    <x:xf numFmtId="0" fontId="0" fillId="0" borderId="78" xfId="0" applyNumberFormat="1" applyFont="1" applyFill="1" applyBorder="1"/>
    <x:xf numFmtId="0" fontId="0" fillId="0" borderId="71" xfId="0" applyNumberFormat="1" applyFont="1" applyFill="1" applyBorder="1" applyAlignment="1">
      <x:alignment wrapText="1"/>
    </x:xf>
    <x:xf numFmtId="0" fontId="0" fillId="0" borderId="72" xfId="0" applyNumberFormat="1" applyFont="1" applyFill="1" applyBorder="1" applyAlignment="1">
      <x:alignment wrapText="1"/>
    </x:xf>
    <x:xf numFmtId="0" fontId="0" fillId="0" borderId="73" xfId="0" applyNumberFormat="1" applyFont="1" applyFill="1" applyBorder="1" applyAlignment="1">
      <x:alignment wrapText="1"/>
    </x:xf>
    <x:xf numFmtId="0" fontId="0" fillId="0" borderId="74" xfId="0" applyNumberFormat="1" applyFont="1" applyFill="1" applyBorder="1" applyAlignment="1">
      <x:alignment wrapText="1"/>
    </x:xf>
    <x:xf numFmtId="0" fontId="0" fillId="0" borderId="75" xfId="0" applyNumberFormat="1" applyFont="1" applyFill="1" applyBorder="1" applyAlignment="1">
      <x:alignment wrapText="1"/>
    </x:xf>
    <x:xf numFmtId="0" fontId="0" fillId="0" borderId="76" xfId="0" applyNumberFormat="1" applyFont="1" applyFill="1" applyBorder="1" applyAlignment="1">
      <x:alignment wrapText="1"/>
    </x:xf>
    <x:xf numFmtId="0" fontId="0" fillId="0" borderId="77" xfId="0" applyNumberFormat="1" applyFont="1" applyFill="1" applyBorder="1" applyAlignment="1">
      <x:alignment wrapText="1"/>
    </x:xf>
    <x:xf numFmtId="0" fontId="0" fillId="0" borderId="78" xfId="0" applyNumberFormat="1" applyFont="1" applyFill="1" applyBorder="1" applyAlignment="1">
      <x:alignment wrapText="1"/>
    </x:xf>
    <x:xf numFmtId="0" fontId="0" fillId="0" borderId="71" xfId="0" applyNumberFormat="1" applyFont="1" applyFill="1" applyBorder="1" applyAlignment="1">
      <x:alignment vertical="top" wrapText="1"/>
    </x:xf>
    <x:xf numFmtId="0" fontId="0" fillId="0" borderId="72" xfId="0" applyNumberFormat="1" applyFont="1" applyFill="1" applyBorder="1" applyAlignment="1">
      <x:alignment vertical="top" wrapText="1"/>
    </x:xf>
    <x:xf numFmtId="0" fontId="0" fillId="0" borderId="73" xfId="0" applyNumberFormat="1" applyFont="1" applyFill="1" applyBorder="1" applyAlignment="1">
      <x:alignment vertical="top" wrapText="1"/>
    </x:xf>
    <x:xf numFmtId="0" fontId="0" fillId="0" borderId="74" xfId="0" applyNumberFormat="1" applyFont="1" applyFill="1" applyBorder="1" applyAlignment="1">
      <x:alignment vertical="top" wrapText="1"/>
    </x:xf>
    <x:xf numFmtId="0" fontId="0" fillId="0" borderId="75" xfId="0" applyNumberFormat="1" applyFont="1" applyFill="1" applyBorder="1" applyAlignment="1">
      <x:alignment vertical="top" wrapText="1"/>
    </x:xf>
    <x:xf numFmtId="0" fontId="0" fillId="0" borderId="76" xfId="0" applyNumberFormat="1" applyFont="1" applyFill="1" applyBorder="1" applyAlignment="1">
      <x:alignment vertical="top" wrapText="1"/>
    </x:xf>
    <x:xf numFmtId="0" fontId="0" fillId="0" borderId="77" xfId="0" applyNumberFormat="1" applyFont="1" applyFill="1" applyBorder="1" applyAlignment="1">
      <x:alignment vertical="top" wrapText="1"/>
    </x:xf>
    <x:xf numFmtId="0" fontId="0" fillId="0" borderId="78" xfId="0" applyNumberFormat="1" applyFont="1" applyFill="1" applyBorder="1" applyAlignment="1">
      <x:alignment vertical="top" wrapText="1"/>
    </x:xf>
    <x:xf numFmtId="0" fontId="4" fillId="0" borderId="72" xfId="0" applyNumberFormat="1" applyFont="1" applyFill="1" applyBorder="1" applyAlignment="1">
      <x:alignment vertical="top" wrapText="1"/>
    </x:xf>
    <x:xf numFmtId="0" fontId="4" fillId="0" borderId="77" xfId="0" applyNumberFormat="1" applyFont="1" applyFill="1" applyBorder="1" applyAlignment="1">
      <x:alignment vertical="top" wrapText="1"/>
    </x:xf>
    <x:xf numFmtId="201" fontId="4" fillId="0" borderId="72" xfId="0" applyNumberFormat="1" applyFont="1" applyFill="1" applyBorder="1" applyAlignment="1">
      <x:alignment vertical="top" wrapText="1"/>
    </x:xf>
    <x:xf numFmtId="201" fontId="4" fillId="0" borderId="77" xfId="0" applyNumberFormat="1" applyFont="1" applyFill="1" applyBorder="1" applyAlignment="1">
      <x:alignment vertical="top" wrapText="1"/>
    </x:xf>
    <x:xf numFmtId="204" fontId="4" fillId="0" borderId="72" xfId="0" applyNumberFormat="1" applyFont="1" applyFill="1" applyBorder="1" applyAlignment="1">
      <x:alignment vertical="top" wrapText="1"/>
    </x:xf>
    <x:xf numFmtId="204" fontId="4" fillId="0" borderId="77" xfId="0" applyNumberFormat="1" applyFont="1" applyFill="1" applyBorder="1" applyAlignment="1">
      <x:alignment vertical="top" wrapText="1"/>
    </x:xf>
    <x:xf numFmtId="204" fontId="0" fillId="0" borderId="77" xfId="0" applyNumberFormat="1" applyFont="1" applyFill="1" applyBorder="1" applyAlignment="1">
      <x:alignment vertical="top" wrapText="1"/>
    </x:xf>
    <x:xf numFmtId="0" fontId="7" fillId="0" borderId="71" xfId="0" applyNumberFormat="1" applyFont="1" applyFill="1" applyBorder="1" applyAlignment="1">
      <x:alignment vertical="top" wrapText="1"/>
    </x:xf>
    <x:xf numFmtId="0" fontId="7" fillId="0" borderId="74" xfId="0" applyNumberFormat="1" applyFont="1" applyFill="1" applyBorder="1" applyAlignment="1">
      <x:alignment vertical="top" wrapText="1"/>
    </x:xf>
    <x:xf numFmtId="0" fontId="7" fillId="0" borderId="76" xfId="0" applyNumberFormat="1" applyFont="1" applyFill="1" applyBorder="1" applyAlignment="1">
      <x:alignment vertical="top" wrapText="1"/>
    </x:xf>
    <x:xf numFmtId="0" fontId="12" fillId="3" borderId="0" xfId="0" applyNumberFormat="1" applyFont="1" applyFill="1" applyBorder="1"/>
    <x:xf numFmtId="0" fontId="12" fillId="3"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left"/>
    </x:xf>
    <x:xf numFmtId="0" fontId="1" fillId="30" borderId="0" xfId="0" applyNumberFormat="1" applyFont="1" applyFill="1" applyBorder="1" applyAlignment="1">
      <x:alignment horizontal="left" vertical="center"/>
    </x:xf>
    <x:xf numFmtId="0" fontId="0" fillId="31" borderId="0" xfId="0" applyNumberFormat="1" applyFont="1" applyFill="1" applyBorder="1"/>
    <x:xf numFmtId="0" fontId="10" fillId="31" borderId="0" xfId="0" applyNumberFormat="1" applyFont="1" applyFill="1" applyBorder="1"/>
    <x:xf numFmtId="0" fontId="10" fillId="31" borderId="0"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79" xfId="0" applyNumberFormat="1" applyFont="1" applyFill="1" applyBorder="1"/>
    <x:xf numFmtId="0" fontId="3" fillId="32" borderId="80" xfId="0" applyNumberFormat="1" applyFont="1" applyFill="1" applyBorder="1"/>
    <x:xf numFmtId="0" fontId="3" fillId="32" borderId="81" xfId="0" applyNumberFormat="1" applyFont="1" applyFill="1" applyBorder="1"/>
    <x:xf numFmtId="0" fontId="3" fillId="32" borderId="79" xfId="0" applyNumberFormat="1" applyFont="1" applyFill="1" applyBorder="1" applyAlignment="1">
      <x:alignment wrapText="1"/>
    </x:xf>
    <x:xf numFmtId="0" fontId="3" fillId="32" borderId="80" xfId="0" applyNumberFormat="1" applyFont="1" applyFill="1" applyBorder="1" applyAlignment="1">
      <x:alignment wrapText="1"/>
    </x:xf>
    <x:xf numFmtId="0" fontId="3" fillId="32" borderId="81" xfId="0" applyNumberFormat="1" applyFont="1" applyFill="1" applyBorder="1" applyAlignment="1">
      <x:alignment wrapText="1"/>
    </x:xf>
    <x:xf numFmtId="0" fontId="3" fillId="32" borderId="79" xfId="0" applyNumberFormat="1" applyFont="1" applyFill="1" applyBorder="1" applyAlignment="1">
      <x:alignment horizontal="center" wrapText="1"/>
    </x:xf>
    <x:xf numFmtId="0" fontId="3" fillId="32" borderId="80" xfId="0" applyNumberFormat="1" applyFont="1" applyFill="1" applyBorder="1" applyAlignment="1">
      <x:alignment horizontal="center" wrapText="1"/>
    </x:xf>
    <x:xf numFmtId="0" fontId="3" fillId="32" borderId="81" xfId="0" applyNumberFormat="1" applyFont="1" applyFill="1" applyBorder="1" applyAlignment="1">
      <x:alignment horizontal="center" wrapText="1"/>
    </x:xf>
    <x:xf numFmtId="0" fontId="3" fillId="32" borderId="79" xfId="0" applyNumberFormat="1" applyFont="1" applyFill="1" applyBorder="1" applyAlignment="1">
      <x:alignment horizontal="center" vertical="center" wrapText="1"/>
    </x:xf>
    <x:xf numFmtId="0" fontId="3" fillId="32" borderId="80" xfId="0" applyNumberFormat="1" applyFont="1" applyFill="1" applyBorder="1" applyAlignment="1">
      <x:alignment horizontal="center" vertical="center" wrapText="1"/>
    </x:xf>
    <x:xf numFmtId="0" fontId="3" fillId="32" borderId="81" xfId="0" applyNumberFormat="1" applyFont="1" applyFill="1" applyBorder="1" applyAlignment="1">
      <x:alignment horizontal="center" vertical="center" wrapText="1"/>
    </x:xf>
    <x:xf numFmtId="0" fontId="0" fillId="0" borderId="82" xfId="0" applyNumberFormat="1" applyFont="1" applyFill="1" applyBorder="1"/>
    <x:xf numFmtId="0" fontId="0" fillId="0" borderId="83" xfId="0" applyNumberFormat="1" applyFont="1" applyFill="1" applyBorder="1"/>
    <x:xf numFmtId="0" fontId="0" fillId="0" borderId="84" xfId="0" applyNumberFormat="1" applyFont="1" applyFill="1" applyBorder="1"/>
    <x:xf numFmtId="0" fontId="0" fillId="0" borderId="85" xfId="0" applyNumberFormat="1" applyFont="1" applyFill="1" applyBorder="1"/>
    <x:xf numFmtId="0" fontId="0" fillId="0" borderId="86" xfId="0" applyNumberFormat="1" applyFont="1" applyFill="1" applyBorder="1"/>
    <x:xf numFmtId="0" fontId="0" fillId="0" borderId="87" xfId="0" applyNumberFormat="1" applyFont="1" applyFill="1" applyBorder="1"/>
    <x:xf numFmtId="0" fontId="0" fillId="0" borderId="88" xfId="0" applyNumberFormat="1" applyFont="1" applyFill="1" applyBorder="1"/>
    <x:xf numFmtId="0" fontId="0" fillId="0" borderId="89" xfId="0" applyNumberFormat="1" applyFont="1" applyFill="1" applyBorder="1"/>
    <x:xf numFmtId="0" fontId="0" fillId="0" borderId="82" xfId="0" applyNumberFormat="1" applyFont="1" applyFill="1" applyBorder="1" applyAlignment="1">
      <x:alignment wrapText="1"/>
    </x:xf>
    <x:xf numFmtId="0" fontId="0" fillId="0" borderId="83" xfId="0" applyNumberFormat="1" applyFont="1" applyFill="1" applyBorder="1" applyAlignment="1">
      <x:alignment wrapText="1"/>
    </x:xf>
    <x:xf numFmtId="0" fontId="0" fillId="0" borderId="84" xfId="0" applyNumberFormat="1" applyFont="1" applyFill="1" applyBorder="1" applyAlignment="1">
      <x:alignment wrapText="1"/>
    </x:xf>
    <x:xf numFmtId="0" fontId="0" fillId="0" borderId="85" xfId="0" applyNumberFormat="1" applyFont="1" applyFill="1" applyBorder="1" applyAlignment="1">
      <x:alignment wrapText="1"/>
    </x:xf>
    <x:xf numFmtId="0" fontId="0" fillId="0" borderId="86" xfId="0" applyNumberFormat="1" applyFont="1" applyFill="1" applyBorder="1" applyAlignment="1">
      <x:alignment wrapText="1"/>
    </x:xf>
    <x:xf numFmtId="0" fontId="0" fillId="0" borderId="87" xfId="0" applyNumberFormat="1" applyFont="1" applyFill="1" applyBorder="1" applyAlignment="1">
      <x:alignment wrapText="1"/>
    </x:xf>
    <x:xf numFmtId="0" fontId="0" fillId="0" borderId="88" xfId="0" applyNumberFormat="1" applyFont="1" applyFill="1" applyBorder="1" applyAlignment="1">
      <x:alignment wrapText="1"/>
    </x:xf>
    <x:xf numFmtId="0" fontId="0" fillId="0" borderId="89" xfId="0" applyNumberFormat="1" applyFont="1" applyFill="1" applyBorder="1" applyAlignment="1">
      <x:alignment wrapText="1"/>
    </x:xf>
    <x:xf numFmtId="0" fontId="0" fillId="0" borderId="82" xfId="0" applyNumberFormat="1" applyFont="1" applyFill="1" applyBorder="1" applyAlignment="1">
      <x:alignment vertical="top" wrapText="1"/>
    </x:xf>
    <x:xf numFmtId="0" fontId="0" fillId="0" borderId="83" xfId="0" applyNumberFormat="1" applyFont="1" applyFill="1" applyBorder="1" applyAlignment="1">
      <x:alignment vertical="top" wrapText="1"/>
    </x:xf>
    <x:xf numFmtId="0" fontId="0" fillId="0" borderId="84" xfId="0" applyNumberFormat="1" applyFont="1" applyFill="1" applyBorder="1" applyAlignment="1">
      <x:alignment vertical="top" wrapText="1"/>
    </x:xf>
    <x:xf numFmtId="0" fontId="0" fillId="0" borderId="85" xfId="0" applyNumberFormat="1" applyFont="1" applyFill="1" applyBorder="1" applyAlignment="1">
      <x:alignment vertical="top" wrapText="1"/>
    </x:xf>
    <x:xf numFmtId="0" fontId="0" fillId="0" borderId="86" xfId="0" applyNumberFormat="1" applyFont="1" applyFill="1" applyBorder="1" applyAlignment="1">
      <x:alignment vertical="top" wrapText="1"/>
    </x:xf>
    <x:xf numFmtId="0" fontId="0" fillId="0" borderId="87" xfId="0" applyNumberFormat="1" applyFont="1" applyFill="1" applyBorder="1" applyAlignment="1">
      <x:alignment vertical="top" wrapText="1"/>
    </x:xf>
    <x:xf numFmtId="0" fontId="0" fillId="0" borderId="88" xfId="0" applyNumberFormat="1" applyFont="1" applyFill="1" applyBorder="1" applyAlignment="1">
      <x:alignment vertical="top" wrapText="1"/>
    </x:xf>
    <x:xf numFmtId="0" fontId="0" fillId="0" borderId="89" xfId="0" applyNumberFormat="1" applyFont="1" applyFill="1" applyBorder="1" applyAlignment="1">
      <x:alignment vertical="top" wrapText="1"/>
    </x:xf>
    <x:xf numFmtId="206" fontId="0" fillId="0" borderId="83" xfId="0" applyNumberFormat="1" applyFont="1" applyFill="1" applyBorder="1" applyAlignment="1">
      <x:alignment vertical="top" wrapText="1"/>
    </x:xf>
    <x:xf numFmtId="206" fontId="0" fillId="0" borderId="88" xfId="0" applyNumberFormat="1" applyFont="1" applyFill="1" applyBorder="1" applyAlignment="1">
      <x:alignment vertical="top" wrapText="1"/>
    </x:xf>
    <x:xf numFmtId="0" fontId="4" fillId="0" borderId="83" xfId="0" applyNumberFormat="1" applyFont="1" applyFill="1" applyBorder="1" applyAlignment="1">
      <x:alignment vertical="top" wrapText="1"/>
    </x:xf>
    <x:xf numFmtId="206" fontId="4" fillId="0" borderId="83" xfId="0" applyNumberFormat="1" applyFont="1" applyFill="1" applyBorder="1" applyAlignment="1">
      <x:alignment vertical="top" wrapText="1"/>
    </x:xf>
    <x:xf numFmtId="0" fontId="4" fillId="0" borderId="88" xfId="0" applyNumberFormat="1" applyFont="1" applyFill="1" applyBorder="1" applyAlignment="1">
      <x:alignment vertical="top" wrapText="1"/>
    </x:xf>
    <x:xf numFmtId="206" fontId="4" fillId="0" borderId="88" xfId="0" applyNumberFormat="1" applyFont="1" applyFill="1" applyBorder="1" applyAlignment="1">
      <x:alignment vertical="top" wrapText="1"/>
    </x:xf>
    <x:xf numFmtId="204" fontId="0" fillId="0" borderId="84" xfId="0" applyNumberFormat="1" applyFont="1" applyFill="1" applyBorder="1"/>
    <x:xf numFmtId="204" fontId="0" fillId="0" borderId="86" xfId="0" applyNumberFormat="1" applyFont="1" applyFill="1" applyBorder="1"/>
    <x:xf numFmtId="206" fontId="6" fillId="0" borderId="83" xfId="0" applyNumberFormat="1" applyFont="1" applyFill="1" applyBorder="1" applyAlignment="1">
      <x:alignment vertical="top" wrapText="1"/>
    </x:xf>
    <x:xf numFmtId="206" fontId="6" fillId="0" borderId="88" xfId="0" applyNumberFormat="1" applyFont="1" applyFill="1" applyBorder="1" applyAlignment="1">
      <x:alignment vertical="top" wrapText="1"/>
    </x:xf>
    <x:xf numFmtId="208" fontId="0" fillId="0" borderId="83" xfId="0" applyNumberFormat="1" applyFont="1" applyFill="1" applyBorder="1" applyAlignment="1">
      <x:alignment vertical="top" wrapText="1"/>
    </x:xf>
    <x:xf numFmtId="208" fontId="0" fillId="0" borderId="88" xfId="0" applyNumberFormat="1" applyFont="1" applyFill="1" applyBorder="1" applyAlignment="1">
      <x:alignment vertical="top" wrapText="1"/>
    </x:xf>
    <x:xf numFmtId="208" fontId="4" fillId="0" borderId="83" xfId="0" applyNumberFormat="1" applyFont="1" applyFill="1" applyBorder="1" applyAlignment="1">
      <x:alignment vertical="top" wrapText="1"/>
    </x:xf>
    <x:xf numFmtId="208" fontId="4" fillId="0" borderId="88" xfId="0" applyNumberFormat="1" applyFont="1" applyFill="1" applyBorder="1" applyAlignment="1">
      <x:alignment vertical="top" wrapText="1"/>
    </x:xf>
    <x:xf numFmtId="201" fontId="0" fillId="0" borderId="0" xfId="0" applyNumberFormat="1" applyFont="1" applyFill="1" applyBorder="1" applyAlignment="1">
      <x:alignment wrapText="1"/>
    </x:xf>
    <x:xf numFmtId="0" fontId="7" fillId="0" borderId="82" xfId="0" applyNumberFormat="1" applyFont="1" applyFill="1" applyBorder="1" applyAlignment="1">
      <x:alignment vertical="top" wrapText="1"/>
    </x:xf>
    <x:xf numFmtId="0" fontId="7" fillId="0" borderId="85" xfId="0" applyNumberFormat="1" applyFont="1" applyFill="1" applyBorder="1" applyAlignment="1">
      <x:alignment vertical="top" wrapText="1"/>
    </x:xf>
    <x:xf numFmtId="0" fontId="7" fillId="0" borderId="87" xfId="0" applyNumberFormat="1" applyFont="1" applyFill="1" applyBorder="1" applyAlignment="1">
      <x:alignment vertical="top" wrapText="1"/>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left"/>
    </x:xf>
    <x:xf numFmtId="0" fontId="1" fillId="33" borderId="0" xfId="0" applyNumberFormat="1" applyFont="1" applyFill="1" applyBorder="1" applyAlignment="1">
      <x:alignment horizontal="left" vertical="center"/>
    </x:xf>
    <x:xf numFmtId="0" fontId="0" fillId="34" borderId="0" xfId="0" applyNumberFormat="1" applyFont="1" applyFill="1" applyBorder="1"/>
    <x:xf numFmtId="0" fontId="10" fillId="34" borderId="0" xfId="0" applyNumberFormat="1" applyFont="1" applyFill="1" applyBorder="1"/>
    <x:xf numFmtId="0" fontId="10" fillId="34" borderId="0" xfId="0" applyNumberFormat="1" applyFont="1" applyFill="1" applyBorder="1" applyAlignment="1">
      <x:alignment wrapText="1"/>
    </x:xf>
    <x:xf numFmtId="0" fontId="0" fillId="35" borderId="0" xfId="0" applyNumberFormat="1" applyFont="1" applyFill="1" applyBorder="1"/>
    <x:xf numFmtId="0" fontId="3" fillId="35" borderId="0" xfId="0" applyNumberFormat="1" applyFont="1" applyFill="1" applyBorder="1"/>
    <x:xf numFmtId="0" fontId="3" fillId="35" borderId="90" xfId="0" applyNumberFormat="1" applyFont="1" applyFill="1" applyBorder="1"/>
    <x:xf numFmtId="0" fontId="3" fillId="35" borderId="91" xfId="0" applyNumberFormat="1" applyFont="1" applyFill="1" applyBorder="1"/>
    <x:xf numFmtId="0" fontId="3" fillId="35" borderId="92" xfId="0" applyNumberFormat="1" applyFont="1" applyFill="1" applyBorder="1"/>
    <x:xf numFmtId="0" fontId="3" fillId="35" borderId="90" xfId="0" applyNumberFormat="1" applyFont="1" applyFill="1" applyBorder="1" applyAlignment="1">
      <x:alignment wrapText="1"/>
    </x:xf>
    <x:xf numFmtId="0" fontId="3" fillId="35" borderId="91" xfId="0" applyNumberFormat="1" applyFont="1" applyFill="1" applyBorder="1" applyAlignment="1">
      <x:alignment wrapText="1"/>
    </x:xf>
    <x:xf numFmtId="0" fontId="3" fillId="35" borderId="92" xfId="0" applyNumberFormat="1" applyFont="1" applyFill="1" applyBorder="1" applyAlignment="1">
      <x:alignment wrapText="1"/>
    </x:xf>
    <x:xf numFmtId="0" fontId="3" fillId="35" borderId="90" xfId="0" applyNumberFormat="1" applyFont="1" applyFill="1" applyBorder="1" applyAlignment="1">
      <x:alignment horizontal="center" wrapText="1"/>
    </x:xf>
    <x:xf numFmtId="0" fontId="3" fillId="35" borderId="91" xfId="0" applyNumberFormat="1" applyFont="1" applyFill="1" applyBorder="1" applyAlignment="1">
      <x:alignment horizontal="center" wrapText="1"/>
    </x:xf>
    <x:xf numFmtId="0" fontId="3" fillId="35" borderId="92" xfId="0" applyNumberFormat="1" applyFont="1" applyFill="1" applyBorder="1" applyAlignment="1">
      <x:alignment horizontal="center" wrapText="1"/>
    </x:xf>
    <x:xf numFmtId="0" fontId="3" fillId="35" borderId="90" xfId="0" applyNumberFormat="1" applyFont="1" applyFill="1" applyBorder="1" applyAlignment="1">
      <x:alignment horizontal="center" vertical="center" wrapText="1"/>
    </x:xf>
    <x:xf numFmtId="0" fontId="3" fillId="35" borderId="91" xfId="0" applyNumberFormat="1" applyFont="1" applyFill="1" applyBorder="1" applyAlignment="1">
      <x:alignment horizontal="center" vertical="center" wrapText="1"/>
    </x:xf>
    <x:xf numFmtId="0" fontId="3" fillId="35" borderId="92" xfId="0" applyNumberFormat="1" applyFont="1" applyFill="1" applyBorder="1" applyAlignment="1">
      <x:alignment horizontal="center" vertical="center" wrapText="1"/>
    </x:xf>
    <x:xf numFmtId="0" fontId="0" fillId="0" borderId="93" xfId="0" applyNumberFormat="1" applyFont="1" applyFill="1" applyBorder="1"/>
    <x:xf numFmtId="0" fontId="0" fillId="0" borderId="94" xfId="0" applyNumberFormat="1" applyFont="1" applyFill="1" applyBorder="1"/>
    <x:xf numFmtId="0" fontId="0" fillId="0" borderId="95" xfId="0" applyNumberFormat="1" applyFont="1" applyFill="1" applyBorder="1"/>
    <x:xf numFmtId="0" fontId="0" fillId="0" borderId="96" xfId="0" applyNumberFormat="1" applyFont="1" applyFill="1" applyBorder="1"/>
    <x:xf numFmtId="0" fontId="0" fillId="0" borderId="97" xfId="0" applyNumberFormat="1" applyFont="1" applyFill="1" applyBorder="1"/>
    <x:xf numFmtId="0" fontId="0" fillId="0" borderId="98" xfId="0" applyNumberFormat="1" applyFont="1" applyFill="1" applyBorder="1"/>
    <x:xf numFmtId="0" fontId="0" fillId="0" borderId="99" xfId="0" applyNumberFormat="1" applyFont="1" applyFill="1" applyBorder="1"/>
    <x:xf numFmtId="0" fontId="0" fillId="0" borderId="100" xfId="0" applyNumberFormat="1" applyFont="1" applyFill="1" applyBorder="1"/>
    <x:xf numFmtId="0" fontId="0" fillId="0" borderId="93" xfId="0" applyNumberFormat="1" applyFont="1" applyFill="1" applyBorder="1" applyAlignment="1">
      <x:alignment wrapText="1"/>
    </x:xf>
    <x:xf numFmtId="0" fontId="0" fillId="0" borderId="94" xfId="0" applyNumberFormat="1" applyFont="1" applyFill="1" applyBorder="1" applyAlignment="1">
      <x:alignment wrapText="1"/>
    </x:xf>
    <x:xf numFmtId="0" fontId="0" fillId="0" borderId="95" xfId="0" applyNumberFormat="1" applyFont="1" applyFill="1" applyBorder="1" applyAlignment="1">
      <x:alignment wrapText="1"/>
    </x:xf>
    <x:xf numFmtId="0" fontId="0" fillId="0" borderId="96" xfId="0" applyNumberFormat="1" applyFont="1" applyFill="1" applyBorder="1" applyAlignment="1">
      <x:alignment wrapText="1"/>
    </x:xf>
    <x:xf numFmtId="0" fontId="0" fillId="0" borderId="97" xfId="0" applyNumberFormat="1" applyFont="1" applyFill="1" applyBorder="1" applyAlignment="1">
      <x:alignment wrapText="1"/>
    </x:xf>
    <x:xf numFmtId="0" fontId="0" fillId="0" borderId="98" xfId="0" applyNumberFormat="1" applyFont="1" applyFill="1" applyBorder="1" applyAlignment="1">
      <x:alignment wrapText="1"/>
    </x:xf>
    <x:xf numFmtId="0" fontId="0" fillId="0" borderId="99" xfId="0" applyNumberFormat="1" applyFont="1" applyFill="1" applyBorder="1" applyAlignment="1">
      <x:alignment wrapText="1"/>
    </x:xf>
    <x:xf numFmtId="0" fontId="0" fillId="0" borderId="100" xfId="0" applyNumberFormat="1" applyFont="1" applyFill="1" applyBorder="1" applyAlignment="1">
      <x:alignment wrapText="1"/>
    </x:xf>
    <x:xf numFmtId="0" fontId="0" fillId="0" borderId="93" xfId="0" applyNumberFormat="1" applyFont="1" applyFill="1" applyBorder="1" applyAlignment="1">
      <x:alignment vertical="top" wrapText="1"/>
    </x:xf>
    <x:xf numFmtId="0" fontId="0" fillId="0" borderId="94" xfId="0" applyNumberFormat="1" applyFont="1" applyFill="1" applyBorder="1" applyAlignment="1">
      <x:alignment vertical="top" wrapText="1"/>
    </x:xf>
    <x:xf numFmtId="0" fontId="0" fillId="0" borderId="95" xfId="0" applyNumberFormat="1" applyFont="1" applyFill="1" applyBorder="1" applyAlignment="1">
      <x:alignment vertical="top" wrapText="1"/>
    </x:xf>
    <x:xf numFmtId="0" fontId="0" fillId="0" borderId="96" xfId="0" applyNumberFormat="1" applyFont="1" applyFill="1" applyBorder="1" applyAlignment="1">
      <x:alignment vertical="top" wrapText="1"/>
    </x:xf>
    <x:xf numFmtId="0" fontId="0" fillId="0" borderId="97" xfId="0" applyNumberFormat="1" applyFont="1" applyFill="1" applyBorder="1" applyAlignment="1">
      <x:alignment vertical="top" wrapText="1"/>
    </x:xf>
    <x:xf numFmtId="0" fontId="0" fillId="0" borderId="98" xfId="0" applyNumberFormat="1" applyFont="1" applyFill="1" applyBorder="1" applyAlignment="1">
      <x:alignment vertical="top" wrapText="1"/>
    </x:xf>
    <x:xf numFmtId="0" fontId="0" fillId="0" borderId="99" xfId="0" applyNumberFormat="1" applyFont="1" applyFill="1" applyBorder="1" applyAlignment="1">
      <x:alignment vertical="top" wrapText="1"/>
    </x:xf>
    <x:xf numFmtId="0" fontId="0" fillId="0" borderId="100" xfId="0" applyNumberFormat="1" applyFont="1" applyFill="1" applyBorder="1" applyAlignment="1">
      <x:alignment vertical="top" wrapText="1"/>
    </x:xf>
    <x:xf numFmtId="206" fontId="0" fillId="0" borderId="94" xfId="0" applyNumberFormat="1" applyFont="1" applyFill="1" applyBorder="1" applyAlignment="1">
      <x:alignment vertical="top" wrapText="1"/>
    </x:xf>
    <x:xf numFmtId="0" fontId="4" fillId="0" borderId="94" xfId="0" applyNumberFormat="1" applyFont="1" applyFill="1" applyBorder="1" applyAlignment="1">
      <x:alignment vertical="top" wrapText="1"/>
    </x:xf>
    <x:xf numFmtId="206" fontId="4" fillId="0" borderId="94" xfId="0" applyNumberFormat="1" applyFont="1" applyFill="1" applyBorder="1" applyAlignment="1">
      <x:alignment vertical="top" wrapText="1"/>
    </x:xf>
    <x:xf numFmtId="206" fontId="6" fillId="0" borderId="94" xfId="0" applyNumberFormat="1" applyFont="1" applyFill="1" applyBorder="1" applyAlignment="1">
      <x:alignment vertical="top" wrapText="1"/>
    </x:xf>
    <x:xf numFmtId="206" fontId="0" fillId="0" borderId="99" xfId="0" applyNumberFormat="1" applyFont="1" applyFill="1" applyBorder="1" applyAlignment="1">
      <x:alignment vertical="top" wrapText="1"/>
    </x:xf>
    <x:xf numFmtId="206" fontId="4" fillId="0" borderId="99" xfId="0" applyNumberFormat="1" applyFont="1" applyFill="1" applyBorder="1" applyAlignment="1">
      <x:alignment vertical="top" wrapText="1"/>
    </x:xf>
    <x:xf numFmtId="0" fontId="0" fillId="35" borderId="96" xfId="0" applyNumberFormat="1" applyFont="1" applyFill="1" applyBorder="1" applyAlignment="1">
      <x:alignment vertical="top" wrapText="1"/>
    </x:xf>
    <x:xf numFmtId="0" fontId="0" fillId="35" xfId="0" applyNumberFormat="1" applyFont="1" applyFill="1" applyBorder="0" applyAlignment="1">
      <x:alignment vertical="top" wrapText="1"/>
    </x:xf>
    <x:xf numFmtId="0" fontId="0" fillId="35" borderId="97" xfId="0" applyNumberFormat="1" applyFont="1" applyFill="1" applyBorder="1" applyAlignment="1">
      <x:alignment vertical="top" wrapText="1"/>
    </x:xf>
    <x:xf numFmtId="0" fontId="3" fillId="35" borderId="96" xfId="0" applyNumberFormat="1" applyFont="1" applyFill="1" applyBorder="1" applyAlignment="1">
      <x:alignment vertical="top" wrapText="1"/>
    </x:xf>
    <x:xf numFmtId="0" fontId="3" fillId="35" xfId="0" applyNumberFormat="1" applyFont="1" applyFill="1" applyBorder="0" applyAlignment="1">
      <x:alignment vertical="top" wrapText="1"/>
    </x:xf>
    <x:xf numFmtId="0" fontId="3" fillId="35" borderId="97" xfId="0" applyNumberFormat="1" applyFont="1" applyFill="1" applyBorder="1" applyAlignment="1">
      <x:alignment vertical="top" wrapText="1"/>
    </x:xf>
    <x:xf numFmtId="0" fontId="3" fillId="35" borderId="90" xfId="0" applyNumberFormat="1" applyFont="1" applyFill="1" applyBorder="1" applyAlignment="1">
      <x:alignment vertical="top" wrapText="1"/>
    </x:xf>
    <x:xf numFmtId="0" fontId="3" fillId="35" borderId="91" xfId="0" applyNumberFormat="1" applyFont="1" applyFill="1" applyBorder="1" applyAlignment="1">
      <x:alignment vertical="top" wrapText="1"/>
    </x:xf>
    <x:xf numFmtId="0" fontId="3" fillId="35" borderId="92" xfId="0" applyNumberFormat="1" applyFont="1" applyFill="1" applyBorder="1" applyAlignment="1">
      <x:alignment vertical="top" wrapText="1"/>
    </x:xf>
    <x:xf numFmtId="0" fontId="7" fillId="0" borderId="93" xfId="0" applyNumberFormat="1" applyFont="1" applyFill="1" applyBorder="1" applyAlignment="1">
      <x:alignment vertical="top" wrapText="1"/>
    </x:xf>
    <x:xf numFmtId="0" fontId="7" fillId="0" borderId="96" xfId="0" applyNumberFormat="1" applyFont="1" applyFill="1" applyBorder="1" applyAlignment="1">
      <x:alignment vertical="top" wrapText="1"/>
    </x:xf>
    <x:xf numFmtId="0" fontId="7" fillId="0" borderId="98" xfId="0" applyNumberFormat="1" applyFont="1" applyFill="1" applyBorder="1" applyAlignment="1">
      <x:alignment vertical="top" wrapText="1"/>
    </x:xf>
    <x:xf numFmtId="0" fontId="4" fillId="0" borderId="99"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xfId="0" applyNumberFormat="1" applyFont="1" applyFill="1" applyBorder="0" applyAlignment="1">
      <x:alignment vertical="top" wrapText="1"/>
    </x:xf>
    <x:xf numFmtId="0" fontId="3" fillId="4" borderId="0" xfId="0" applyNumberFormat="1" applyFont="1" applyFill="1" applyBorder="1" applyAlignment="1">
      <x:alignment vertical="top" wrapText="1"/>
    </x:xf>
    <x:xf numFmtId="0" fontId="3" fillId="4" xfId="0" applyNumberFormat="1" applyFont="1" applyFill="1" applyBorder="0" applyAlignment="1">
      <x:alignment vertical="top" wrapText="1"/>
    </x:xf>
    <x:xf numFmtId="0" fontId="0" fillId="36" borderId="0" xfId="0" applyNumberFormat="1" applyFont="1" applyFill="1" applyBorder="1" applyAlignment="1">
      <x:alignment vertical="top" wrapText="1"/>
    </x:xf>
    <x:xf numFmtId="0" fontId="0" fillId="36" xfId="0" applyNumberFormat="1" applyFont="1" applyFill="1" applyBorder="0" applyAlignment="1">
      <x:alignment vertical="top" wrapText="1"/>
    </x:xf>
    <x:xf numFmtId="0" fontId="13" fillId="36" borderId="0" xfId="0" applyNumberFormat="1" applyFont="1" applyFill="1" applyBorder="1" applyAlignment="1">
      <x:alignment vertical="top" wrapText="1"/>
    </x:xf>
    <x:xf numFmtId="0" fontId="13" fillId="36" xfId="0" applyNumberFormat="1" applyFont="1" applyFill="1" applyBorder="0" applyAlignment="1">
      <x:alignment vertical="top" wrapText="1"/>
    </x:xf>
    <x:xf numFmtId="0" fontId="13" fillId="36" borderId="101" xfId="0" applyNumberFormat="1" applyFont="1" applyFill="1" applyBorder="1" applyAlignment="1">
      <x:alignment vertical="top" wrapText="1"/>
    </x:xf>
    <x:xf numFmtId="0" fontId="13" fillId="36" borderId="102" xfId="0" applyNumberFormat="1" applyFont="1" applyFill="1" applyBorder="1" applyAlignment="1">
      <x:alignment vertical="top" wrapText="1"/>
    </x:xf>
    <x:xf numFmtId="0" fontId="13" fillId="36" borderId="103" xfId="0" applyNumberFormat="1" applyFont="1" applyFill="1" applyBorder="1" applyAlignment="1">
      <x:alignment vertical="top" wrapText="1"/>
    </x:xf>
    <x:xf numFmtId="0" fontId="0" fillId="37" borderId="0" xfId="0" applyNumberFormat="1" applyFont="1" applyFill="1" applyBorder="1"/>
    <x:xf numFmtId="0" fontId="1" fillId="37" borderId="0" xfId="0" applyNumberFormat="1" applyFont="1" applyFill="1" applyBorder="1"/>
    <x:xf numFmtId="0" fontId="0" fillId="38" borderId="0" xfId="0" applyNumberFormat="1" applyFont="1" applyFill="1" applyBorder="1"/>
    <x:xf numFmtId="0" fontId="12" fillId="38" borderId="0" xfId="0" applyNumberFormat="1" applyFont="1" applyFill="1" applyBorder="1"/>
    <x:xf numFmtId="0" fontId="12" fillId="38" borderId="0" xfId="0" applyNumberFormat="1" applyFont="1" applyFill="1" applyBorder="1" applyAlignment="1">
      <x:alignment wrapText="1"/>
    </x:xf>
    <x:xf numFmtId="0" fontId="0" fillId="39" borderId="0" xfId="0" applyNumberFormat="1" applyFont="1" applyFill="1" applyBorder="1"/>
    <x:xf numFmtId="0" fontId="3" fillId="39" borderId="0" xfId="0" applyNumberFormat="1" applyFont="1" applyFill="1" applyBorder="1"/>
    <x:xf numFmtId="0" fontId="3" fillId="39" borderId="104" xfId="0" applyNumberFormat="1" applyFont="1" applyFill="1" applyBorder="1"/>
    <x:xf numFmtId="0" fontId="3" fillId="39" borderId="105" xfId="0" applyNumberFormat="1" applyFont="1" applyFill="1" applyBorder="1"/>
    <x:xf numFmtId="0" fontId="3" fillId="39" borderId="106" xfId="0" applyNumberFormat="1" applyFont="1" applyFill="1" applyBorder="1"/>
    <x:xf numFmtId="0" fontId="3" fillId="39" borderId="104" xfId="0" applyNumberFormat="1" applyFont="1" applyFill="1" applyBorder="1" applyAlignment="1">
      <x:alignment wrapText="1"/>
    </x:xf>
    <x:xf numFmtId="0" fontId="3" fillId="39" borderId="105" xfId="0" applyNumberFormat="1" applyFont="1" applyFill="1" applyBorder="1" applyAlignment="1">
      <x:alignment wrapText="1"/>
    </x:xf>
    <x:xf numFmtId="0" fontId="3" fillId="39" borderId="106" xfId="0" applyNumberFormat="1" applyFont="1" applyFill="1" applyBorder="1" applyAlignment="1">
      <x:alignment wrapText="1"/>
    </x:xf>
    <x:xf numFmtId="0" fontId="3" fillId="39" borderId="104" xfId="0" applyNumberFormat="1" applyFont="1" applyFill="1" applyBorder="1" applyAlignment="1">
      <x:alignment horizontal="center" wrapText="1"/>
    </x:xf>
    <x:xf numFmtId="0" fontId="3" fillId="39" borderId="105" xfId="0" applyNumberFormat="1" applyFont="1" applyFill="1" applyBorder="1" applyAlignment="1">
      <x:alignment horizontal="center" wrapText="1"/>
    </x:xf>
    <x:xf numFmtId="0" fontId="3" fillId="39" borderId="106" xfId="0" applyNumberFormat="1" applyFont="1" applyFill="1" applyBorder="1" applyAlignment="1">
      <x:alignment horizontal="center" wrapText="1"/>
    </x:xf>
    <x:xf numFmtId="0" fontId="3" fillId="39" borderId="104" xfId="0" applyNumberFormat="1" applyFont="1" applyFill="1" applyBorder="1" applyAlignment="1">
      <x:alignment horizontal="center" vertical="center" wrapText="1"/>
    </x:xf>
    <x:xf numFmtId="0" fontId="3" fillId="39" borderId="105" xfId="0" applyNumberFormat="1" applyFont="1" applyFill="1" applyBorder="1" applyAlignment="1">
      <x:alignment horizontal="center" vertical="center" wrapText="1"/>
    </x:xf>
    <x:xf numFmtId="0" fontId="3" fillId="39" borderId="106" xfId="0" applyNumberFormat="1" applyFont="1" applyFill="1" applyBorder="1" applyAlignment="1">
      <x:alignment horizontal="center" vertical="center" wrapText="1"/>
    </x:xf>
    <x:xf numFmtId="0" fontId="0" fillId="0" borderId="107" xfId="0" applyNumberFormat="1" applyFont="1" applyFill="1" applyBorder="1"/>
    <x:xf numFmtId="0" fontId="0" fillId="0" borderId="108" xfId="0" applyNumberFormat="1" applyFont="1" applyFill="1" applyBorder="1"/>
    <x:xf numFmtId="0" fontId="0" fillId="0" borderId="109" xfId="0" applyNumberFormat="1" applyFont="1" applyFill="1" applyBorder="1"/>
    <x:xf numFmtId="0" fontId="0" fillId="0" borderId="110" xfId="0" applyNumberFormat="1" applyFont="1" applyFill="1" applyBorder="1"/>
    <x:xf numFmtId="0" fontId="0" fillId="0" borderId="111" xfId="0" applyNumberFormat="1" applyFont="1" applyFill="1" applyBorder="1"/>
    <x:xf numFmtId="0" fontId="0" fillId="0" borderId="112" xfId="0" applyNumberFormat="1" applyFont="1" applyFill="1" applyBorder="1"/>
    <x:xf numFmtId="0" fontId="0" fillId="0" borderId="113" xfId="0" applyNumberFormat="1" applyFont="1" applyFill="1" applyBorder="1"/>
    <x:xf numFmtId="0" fontId="0" fillId="0" borderId="114" xfId="0" applyNumberFormat="1" applyFont="1" applyFill="1" applyBorder="1"/>
    <x:xf numFmtId="0" fontId="0" fillId="0" borderId="107" xfId="0" applyNumberFormat="1" applyFont="1" applyFill="1" applyBorder="1" applyAlignment="1">
      <x:alignment wrapText="1"/>
    </x:xf>
    <x:xf numFmtId="0" fontId="0" fillId="0" borderId="108" xfId="0" applyNumberFormat="1" applyFont="1" applyFill="1" applyBorder="1" applyAlignment="1">
      <x:alignment wrapText="1"/>
    </x:xf>
    <x:xf numFmtId="0" fontId="0" fillId="0" borderId="109" xfId="0" applyNumberFormat="1" applyFont="1" applyFill="1" applyBorder="1" applyAlignment="1">
      <x:alignment wrapText="1"/>
    </x:xf>
    <x:xf numFmtId="0" fontId="0" fillId="0" borderId="110" xfId="0" applyNumberFormat="1" applyFont="1" applyFill="1" applyBorder="1" applyAlignment="1">
      <x:alignment wrapText="1"/>
    </x:xf>
    <x:xf numFmtId="0" fontId="0" fillId="0" borderId="111" xfId="0" applyNumberFormat="1" applyFont="1" applyFill="1" applyBorder="1" applyAlignment="1">
      <x:alignment wrapText="1"/>
    </x:xf>
    <x:xf numFmtId="0" fontId="0" fillId="0" borderId="112" xfId="0" applyNumberFormat="1" applyFont="1" applyFill="1" applyBorder="1" applyAlignment="1">
      <x:alignment wrapText="1"/>
    </x:xf>
    <x:xf numFmtId="0" fontId="0" fillId="0" borderId="113" xfId="0" applyNumberFormat="1" applyFont="1" applyFill="1" applyBorder="1" applyAlignment="1">
      <x:alignment wrapText="1"/>
    </x:xf>
    <x:xf numFmtId="0" fontId="0" fillId="0" borderId="114" xfId="0" applyNumberFormat="1" applyFont="1" applyFill="1" applyBorder="1" applyAlignment="1">
      <x:alignment wrapText="1"/>
    </x:xf>
    <x:xf numFmtId="0" fontId="0" fillId="0" borderId="107" xfId="0" applyNumberFormat="1" applyFont="1" applyFill="1" applyBorder="1" applyAlignment="1">
      <x:alignment vertical="top" wrapText="1"/>
    </x:xf>
    <x:xf numFmtId="0" fontId="0" fillId="0" borderId="108" xfId="0" applyNumberFormat="1" applyFont="1" applyFill="1" applyBorder="1" applyAlignment="1">
      <x:alignment vertical="top" wrapText="1"/>
    </x:xf>
    <x:xf numFmtId="0" fontId="0" fillId="0" borderId="109" xfId="0" applyNumberFormat="1" applyFont="1" applyFill="1" applyBorder="1" applyAlignment="1">
      <x:alignment vertical="top" wrapText="1"/>
    </x:xf>
    <x:xf numFmtId="0" fontId="0" fillId="0" borderId="110" xfId="0" applyNumberFormat="1" applyFont="1" applyFill="1" applyBorder="1" applyAlignment="1">
      <x:alignment vertical="top" wrapText="1"/>
    </x:xf>
    <x:xf numFmtId="0" fontId="0" fillId="0" borderId="111" xfId="0" applyNumberFormat="1" applyFont="1" applyFill="1" applyBorder="1" applyAlignment="1">
      <x:alignment vertical="top" wrapText="1"/>
    </x:xf>
    <x:xf numFmtId="0" fontId="0" fillId="0" borderId="112" xfId="0" applyNumberFormat="1" applyFont="1" applyFill="1" applyBorder="1" applyAlignment="1">
      <x:alignment vertical="top" wrapText="1"/>
    </x:xf>
    <x:xf numFmtId="0" fontId="0" fillId="0" borderId="113" xfId="0" applyNumberFormat="1" applyFont="1" applyFill="1" applyBorder="1" applyAlignment="1">
      <x:alignment vertical="top" wrapText="1"/>
    </x:xf>
    <x:xf numFmtId="0" fontId="0" fillId="0" borderId="114" xfId="0" applyNumberFormat="1" applyFont="1" applyFill="1" applyBorder="1" applyAlignment="1">
      <x:alignment vertical="top" wrapText="1"/>
    </x:xf>
    <x:xf numFmtId="206" fontId="0" fillId="0" borderId="108" xfId="0" applyNumberFormat="1" applyFont="1" applyFill="1" applyBorder="1" applyAlignment="1">
      <x:alignment vertical="top" wrapText="1"/>
    </x:xf>
    <x:xf numFmtId="200" fontId="0" fillId="0" borderId="108" xfId="0" applyNumberFormat="1" applyFont="1" applyFill="1" applyBorder="1" applyAlignment="1">
      <x:alignment vertical="top" wrapText="1"/>
    </x:xf>
    <x:xf numFmtId="200" fontId="0" fillId="0" xfId="0" applyNumberFormat="1" applyFont="1" applyFill="1" applyBorder="0" applyAlignment="1">
      <x:alignment vertical="top" wrapText="1"/>
    </x:xf>
    <x:xf numFmtId="0" fontId="4" fillId="0" borderId="108" xfId="0" applyNumberFormat="1" applyFont="1" applyFill="1" applyBorder="1" applyAlignment="1">
      <x:alignment vertical="top" wrapText="1"/>
    </x:xf>
    <x:xf numFmtId="206" fontId="4" fillId="0" borderId="108" xfId="0" applyNumberFormat="1" applyFont="1" applyFill="1" applyBorder="1" applyAlignment="1">
      <x:alignment vertical="top" wrapText="1"/>
    </x:xf>
    <x:xf numFmtId="206" fontId="6" fillId="0" borderId="108" xfId="0" applyNumberFormat="1" applyFont="1" applyFill="1" applyBorder="1" applyAlignment="1">
      <x:alignment vertical="top" wrapText="1"/>
    </x:xf>
    <x:xf numFmtId="200" fontId="6" fillId="0" borderId="108" xfId="0" applyNumberFormat="1" applyFont="1" applyFill="1" applyBorder="1" applyAlignment="1">
      <x:alignment vertical="top" wrapText="1"/>
    </x:xf>
    <x:xf numFmtId="200" fontId="6" fillId="0" xfId="0" applyNumberFormat="1" applyFont="1" applyFill="1" applyBorder="0" applyAlignment="1">
      <x:alignment vertical="top" wrapText="1"/>
    </x:xf>
    <x:xf numFmtId="0" fontId="0" fillId="36" borderId="108" xfId="0" applyNumberFormat="1" applyFont="1" applyFill="1" applyBorder="1" applyAlignment="1">
      <x:alignment vertical="top" wrapText="1"/>
    </x:xf>
    <x:xf numFmtId="0" fontId="13" fillId="36" borderId="108" xfId="0" applyNumberFormat="1" applyFont="1" applyFill="1" applyBorder="1" applyAlignment="1">
      <x:alignment vertical="top" wrapText="1"/>
    </x:xf>
    <x:xf numFmtId="0" fontId="0" fillId="40" borderId="110" xfId="0" applyNumberFormat="1" applyFont="1" applyFill="1" applyBorder="1" applyAlignment="1">
      <x:alignment vertical="top" wrapText="1"/>
    </x:xf>
    <x:xf numFmtId="0" fontId="0" fillId="40" xfId="0" applyNumberFormat="1" applyFont="1" applyFill="1" applyBorder="0" applyAlignment="1">
      <x:alignment vertical="top" wrapText="1"/>
    </x:xf>
    <x:xf numFmtId="0" fontId="0" fillId="40" borderId="111" xfId="0" applyNumberFormat="1" applyFont="1" applyFill="1" applyBorder="1" applyAlignment="1">
      <x:alignment vertical="top" wrapText="1"/>
    </x:xf>
    <x:xf numFmtId="0" fontId="0" fillId="40" borderId="112" xfId="0" applyNumberFormat="1" applyFont="1" applyFill="1" applyBorder="1" applyAlignment="1">
      <x:alignment vertical="top" wrapText="1"/>
    </x:xf>
    <x:xf numFmtId="0" fontId="0" fillId="40" borderId="113" xfId="0" applyNumberFormat="1" applyFont="1" applyFill="1" applyBorder="1" applyAlignment="1">
      <x:alignment vertical="top" wrapText="1"/>
    </x:xf>
    <x:xf numFmtId="0" fontId="0" fillId="40" borderId="114" xfId="0" applyNumberFormat="1" applyFont="1" applyFill="1" applyBorder="1" applyAlignment="1">
      <x:alignment vertical="top" wrapText="1"/>
    </x:xf>
    <x:xf numFmtId="0" fontId="0" fillId="40" borderId="107" xfId="0" applyNumberFormat="1" applyFont="1" applyFill="1" applyBorder="1" applyAlignment="1">
      <x:alignment vertical="top" wrapText="1"/>
    </x:xf>
    <x:xf numFmtId="0" fontId="0" fillId="40" borderId="108" xfId="0" applyNumberFormat="1" applyFont="1" applyFill="1" applyBorder="1" applyAlignment="1">
      <x:alignment vertical="top" wrapText="1"/>
    </x:xf>
    <x:xf numFmtId="0" fontId="0" fillId="40" borderId="109" xfId="0" applyNumberFormat="1" applyFont="1" applyFill="1" applyBorder="1" applyAlignment="1">
      <x:alignment vertical="top" wrapText="1"/>
    </x:xf>
    <x:xf numFmtId="0" fontId="0" fillId="39" borderId="96" xfId="0" applyNumberFormat="1" applyFont="1" applyFill="1" applyBorder="1" applyAlignment="1">
      <x:alignment wrapText="1"/>
    </x:xf>
    <x:xf numFmtId="208" fontId="0" fillId="39" xfId="0" applyNumberFormat="1" applyFont="1" applyFill="1" applyBorder="0" applyAlignment="1">
      <x:alignment wrapText="1"/>
    </x:xf>
    <x:xf numFmtId="0" fontId="0" fillId="39" xfId="0" applyNumberFormat="1" applyFont="1" applyFill="1" applyBorder="0" applyAlignment="1">
      <x:alignment wrapText="1"/>
    </x:xf>
    <x:xf numFmtId="0" fontId="0" fillId="39" borderId="97" xfId="0" applyNumberFormat="1" applyFont="1" applyFill="1" applyBorder="1" applyAlignment="1">
      <x:alignment wrapText="1"/>
    </x:xf>
    <x:xf numFmtId="0" fontId="3" fillId="39" borderId="96" xfId="0" applyNumberFormat="1" applyFont="1" applyFill="1" applyBorder="1" applyAlignment="1">
      <x:alignment wrapText="1"/>
    </x:xf>
    <x:xf numFmtId="208" fontId="3" fillId="39" xfId="0" applyNumberFormat="1" applyFont="1" applyFill="1" applyBorder="0" applyAlignment="1">
      <x:alignment wrapText="1"/>
    </x:xf>
    <x:xf numFmtId="0" fontId="3" fillId="39" xfId="0" applyNumberFormat="1" applyFont="1" applyFill="1" applyBorder="0" applyAlignment="1">
      <x:alignment wrapText="1"/>
    </x:xf>
    <x:xf numFmtId="0" fontId="3" fillId="39" borderId="97" xfId="0" applyNumberFormat="1" applyFont="1" applyFill="1" applyBorder="1" applyAlignment="1">
      <x:alignment wrapText="1"/>
    </x:xf>
    <x:xf numFmtId="0" fontId="0" fillId="39" borderId="0" xfId="0" applyNumberFormat="1" applyFont="1" applyFill="1" applyBorder="1" applyAlignment="1">
      <x:alignment wrapText="1"/>
    </x:xf>
    <x:xf numFmtId="0" fontId="3" fillId="39" borderId="0" xfId="0" applyNumberFormat="1" applyFont="1" applyFill="1" applyBorder="1" applyAlignment="1">
      <x:alignment wrapText="1"/>
    </x:xf>
    <x:xf numFmtId="0" fontId="0" fillId="0" borderId="115" xfId="0" applyNumberFormat="1" applyFont="1" applyFill="1" applyBorder="1" applyAlignment="1">
      <x:alignment wrapText="1"/>
    </x:xf>
    <x:xf numFmtId="0" fontId="0" fillId="0" borderId="116" xfId="0" applyNumberFormat="1" applyFont="1" applyFill="1" applyBorder="1" applyAlignment="1">
      <x:alignment wrapText="1"/>
    </x:xf>
    <x:xf numFmtId="0" fontId="0" fillId="0" borderId="117" xfId="0" applyNumberFormat="1" applyFont="1" applyFill="1" applyBorder="1" applyAlignment="1">
      <x:alignment wrapText="1"/>
    </x:xf>
    <x:xf numFmtId="0" fontId="7" fillId="0" borderId="107" xfId="0" applyNumberFormat="1" applyFont="1" applyFill="1" applyBorder="1" applyAlignment="1">
      <x:alignment vertical="top" wrapText="1"/>
    </x:xf>
    <x:xf numFmtId="0" fontId="7" fillId="0" borderId="110" xfId="0" applyNumberFormat="1" applyFont="1" applyFill="1" applyBorder="1" applyAlignment="1">
      <x:alignment vertical="top" wrapText="1"/>
    </x:xf>
    <x:xf numFmtId="0" fontId="7" fillId="0" borderId="112" xfId="0" applyNumberFormat="1" applyFont="1" applyFill="1" applyBorder="1" applyAlignment="1">
      <x:alignment vertical="top" wrapText="1"/>
    </x:xf>
    <x:xf numFmtId="0" fontId="4" fillId="0" borderId="113" xfId="0" applyNumberFormat="1" applyFont="1" applyFill="1" applyBorder="1" applyAlignment="1">
      <x:alignment vertical="top" wrapText="1"/>
    </x:xf>
    <x:xf numFmtId="0" fontId="0" fillId="12" xfId="0" applyNumberFormat="1" applyFont="1" applyFill="1" applyBorder="0" applyAlignment="1">
      <x:alignment vertical="top" wrapText="1"/>
    </x:xf>
    <x:xf numFmtId="0" fontId="13" fillId="12" borderId="0" xfId="0" applyNumberFormat="1" applyFont="1" applyFill="1" applyBorder="1" applyAlignment="1">
      <x:alignment vertical="top" wrapText="1"/>
    </x:xf>
    <x:xf numFmtId="0" fontId="13" fillId="12" xfId="0" applyNumberFormat="1" applyFont="1" applyFill="1" applyBorder="0" applyAlignment="1">
      <x:alignment vertical="top"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22" xfId="0" applyNumberFormat="1" applyFont="1" applyFill="1" applyBorder="0" applyAlignment="1">
      <x:alignment vertical="top" wrapText="1"/>
    </x:xf>
    <x:xf numFmtId="0" fontId="0" fillId="4" borderId="0" xfId="0" applyNumberFormat="1" applyFont="1" applyFill="1" applyBorder="1" applyAlignment="1">
      <x:alignment wrapText="1"/>
    </x:xf>
    <x:xf numFmtId="208" fontId="0" fillId="4" xfId="0" applyNumberFormat="1" applyFont="1" applyFill="1" applyBorder="0" applyAlignment="1">
      <x:alignment wrapText="1"/>
    </x:xf>
    <x:xf numFmtId="0" fontId="0" fillId="4" xfId="0" applyNumberFormat="1" applyFont="1" applyFill="1" applyBorder="0" applyAlignment="1">
      <x:alignment wrapText="1"/>
    </x:xf>
    <x:xf numFmtId="208" fontId="3" fillId="4" xfId="0" applyNumberFormat="1" applyFont="1" applyFill="1" applyBorder="0" applyAlignment="1">
      <x:alignment wrapText="1"/>
    </x:xf>
    <x:xf numFmtId="0" fontId="3" fillId="4" xfId="0" applyNumberFormat="1" applyFont="1" applyFill="1" applyBorder="0" applyAlignment="1">
      <x:alignment wrapText="1"/>
    </x:xf>
    <x:xf numFmtId="0" fontId="3" fillId="41" borderId="0" xfId="0" applyNumberFormat="1" applyFont="1" applyFill="1" applyBorder="1" applyAlignment="1">
      <x:alignment wrapText="1"/>
    </x:xf>
    <x:xf numFmtId="208" fontId="3" fillId="41" xfId="0" applyNumberFormat="1" applyFont="1" applyFill="1" applyBorder="0" applyAlignment="1">
      <x:alignment wrapText="1"/>
    </x:xf>
    <x:xf numFmtId="0" fontId="3" fillId="41" xfId="0" applyNumberFormat="1" applyFont="1" applyFill="1" applyBorder="0" applyAlignment="1">
      <x:alignment wrapText="1"/>
    </x:xf>
    <x:xf numFmtId="0" fontId="0" fillId="0" borderId="118" xfId="0" applyNumberFormat="1" applyFont="1" applyFill="1" applyBorder="1" applyAlignment="1">
      <x:alignment wrapText="1"/>
    </x:xf>
    <x:xf numFmtId="0" fontId="0" fillId="0" borderId="119" xfId="0" applyNumberFormat="1" applyFont="1" applyFill="1" applyBorder="1" applyAlignment="1">
      <x:alignment wrapText="1"/>
    </x:xf>
    <x:xf numFmtId="0" fontId="0" fillId="0" borderId="120" xfId="0" applyNumberFormat="1" applyFont="1" applyFill="1" applyBorder="1" applyAlignment="1">
      <x:alignment wrapText="1"/>
    </x:xf>
    <x:xf numFmtId="0" fontId="0" fillId="0" borderId="121" xfId="0" applyNumberFormat="1" applyFont="1" applyFill="1" applyBorder="1" applyAlignment="1">
      <x:alignment wrapText="1"/>
    </x:xf>
    <x:xf numFmtId="0" fontId="0" fillId="0" borderId="122" xfId="0" applyNumberFormat="1" applyFont="1" applyFill="1" applyBorder="1" applyAlignment="1">
      <x:alignment wrapText="1"/>
    </x:xf>
    <x:xf numFmtId="0" fontId="0" fillId="0" borderId="123" xfId="0" applyNumberFormat="1" applyFont="1" applyFill="1" applyBorder="1" applyAlignment="1">
      <x:alignment wrapText="1"/>
    </x:xf>
    <x:xf numFmtId="0" fontId="0" fillId="0" borderId="124" xfId="0" applyNumberFormat="1" applyFont="1" applyFill="1" applyBorder="1" applyAlignment="1">
      <x:alignment wrapText="1"/>
    </x:xf>
    <x:xf numFmtId="0" fontId="0" fillId="0" borderId="125" xfId="0" applyNumberFormat="1" applyFont="1" applyFill="1" applyBorder="1" applyAlignment="1">
      <x:alignment wrapText="1"/>
    </x:xf>
    <x:xf numFmtId="0" fontId="3" fillId="42" borderId="0" xfId="0" applyNumberFormat="1" applyFont="1" applyFill="1" applyBorder="1" applyAlignment="1">
      <x:alignment wrapText="1"/>
    </x:xf>
    <x:xf numFmtId="208" fontId="3" fillId="42" xfId="0" applyNumberFormat="1" applyFont="1" applyFill="1" applyBorder="0" applyAlignment="1">
      <x:alignment wrapText="1"/>
    </x:xf>
    <x:xf numFmtId="0" fontId="3" fillId="42" xfId="0" applyNumberFormat="1" applyFont="1" applyFill="1" applyBorder="0" applyAlignment="1">
      <x:alignment wrapText="1"/>
    </x:xf>
    <x:xf numFmtId="0" fontId="0" fillId="0" borderId="126" xfId="0" applyNumberFormat="1" applyFont="1" applyFill="1" applyBorder="1" applyAlignment="1">
      <x:alignment wrapText="1"/>
    </x:xf>
    <x:xf numFmtId="0" fontId="0" fillId="0" borderId="127" xfId="0" applyNumberFormat="1" applyFont="1" applyFill="1" applyBorder="1" applyAlignment="1">
      <x:alignment wrapText="1"/>
    </x:xf>
    <x:xf numFmtId="0" fontId="0" fillId="0" borderId="128" xfId="0" applyNumberFormat="1" applyFont="1" applyFill="1" applyBorder="1" applyAlignment="1">
      <x:alignment wrapText="1"/>
    </x:xf>
    <x:xf numFmtId="0" fontId="0" fillId="0" borderId="129" xfId="0" applyNumberFormat="1" applyFont="1" applyFill="1" applyBorder="1" applyAlignment="1">
      <x:alignment wrapText="1"/>
    </x:xf>
    <x:xf numFmtId="0" fontId="0" fillId="0" borderId="130" xfId="0" applyNumberFormat="1" applyFont="1" applyFill="1" applyBorder="1" applyAlignment="1">
      <x:alignment wrapText="1"/>
    </x:xf>
    <x:xf numFmtId="0" fontId="0" fillId="0" borderId="131" xfId="0" applyNumberFormat="1" applyFont="1" applyFill="1" applyBorder="1" applyAlignment="1">
      <x:alignment wrapText="1"/>
    </x:xf>
    <x:xf numFmtId="0" fontId="0" fillId="0" borderId="132" xfId="0" applyNumberFormat="1" applyFont="1" applyFill="1" applyBorder="1" applyAlignment="1">
      <x:alignment wrapText="1"/>
    </x:xf>
    <x:xf numFmtId="0" fontId="0" fillId="0" borderId="133" xfId="0" applyNumberFormat="1" applyFont="1" applyFill="1" applyBorder="1" applyAlignment="1">
      <x:alignment wrapText="1"/>
    </x:xf>
    <x:xf numFmtId="0" fontId="0" fillId="43" borderId="0" xfId="0" applyNumberFormat="1" applyFont="1" applyFill="1" applyBorder="1"/>
    <x:xf numFmtId="0" fontId="1" fillId="43" borderId="0" xfId="0" applyNumberFormat="1" applyFont="1" applyFill="1" applyBorder="1"/>
    <x:xf numFmtId="0" fontId="0" fillId="44" borderId="0" xfId="0" applyNumberFormat="1" applyFont="1" applyFill="1" applyBorder="1"/>
    <x:xf numFmtId="0" fontId="12" fillId="44" borderId="0" xfId="0" applyNumberFormat="1" applyFont="1" applyFill="1" applyBorder="1"/>
    <x:xf numFmtId="0" fontId="12"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3" fillId="45" borderId="134" xfId="0" applyNumberFormat="1" applyFont="1" applyFill="1" applyBorder="1"/>
    <x:xf numFmtId="0" fontId="3" fillId="45" borderId="135" xfId="0" applyNumberFormat="1" applyFont="1" applyFill="1" applyBorder="1"/>
    <x:xf numFmtId="0" fontId="3" fillId="45" borderId="136" xfId="0" applyNumberFormat="1" applyFont="1" applyFill="1" applyBorder="1"/>
    <x:xf numFmtId="0" fontId="3" fillId="45" borderId="134" xfId="0" applyNumberFormat="1" applyFont="1" applyFill="1" applyBorder="1" applyAlignment="1">
      <x:alignment wrapText="1"/>
    </x:xf>
    <x:xf numFmtId="0" fontId="3" fillId="45" borderId="135" xfId="0" applyNumberFormat="1" applyFont="1" applyFill="1" applyBorder="1" applyAlignment="1">
      <x:alignment wrapText="1"/>
    </x:xf>
    <x:xf numFmtId="0" fontId="3" fillId="45" borderId="136" xfId="0" applyNumberFormat="1" applyFont="1" applyFill="1" applyBorder="1" applyAlignment="1">
      <x:alignment wrapText="1"/>
    </x:xf>
    <x:xf numFmtId="0" fontId="3" fillId="45" borderId="134" xfId="0" applyNumberFormat="1" applyFont="1" applyFill="1" applyBorder="1" applyAlignment="1">
      <x:alignment horizontal="center" wrapText="1"/>
    </x:xf>
    <x:xf numFmtId="0" fontId="3" fillId="45" borderId="135" xfId="0" applyNumberFormat="1" applyFont="1" applyFill="1" applyBorder="1" applyAlignment="1">
      <x:alignment horizontal="center" wrapText="1"/>
    </x:xf>
    <x:xf numFmtId="0" fontId="3" fillId="45" borderId="136" xfId="0" applyNumberFormat="1" applyFont="1" applyFill="1" applyBorder="1" applyAlignment="1">
      <x:alignment horizontal="center" wrapText="1"/>
    </x:xf>
    <x:xf numFmtId="0" fontId="3" fillId="45" borderId="134" xfId="0" applyNumberFormat="1" applyFont="1" applyFill="1" applyBorder="1" applyAlignment="1">
      <x:alignment horizontal="center" vertical="center" wrapText="1"/>
    </x:xf>
    <x:xf numFmtId="0" fontId="3" fillId="45" borderId="135" xfId="0" applyNumberFormat="1" applyFont="1" applyFill="1" applyBorder="1" applyAlignment="1">
      <x:alignment horizontal="center" vertical="center" wrapText="1"/>
    </x:xf>
    <x:xf numFmtId="0" fontId="3" fillId="45" borderId="136" xfId="0" applyNumberFormat="1" applyFont="1" applyFill="1" applyBorder="1" applyAlignment="1">
      <x:alignment horizontal="center" vertical="center" wrapText="1"/>
    </x:xf>
    <x:xf numFmtId="0" fontId="0" fillId="0" borderId="137" xfId="0" applyNumberFormat="1" applyFont="1" applyFill="1" applyBorder="1"/>
    <x:xf numFmtId="0" fontId="0" fillId="0" borderId="138" xfId="0" applyNumberFormat="1" applyFont="1" applyFill="1" applyBorder="1"/>
    <x:xf numFmtId="0" fontId="0" fillId="0" borderId="139" xfId="0" applyNumberFormat="1" applyFont="1" applyFill="1" applyBorder="1"/>
    <x:xf numFmtId="0" fontId="0" fillId="0" borderId="140" xfId="0" applyNumberFormat="1" applyFont="1" applyFill="1" applyBorder="1"/>
    <x:xf numFmtId="0" fontId="0" fillId="0" borderId="141" xfId="0" applyNumberFormat="1" applyFont="1" applyFill="1" applyBorder="1"/>
    <x:xf numFmtId="0" fontId="0" fillId="0" borderId="142" xfId="0" applyNumberFormat="1" applyFont="1" applyFill="1" applyBorder="1"/>
    <x:xf numFmtId="0" fontId="0" fillId="0" borderId="143" xfId="0" applyNumberFormat="1" applyFont="1" applyFill="1" applyBorder="1"/>
    <x:xf numFmtId="0" fontId="0" fillId="0" borderId="144" xfId="0" applyNumberFormat="1" applyFont="1" applyFill="1" applyBorder="1"/>
    <x:xf numFmtId="0" fontId="0" fillId="0" borderId="137" xfId="0" applyNumberFormat="1" applyFont="1" applyFill="1" applyBorder="1" applyAlignment="1">
      <x:alignment wrapText="1"/>
    </x:xf>
    <x:xf numFmtId="0" fontId="0" fillId="0" borderId="138" xfId="0" applyNumberFormat="1" applyFont="1" applyFill="1" applyBorder="1" applyAlignment="1">
      <x:alignment wrapText="1"/>
    </x:xf>
    <x:xf numFmtId="0" fontId="0" fillId="0" borderId="139" xfId="0" applyNumberFormat="1" applyFont="1" applyFill="1" applyBorder="1" applyAlignment="1">
      <x:alignment wrapText="1"/>
    </x:xf>
    <x:xf numFmtId="0" fontId="0" fillId="0" borderId="140" xfId="0" applyNumberFormat="1" applyFont="1" applyFill="1" applyBorder="1" applyAlignment="1">
      <x:alignment wrapText="1"/>
    </x:xf>
    <x:xf numFmtId="0" fontId="0" fillId="0" borderId="141" xfId="0" applyNumberFormat="1" applyFont="1" applyFill="1" applyBorder="1" applyAlignment="1">
      <x:alignment wrapText="1"/>
    </x:xf>
    <x:xf numFmtId="0" fontId="0" fillId="0" borderId="142" xfId="0" applyNumberFormat="1" applyFont="1" applyFill="1" applyBorder="1" applyAlignment="1">
      <x:alignment wrapText="1"/>
    </x:xf>
    <x:xf numFmtId="0" fontId="0" fillId="0" borderId="143" xfId="0" applyNumberFormat="1" applyFont="1" applyFill="1" applyBorder="1" applyAlignment="1">
      <x:alignment wrapText="1"/>
    </x:xf>
    <x:xf numFmtId="0" fontId="0" fillId="0" borderId="144" xfId="0" applyNumberFormat="1" applyFont="1" applyFill="1" applyBorder="1" applyAlignment="1">
      <x:alignment wrapText="1"/>
    </x:xf>
    <x:xf numFmtId="0" fontId="0" fillId="0" borderId="137" xfId="0" applyNumberFormat="1" applyFont="1" applyFill="1" applyBorder="1" applyAlignment="1">
      <x:alignment vertical="top" wrapText="1"/>
    </x:xf>
    <x:xf numFmtId="0" fontId="0" fillId="0" borderId="138" xfId="0" applyNumberFormat="1" applyFont="1" applyFill="1" applyBorder="1" applyAlignment="1">
      <x:alignment vertical="top" wrapText="1"/>
    </x:xf>
    <x:xf numFmtId="0" fontId="0" fillId="0" borderId="139" xfId="0" applyNumberFormat="1" applyFont="1" applyFill="1" applyBorder="1" applyAlignment="1">
      <x:alignment vertical="top" wrapText="1"/>
    </x:xf>
    <x:xf numFmtId="0" fontId="0" fillId="0" borderId="140" xfId="0" applyNumberFormat="1" applyFont="1" applyFill="1" applyBorder="1" applyAlignment="1">
      <x:alignment vertical="top" wrapText="1"/>
    </x:xf>
    <x:xf numFmtId="0" fontId="0" fillId="0" borderId="141" xfId="0" applyNumberFormat="1" applyFont="1" applyFill="1" applyBorder="1" applyAlignment="1">
      <x:alignment vertical="top" wrapText="1"/>
    </x:xf>
    <x:xf numFmtId="0" fontId="0" fillId="0" borderId="142" xfId="0" applyNumberFormat="1" applyFont="1" applyFill="1" applyBorder="1" applyAlignment="1">
      <x:alignment vertical="top" wrapText="1"/>
    </x:xf>
    <x:xf numFmtId="0" fontId="0" fillId="0" borderId="143" xfId="0" applyNumberFormat="1" applyFont="1" applyFill="1" applyBorder="1" applyAlignment="1">
      <x:alignment vertical="top" wrapText="1"/>
    </x:xf>
    <x:xf numFmtId="0" fontId="0" fillId="0" borderId="144" xfId="0" applyNumberFormat="1" applyFont="1" applyFill="1" applyBorder="1" applyAlignment="1">
      <x:alignment vertical="top" wrapText="1"/>
    </x:xf>
    <x:xf numFmtId="201" fontId="0" fillId="0" borderId="138" xfId="0" applyNumberFormat="1" applyFont="1" applyFill="1" applyBorder="1" applyAlignment="1">
      <x:alignment vertical="top" wrapText="1"/>
    </x:xf>
    <x:xf numFmtId="206" fontId="0" fillId="0" borderId="138" xfId="0" applyNumberFormat="1" applyFont="1" applyFill="1" applyBorder="1" applyAlignment="1">
      <x:alignment vertical="top" wrapText="1"/>
    </x:xf>
    <x:xf numFmtId="201" fontId="4" fillId="0" borderId="138" xfId="0" applyNumberFormat="1" applyFont="1" applyFill="1" applyBorder="1" applyAlignment="1">
      <x:alignment vertical="top" wrapText="1"/>
    </x:xf>
    <x:xf numFmtId="0" fontId="4" fillId="0" borderId="138" xfId="0" applyNumberFormat="1" applyFont="1" applyFill="1" applyBorder="1" applyAlignment="1">
      <x:alignment vertical="top" wrapText="1"/>
    </x:xf>
    <x:xf numFmtId="206" fontId="4" fillId="0" borderId="138" xfId="0" applyNumberFormat="1" applyFont="1" applyFill="1" applyBorder="1" applyAlignment="1">
      <x:alignment vertical="top" wrapText="1"/>
    </x:xf>
    <x:xf numFmtId="0" fontId="0" fillId="46" borderId="138" xfId="0" applyNumberFormat="1" applyFont="1" applyFill="1" applyBorder="1" applyAlignment="1">
      <x:alignment vertical="top" wrapText="1"/>
    </x:xf>
    <x:xf numFmtId="0" fontId="0" fillId="46" xfId="0" applyNumberFormat="1" applyFont="1" applyFill="1" applyBorder="0" applyAlignment="1">
      <x:alignment vertical="top" wrapText="1"/>
    </x:xf>
    <x:xf numFmtId="0" fontId="11" fillId="46" borderId="138" xfId="0" applyNumberFormat="1" applyFont="1" applyFill="1" applyBorder="1" applyAlignment="1">
      <x:alignment vertical="top" wrapText="1"/>
    </x:xf>
    <x:xf numFmtId="0" fontId="11" fillId="46" xfId="0" applyNumberFormat="1" applyFont="1" applyFill="1" applyBorder="0" applyAlignment="1">
      <x:alignment vertical="top" wrapText="1"/>
    </x:xf>
    <x:xf numFmtId="0" fontId="11" fillId="46" borderId="145" xfId="0" applyNumberFormat="1" applyFont="1" applyFill="1" applyBorder="1" applyAlignment="1">
      <x:alignment vertical="top" wrapText="1"/>
    </x:xf>
    <x:xf numFmtId="0" fontId="11" fillId="46" borderId="146" xfId="0" applyNumberFormat="1" applyFont="1" applyFill="1" applyBorder="1" applyAlignment="1">
      <x:alignment vertical="top" wrapText="1"/>
    </x:xf>
    <x:xf numFmtId="0" fontId="11" fillId="46" borderId="147" xfId="0" applyNumberFormat="1" applyFont="1" applyFill="1" applyBorder="1" applyAlignment="1">
      <x:alignment vertical="top" wrapText="1"/>
    </x:xf>
    <x:xf numFmtId="208" fontId="0" fillId="0" borderId="138" xfId="0" applyNumberFormat="1" applyFont="1" applyFill="1" applyBorder="1" applyAlignment="1">
      <x:alignment vertical="top" wrapText="1"/>
    </x:xf>
    <x:xf numFmtId="0" fontId="6" fillId="0" borderId="138" xfId="0" applyNumberFormat="1" applyFont="1" applyFill="1" applyBorder="1" applyAlignment="1">
      <x:alignment vertical="top" wrapText="1"/>
    </x:xf>
    <x:xf numFmtId="0" fontId="0" fillId="45" borderId="140" xfId="0" applyNumberFormat="1" applyFont="1" applyFill="1" applyBorder="1" applyAlignment="1">
      <x:alignment vertical="top" wrapText="1"/>
    </x:xf>
    <x:xf numFmtId="0" fontId="0" fillId="45" xfId="0" applyNumberFormat="1" applyFont="1" applyFill="1" applyBorder="0" applyAlignment="1">
      <x:alignment vertical="top" wrapText="1"/>
    </x:xf>
    <x:xf numFmtId="0" fontId="0" fillId="45" borderId="141" xfId="0" applyNumberFormat="1" applyFont="1" applyFill="1" applyBorder="1" applyAlignment="1">
      <x:alignment vertical="top" wrapText="1"/>
    </x:xf>
    <x:xf numFmtId="0" fontId="3" fillId="45" borderId="140" xfId="0" applyNumberFormat="1" applyFont="1" applyFill="1" applyBorder="1" applyAlignment="1">
      <x:alignment vertical="top" wrapText="1"/>
    </x:xf>
    <x:xf numFmtId="0" fontId="3" fillId="45" xfId="0" applyNumberFormat="1" applyFont="1" applyFill="1" applyBorder="0" applyAlignment="1">
      <x:alignment vertical="top" wrapText="1"/>
    </x:xf>
    <x:xf numFmtId="0" fontId="3" fillId="45" borderId="141" xfId="0" applyNumberFormat="1" applyFont="1" applyFill="1" applyBorder="1" applyAlignment="1">
      <x:alignment vertical="top" wrapText="1"/>
    </x:xf>
    <x:xf numFmtId="0" fontId="0" fillId="45" borderId="131" xfId="0" applyNumberFormat="1" applyFont="1" applyFill="1" applyBorder="1" applyAlignment="1">
      <x:alignment wrapText="1"/>
    </x:xf>
    <x:xf numFmtId="0" fontId="0" fillId="45" borderId="132" xfId="0" applyNumberFormat="1" applyFont="1" applyFill="1" applyBorder="1" applyAlignment="1">
      <x:alignment wrapText="1"/>
    </x:xf>
    <x:xf numFmtId="0" fontId="0" fillId="45" borderId="133" xfId="0" applyNumberFormat="1" applyFont="1" applyFill="1" applyBorder="1" applyAlignment="1">
      <x:alignment wrapText="1"/>
    </x:xf>
    <x:xf numFmtId="0" fontId="3" fillId="45" borderId="131" xfId="0" applyNumberFormat="1" applyFont="1" applyFill="1" applyBorder="1" applyAlignment="1">
      <x:alignment wrapText="1"/>
    </x:xf>
    <x:xf numFmtId="0" fontId="3" fillId="45" borderId="132" xfId="0" applyNumberFormat="1" applyFont="1" applyFill="1" applyBorder="1" applyAlignment="1">
      <x:alignment wrapText="1"/>
    </x:xf>
    <x:xf numFmtId="0" fontId="3" fillId="45" borderId="133" xfId="0" applyNumberFormat="1" applyFont="1" applyFill="1" applyBorder="1" applyAlignment="1">
      <x:alignment wrapText="1"/>
    </x:xf>
    <x:xf numFmtId="0" fontId="0" fillId="45" borderId="0" xfId="0" applyNumberFormat="1" applyFont="1" applyFill="1" applyBorder="1" applyAlignment="1">
      <x:alignment wrapText="1"/>
    </x:xf>
    <x:xf numFmtId="0" fontId="3" fillId="45" borderId="0" xfId="0" applyNumberFormat="1" applyFont="1" applyFill="1" applyBorder="1" applyAlignment="1">
      <x:alignment wrapText="1"/>
    </x:xf>
    <x:xf numFmtId="0" fontId="7" fillId="0" borderId="137" xfId="0" applyNumberFormat="1" applyFont="1" applyFill="1" applyBorder="1" applyAlignment="1">
      <x:alignment vertical="top" wrapText="1"/>
    </x:xf>
    <x:xf numFmtId="0" fontId="7" fillId="0" borderId="140" xfId="0" applyNumberFormat="1" applyFont="1" applyFill="1" applyBorder="1" applyAlignment="1">
      <x:alignment vertical="top" wrapText="1"/>
    </x:xf>
    <x:xf numFmtId="0" fontId="7" fillId="0" borderId="142" xfId="0" applyNumberFormat="1" applyFont="1" applyFill="1" applyBorder="1" applyAlignment="1">
      <x:alignment vertical="top" wrapText="1"/>
    </x:xf>
    <x:xf numFmtId="0" fontId="4" fillId="0" borderId="143" xfId="0" applyNumberFormat="1" applyFont="1" applyFill="1" applyBorder="1" applyAlignment="1">
      <x:alignment vertical="top" wrapText="1"/>
    </x:xf>
    <x:xf numFmtId="0" fontId="11" fillId="22" borderId="0" xfId="0" applyNumberFormat="1" applyFont="1" applyFill="1" applyBorder="1" applyAlignment="1">
      <x:alignment vertical="top" wrapText="1"/>
    </x:xf>
    <x:xf numFmtId="0" fontId="11" fillId="22" xfId="0" applyNumberFormat="1" applyFont="1" applyFill="1" applyBorder="0" applyAlignment="1">
      <x:alignment vertical="top" wrapText="1"/>
    </x:xf>
    <x:xf numFmtId="0" fontId="3" fillId="47" borderId="0" xfId="0" applyNumberFormat="1" applyFont="1" applyFill="1" applyBorder="1" applyAlignment="1">
      <x:alignment wrapText="1"/>
    </x:xf>
    <x:xf numFmtId="0" fontId="0" fillId="0" borderId="148" xfId="0" applyNumberFormat="1" applyFont="1" applyFill="1" applyBorder="1" applyAlignment="1">
      <x:alignment wrapText="1"/>
    </x:xf>
    <x:xf numFmtId="0" fontId="0" fillId="0" borderId="149" xfId="0" applyNumberFormat="1" applyFont="1" applyFill="1" applyBorder="1" applyAlignment="1">
      <x:alignment wrapText="1"/>
    </x:xf>
    <x:xf numFmtId="0" fontId="0" fillId="0" borderId="150" xfId="0" applyNumberFormat="1" applyFont="1" applyFill="1" applyBorder="1" applyAlignment="1">
      <x:alignment wrapText="1"/>
    </x:xf>
    <x:xf numFmtId="0" fontId="0" fillId="0" borderId="151" xfId="0" applyNumberFormat="1" applyFont="1" applyFill="1" applyBorder="1" applyAlignment="1">
      <x:alignment wrapText="1"/>
    </x:xf>
    <x:xf numFmtId="0" fontId="0" fillId="0" borderId="152" xfId="0" applyNumberFormat="1" applyFont="1" applyFill="1" applyBorder="1" applyAlignment="1">
      <x:alignment wrapText="1"/>
    </x:xf>
    <x:xf numFmtId="0" fontId="0" fillId="0" borderId="153" xfId="0" applyNumberFormat="1" applyFont="1" applyFill="1" applyBorder="1" applyAlignment="1">
      <x:alignment wrapText="1"/>
    </x:xf>
    <x:xf numFmtId="0" fontId="0" fillId="0" borderId="154" xfId="0" applyNumberFormat="1" applyFont="1" applyFill="1" applyBorder="1" applyAlignment="1">
      <x:alignment wrapText="1"/>
    </x:xf>
    <x:xf numFmtId="0" fontId="0" fillId="0" borderId="155" xfId="0" applyNumberFormat="1" applyFont="1" applyFill="1" applyBorder="1" applyAlignment="1">
      <x:alignment wrapText="1"/>
    </x:xf>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horizontal="left"/>
    </x:xf>
    <x:xf numFmtId="0" fontId="14" fillId="48" borderId="0" xfId="0" applyNumberFormat="1" applyFont="1" applyFill="1" applyBorder="1" applyAlignment="1">
      <x:alignment horizontal="left" vertical="center"/>
    </x:xf>
    <x:xf numFmtId="0" fontId="0" fillId="49" borderId="0" xfId="0" applyNumberFormat="1" applyFont="1" applyFill="1" applyBorder="1"/>
    <x:xf numFmtId="0" fontId="15" fillId="49" borderId="0" xfId="0" applyNumberFormat="1" applyFont="1" applyFill="1" applyBorder="1"/>
    <x:xf numFmtId="0" fontId="15" fillId="49" borderId="0" xfId="0" applyNumberFormat="1" applyFont="1" applyFill="1" applyBorder="1" applyAlignment="1">
      <x:alignment wrapText="1"/>
    </x:xf>
    <x:xf numFmtId="0" fontId="15" fillId="49" borderId="0" xfId="0" applyNumberFormat="1" applyFont="1" applyFill="1" applyBorder="1" applyAlignment="1">
      <x:alignment vertical="top" wrapText="1"/>
    </x:xf>
    <x:xf numFmtId="0" fontId="0" fillId="50" borderId="0" xfId="0" applyNumberFormat="1" applyFont="1" applyFill="1" applyBorder="1"/>
    <x:xf numFmtId="0" fontId="3" fillId="50" borderId="0" xfId="0" applyNumberFormat="1" applyFont="1" applyFill="1" applyBorder="1"/>
    <x:xf numFmtId="0" fontId="0" fillId="51" borderId="0" xfId="0" applyNumberFormat="1" applyFont="1" applyFill="1" applyBorder="1"/>
    <x:xf numFmtId="0" fontId="7" fillId="51" borderId="0" xfId="0" applyNumberFormat="1" applyFont="1" applyFill="1" applyBorder="1"/>
    <x:xf numFmtId="0" fontId="7" fillId="51" borderId="0" xfId="0" applyNumberFormat="1" applyFont="1" applyFill="1" applyBorder="1" applyAlignment="1">
      <x:alignment wrapText="1"/>
    </x:xf>
    <x:xf numFmtId="0" fontId="7" fillId="51" borderId="0" xfId="0" applyNumberFormat="1" applyFont="1" applyFill="1" applyBorder="1" applyAlignment="1">
      <x:alignment horizontal="center" wrapText="1"/>
    </x:xf>
    <x:xf numFmtId="210" fontId="0" fillId="0" borderId="0" xfId="0" applyNumberFormat="1" applyFont="1" applyFill="1" applyBorder="1"/>
    <x:xf numFmtId="210" fontId="4" fillId="0" borderId="0" xfId="0" applyNumberFormat="1" applyFont="1" applyFill="1" applyBorder="1"/>
    <x:xf numFmtId="0" fontId="0" fillId="52" borderId="0" xfId="0" applyNumberFormat="1" applyFont="1" applyFill="1" applyBorder="1"/>
    <x:xf numFmtId="210" fontId="0" fillId="52" borderId="0" xfId="0" applyNumberFormat="1" applyFont="1" applyFill="1" applyBorder="1"/>
    <x:xf numFmtId="0" fontId="7" fillId="52" borderId="0" xfId="0" applyNumberFormat="1" applyFont="1" applyFill="1" applyBorder="1"/>
    <x:xf numFmtId="210" fontId="7" fillId="52" borderId="0" xfId="0" applyNumberFormat="1" applyFont="1" applyFill="1" applyBorder="1"/>
    <x:xf numFmtId="210" fontId="16" fillId="52" borderId="0" xfId="0" applyNumberFormat="1" applyFont="1" applyFill="1" applyBorder="1"/>
    <x:xf numFmtId="0" fontId="0" fillId="53" borderId="0" xfId="0" applyNumberFormat="1" applyFont="1" applyFill="1" applyBorder="1"/>
    <x:xf numFmtId="210" fontId="0" fillId="53" borderId="0" xfId="0" applyNumberFormat="1" applyFont="1" applyFill="1" applyBorder="1"/>
    <x:xf numFmtId="0" fontId="7" fillId="53" borderId="0" xfId="0" applyNumberFormat="1" applyFont="1" applyFill="1" applyBorder="1"/>
    <x:xf numFmtId="210" fontId="7" fillId="53" borderId="0" xfId="0" applyNumberFormat="1" applyFont="1" applyFill="1" applyBorder="1"/>
    <x:xf numFmtId="210" fontId="16" fillId="53" borderId="0" xfId="0" applyNumberFormat="1" applyFont="1" applyFill="1" applyBorder="1"/>
    <x:xf numFmtId="0" fontId="7" fillId="51" borderId="0" xfId="0" applyNumberFormat="1" applyFont="1" applyFill="1" applyBorder="1" applyAlignment="1">
      <x:alignment horizontal="center" vertical="center" wrapText="1"/>
    </x:xf>
    <x:xf numFmtId="211" fontId="0" fillId="0" borderId="0" xfId="0" applyNumberFormat="1" applyFont="1" applyFill="1" applyBorder="1"/>
    <x:xf numFmtId="211" fontId="4" fillId="0" borderId="0" xfId="0" applyNumberFormat="1" applyFont="1" applyFill="1" applyBorder="1"/>
    <x:xf numFmtId="211" fontId="5" fillId="0" borderId="0" xfId="0" applyNumberFormat="1" applyFont="1" applyFill="1" applyBorder="1"/>
    <x:xf numFmtId="210" fontId="5" fillId="0" borderId="0" xfId="0" applyNumberFormat="1" applyFont="1" applyFill="1" applyBorder="1"/>
    <x:xf numFmtId="211" fontId="7" fillId="52" borderId="0" xfId="0" applyNumberFormat="1" applyFont="1" applyFill="1" applyBorder="1"/>
    <x:xf numFmtId="211" fontId="7" fillId="53" borderId="0" xfId="0" applyNumberFormat="1" applyFont="1" applyFill="1" applyBorder="1"/>
    <x:xf numFmtId="211" fontId="5" fillId="52" borderId="0" xfId="0" applyNumberFormat="1" applyFont="1" applyFill="1" applyBorder="1"/>
    <x:xf numFmtId="210" fontId="5" fillId="52" borderId="0" xfId="0" applyNumberFormat="1" applyFont="1" applyFill="1" applyBorder="1"/>
    <x:xf numFmtId="211" fontId="8" fillId="52" borderId="0" xfId="0" applyNumberFormat="1" applyFont="1" applyFill="1" applyBorder="1"/>
    <x:xf numFmtId="210" fontId="8" fillId="52" borderId="0" xfId="0" applyNumberFormat="1" applyFont="1" applyFill="1" applyBorder="1"/>
    <x:xf numFmtId="0" fontId="17" fillId="0" borderId="0" xfId="0" applyNumberFormat="1" applyFont="1" applyFill="1" applyBorder="1"/>
    <x:xf numFmtId="0" fontId="17" fillId="52" borderId="0" xfId="0" applyNumberFormat="1" applyFont="1" applyFill="1" applyBorder="1"/>
    <x:xf numFmtId="211" fontId="0" fillId="0" borderId="0" xfId="0" applyNumberFormat="1" applyFont="1" applyFill="1" applyBorder="1" applyAlignment="1">
      <x:alignment wrapText="1"/>
    </x:xf>
    <x:xf numFmtId="210" fontId="0" fillId="0" borderId="0" xfId="0" applyNumberFormat="1" applyFont="1" applyFill="1" applyBorder="1" applyAlignment="1">
      <x:alignment wrapText="1"/>
    </x:xf>
    <x:xf numFmtId="0" fontId="0" fillId="53" borderId="0" xfId="0" applyNumberFormat="1" applyFont="1" applyFill="1" applyBorder="1" applyAlignment="1">
      <x:alignment wrapText="1"/>
    </x:xf>
    <x:xf numFmtId="0" fontId="17" fillId="53" borderId="0" xfId="0" applyNumberFormat="1" applyFont="1" applyFill="1" applyBorder="1" applyAlignment="1">
      <x:alignment wrapText="1"/>
    </x:xf>
    <x:xf numFmtId="0" fontId="0" fillId="54" borderId="0" xfId="0" applyNumberFormat="1" applyFont="1" applyFill="1" applyBorder="1" applyAlignment="1">
      <x:alignment wrapText="1"/>
    </x:xf>
    <x:xf numFmtId="0" fontId="17" fillId="54" borderId="0" xfId="0" applyNumberFormat="1" applyFont="1" applyFill="1" applyBorder="1" applyAlignment="1">
      <x:alignment wrapText="1"/>
    </x:xf>
    <x:xf numFmtId="0" fontId="14" fillId="48"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50" borderId="0" xfId="0" applyNumberFormat="1" applyFont="1" applyFill="1" applyBorder="1" applyAlignment="1">
      <x:alignment vertical="top"/>
    </x:xf>
    <x:xf numFmtId="0" fontId="7" fillId="51" borderId="0" xfId="0" applyNumberFormat="1" applyFont="1" applyFill="1" applyBorder="1" applyAlignment="1">
      <x:alignment horizontal="center" vertical="top" wrapText="1"/>
    </x:xf>
    <x:xf numFmtId="210" fontId="4" fillId="0" borderId="0" xfId="0" applyNumberFormat="1" applyFont="1" applyFill="1" applyBorder="1" applyAlignment="1">
      <x:alignment vertical="top"/>
    </x:xf>
    <x:xf numFmtId="211" fontId="4" fillId="0" borderId="0" xfId="0" applyNumberFormat="1" applyFont="1" applyFill="1" applyBorder="1" applyAlignment="1">
      <x:alignment vertical="top"/>
    </x:xf>
    <x:xf numFmtId="210" fontId="0" fillId="0" borderId="0" xfId="0" applyNumberFormat="1" applyFont="1" applyFill="1" applyBorder="1" applyAlignment="1">
      <x:alignment vertical="top"/>
    </x:xf>
    <x:xf numFmtId="211" fontId="5" fillId="0" borderId="0" xfId="0" applyNumberFormat="1" applyFont="1" applyFill="1" applyBorder="1" applyAlignment="1">
      <x:alignment vertical="top"/>
    </x:xf>
    <x:xf numFmtId="210" fontId="5" fillId="0" borderId="0" xfId="0" applyNumberFormat="1" applyFont="1" applyFill="1" applyBorder="1" applyAlignment="1">
      <x:alignment vertical="top"/>
    </x:xf>
    <x:xf numFmtId="0" fontId="7" fillId="52" borderId="0" xfId="0" applyNumberFormat="1" applyFont="1" applyFill="1" applyBorder="1" applyAlignment="1">
      <x:alignment vertical="top"/>
    </x:xf>
    <x:xf numFmtId="211" fontId="7" fillId="52" borderId="0" xfId="0" applyNumberFormat="1" applyFont="1" applyFill="1" applyBorder="1" applyAlignment="1">
      <x:alignment vertical="top"/>
    </x:xf>
    <x:xf numFmtId="210" fontId="7" fillId="52" borderId="0" xfId="0" applyNumberFormat="1" applyFont="1" applyFill="1" applyBorder="1" applyAlignment="1">
      <x:alignment vertical="top"/>
    </x:xf>
    <x:xf numFmtId="0" fontId="7" fillId="53" borderId="0" xfId="0" applyNumberFormat="1" applyFont="1" applyFill="1" applyBorder="1" applyAlignment="1">
      <x:alignment vertical="top"/>
    </x:xf>
    <x:xf numFmtId="211" fontId="7" fillId="53" borderId="0" xfId="0" applyNumberFormat="1" applyFont="1" applyFill="1" applyBorder="1" applyAlignment="1">
      <x:alignment vertical="top"/>
    </x:xf>
    <x:xf numFmtId="210" fontId="16" fillId="52" borderId="0" xfId="0" applyNumberFormat="1" applyFont="1" applyFill="1" applyBorder="1" applyAlignment="1">
      <x:alignment vertical="top"/>
    </x:xf>
    <x:xf numFmtId="210" fontId="16" fillId="53" borderId="0" xfId="0" applyNumberFormat="1" applyFont="1" applyFill="1" applyBorder="1" applyAlignment="1">
      <x:alignment vertical="top"/>
    </x:xf>
    <x:xf numFmtId="0" fontId="17" fillId="0" borderId="0" xfId="0" applyNumberFormat="1" applyFont="1" applyFill="1" applyBorder="1" applyAlignment="1">
      <x:alignment vertical="top"/>
    </x:xf>
    <x:xf numFmtId="211" fontId="8" fillId="52" borderId="0" xfId="0" applyNumberFormat="1" applyFont="1" applyFill="1" applyBorder="1" applyAlignment="1">
      <x:alignment vertical="top"/>
    </x:xf>
    <x:xf numFmtId="210" fontId="8" fillId="52" borderId="0" xfId="0" applyNumberFormat="1" applyFont="1" applyFill="1" applyBorder="1" applyAlignment="1">
      <x:alignment vertical="top"/>
    </x:xf>
    <x:xf numFmtId="0" fontId="17" fillId="52" borderId="0" xfId="0" applyNumberFormat="1" applyFont="1" applyFill="1" applyBorder="1" applyAlignment="1">
      <x:alignment vertical="top"/>
    </x:xf>
    <x:xf numFmtId="0" fontId="17" fillId="53" borderId="0" xfId="0" applyNumberFormat="1" applyFont="1" applyFill="1" applyBorder="1" applyAlignment="1">
      <x:alignment vertical="top" wrapText="1"/>
    </x:xf>
    <x:xf numFmtId="211" fontId="0" fillId="0" borderId="0" xfId="0" applyNumberFormat="1" applyFont="1" applyFill="1" applyBorder="1" applyAlignment="1">
      <x:alignment vertical="top" wrapText="1"/>
    </x:xf>
    <x:xf numFmtId="210" fontId="0" fillId="0" borderId="0" xfId="0" applyNumberFormat="1" applyFont="1" applyFill="1" applyBorder="1" applyAlignment="1">
      <x:alignment vertical="top" wrapText="1"/>
    </x:xf>
    <x:xf numFmtId="0" fontId="17" fillId="54" borderId="0" xfId="0" applyNumberFormat="1" applyFont="1" applyFill="1" applyBorder="1" applyAlignment="1">
      <x:alignment vertical="top" wrapText="1"/>
    </x:xf>
    <x:xf numFmtId="0" fontId="7" fillId="51" borderId="0" xfId="0" applyNumberFormat="1" applyFont="1" applyFill="1" applyBorder="1" applyAlignment="1">
      <x:alignment vertical="top"/>
    </x:xf>
    <x:xf numFmtId="0" fontId="14" fillId="48" borderId="0" xfId="0" applyNumberFormat="1" applyFont="1" applyFill="1" applyBorder="1" applyAlignment="1">
      <x:alignment horizontal="left" vertical="top" wrapText="1"/>
    </x:xf>
    <x:xf numFmtId="0" fontId="3" fillId="50" borderId="0" xfId="0" applyNumberFormat="1" applyFont="1" applyFill="1" applyBorder="1" applyAlignment="1">
      <x:alignment vertical="top" wrapText="1"/>
    </x:xf>
    <x:xf numFmtId="210" fontId="4" fillId="0" borderId="0" xfId="0" applyNumberFormat="1" applyFont="1" applyFill="1" applyBorder="1" applyAlignment="1">
      <x:alignment vertical="top" wrapText="1"/>
    </x:xf>
    <x:xf numFmtId="211" fontId="4" fillId="0" borderId="0" xfId="0" applyNumberFormat="1" applyFont="1" applyFill="1" applyBorder="1" applyAlignment="1">
      <x:alignment vertical="top" wrapText="1"/>
    </x:xf>
    <x:xf numFmtId="211" fontId="5" fillId="0" borderId="0" xfId="0" applyNumberFormat="1" applyFont="1" applyFill="1" applyBorder="1" applyAlignment="1">
      <x:alignment vertical="top" wrapText="1"/>
    </x:xf>
    <x:xf numFmtId="210" fontId="5" fillId="0" borderId="0" xfId="0" applyNumberFormat="1" applyFont="1" applyFill="1" applyBorder="1" applyAlignment="1">
      <x:alignment vertical="top" wrapText="1"/>
    </x:xf>
    <x:xf numFmtId="0" fontId="7" fillId="52" borderId="0" xfId="0" applyNumberFormat="1" applyFont="1" applyFill="1" applyBorder="1" applyAlignment="1">
      <x:alignment vertical="top" wrapText="1"/>
    </x:xf>
    <x:xf numFmtId="211" fontId="7" fillId="52" borderId="0" xfId="0" applyNumberFormat="1" applyFont="1" applyFill="1" applyBorder="1" applyAlignment="1">
      <x:alignment vertical="top" wrapText="1"/>
    </x:xf>
    <x:xf numFmtId="210" fontId="7" fillId="52" borderId="0" xfId="0" applyNumberFormat="1" applyFont="1" applyFill="1" applyBorder="1" applyAlignment="1">
      <x:alignment vertical="top" wrapText="1"/>
    </x:xf>
    <x:xf numFmtId="0" fontId="7" fillId="53" borderId="0" xfId="0" applyNumberFormat="1" applyFont="1" applyFill="1" applyBorder="1" applyAlignment="1">
      <x:alignment vertical="top" wrapText="1"/>
    </x:xf>
    <x:xf numFmtId="211" fontId="7" fillId="53" borderId="0" xfId="0" applyNumberFormat="1" applyFont="1" applyFill="1" applyBorder="1" applyAlignment="1">
      <x:alignment vertical="top" wrapText="1"/>
    </x:xf>
    <x:xf numFmtId="210" fontId="16" fillId="52" borderId="0" xfId="0" applyNumberFormat="1" applyFont="1" applyFill="1" applyBorder="1" applyAlignment="1">
      <x:alignment vertical="top" wrapText="1"/>
    </x:xf>
    <x:xf numFmtId="210" fontId="16" fillId="53"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211" fontId="8" fillId="52" borderId="0" xfId="0" applyNumberFormat="1" applyFont="1" applyFill="1" applyBorder="1" applyAlignment="1">
      <x:alignment vertical="top" wrapText="1"/>
    </x:xf>
    <x:xf numFmtId="210" fontId="8" fillId="52" borderId="0" xfId="0" applyNumberFormat="1" applyFont="1" applyFill="1" applyBorder="1" applyAlignment="1">
      <x:alignment vertical="top" wrapText="1"/>
    </x:xf>
    <x:xf numFmtId="0" fontId="17" fillId="52" borderId="0" xfId="0" applyNumberFormat="1" applyFont="1" applyFill="1" applyBorder="1" applyAlignment="1">
      <x:alignment vertical="top" wrapText="1"/>
    </x:xf>
    <x:xf numFmtId="0" fontId="7" fillId="51" borderId="0" xfId="0" applyNumberFormat="1" applyFont="1" applyFill="1" applyBorder="1" applyAlignment="1">
      <x:alignment vertical="top" wrapText="1"/>
    </x:xf>
    <x:xf numFmtId="0" fontId="3" fillId="48" borderId="0" xfId="0" applyNumberFormat="1" applyFont="1" applyFill="1" applyBorder="1"/>
    <x:xf numFmtId="0" fontId="3" fillId="50" borderId="0" xfId="0" applyNumberFormat="1" applyFont="1" applyFill="1" applyBorder="1" applyAlignment="1">
      <x:alignment wrapText="1"/>
    </x:xf>
    <x:xf numFmtId="210" fontId="16" fillId="0" borderId="0" xfId="0" applyNumberFormat="1" applyFont="1" applyFill="1" applyBorder="1"/>
    <x:xf numFmtId="0" fontId="3" fillId="48" borderId="0" xfId="0" applyNumberFormat="1" applyFont="1" applyFill="1" applyBorder="1" applyAlignment="1">
      <x:alignment wrapText="1"/>
    </x:xf>
    <x:xf numFmtId="210" fontId="5" fillId="0" borderId="0" xfId="0" applyNumberFormat="1" applyFont="1" applyFill="1" applyBorder="1" applyAlignment="1">
      <x:alignment wrapText="1"/>
    </x:xf>
    <x:xf numFmtId="210" fontId="4" fillId="0" borderId="0" xfId="0" applyNumberFormat="1" applyFont="1" applyFill="1" applyBorder="1" applyAlignment="1">
      <x:alignment wrapText="1"/>
    </x:xf>
    <x:xf numFmtId="210" fontId="16" fillId="53" borderId="0" xfId="0" applyNumberFormat="1" applyFont="1" applyFill="1" applyBorder="1" applyAlignment="1">
      <x:alignment wrapText="1"/>
    </x:xf>
    <x:xf numFmtId="210" fontId="0" fillId="0" xfId="0" applyNumberFormat="1" applyFont="1" applyFill="1" applyBorder="0" applyAlignment="1">
      <x:alignment vertical="top" wrapText="1"/>
    </x:xf>
    <x:xf numFmtId="211" fontId="6" fillId="0" borderId="0" xfId="0" applyNumberFormat="1" applyFont="1" applyFill="1" applyBorder="1" applyAlignment="1">
      <x:alignment vertical="top" wrapText="1"/>
    </x:xf>
    <x:xf numFmtId="211" fontId="6" fillId="0" xfId="0" applyNumberFormat="1" applyFont="1" applyFill="1" applyBorder="0" applyAlignment="1">
      <x:alignment vertical="top" wrapText="1"/>
    </x:xf>
    <x:xf numFmtId="211" fontId="0" fillId="0" xfId="0" applyNumberFormat="1" applyFont="1" applyFill="1" applyBorder="0" applyAlignment="1">
      <x:alignment vertical="top" wrapText="1"/>
    </x:xf>
    <x:xf numFmtId="210" fontId="5" fillId="0" xfId="0" applyNumberFormat="1" applyFont="1" applyFill="1" applyBorder="0" applyAlignment="1">
      <x:alignment vertical="top" wrapText="1"/>
    </x:xf>
    <x:xf numFmtId="211" fontId="5" fillId="0" xfId="0" applyNumberFormat="1" applyFont="1" applyFill="1" applyBorder="0" applyAlignment="1">
      <x:alignment vertical="top" wrapText="1"/>
    </x:xf>
    <x:xf numFmtId="0" fontId="3" fillId="50" borderId="0" xfId="0" applyNumberFormat="1" applyFont="1" applyFill="1" applyBorder="1" applyAlignment="1">
      <x:alignment horizontal="center" wrapText="1"/>
    </x:xf>
    <x:xf numFmtId="211" fontId="6" fillId="0" borderId="0" xfId="0" applyNumberFormat="1" applyFont="1" applyFill="1" applyBorder="1"/>
    <x:xf numFmtId="211" fontId="5" fillId="0" borderId="0" xfId="0" applyNumberFormat="1" applyFont="1" applyFill="1" applyBorder="1" applyAlignment="1">
      <x:alignment wrapText="1"/>
    </x:xf>
    <x:xf numFmtId="211" fontId="6" fillId="0" borderId="0" xfId="0" applyNumberFormat="1" applyFont="1" applyFill="1" applyBorder="1" applyAlignment="1">
      <x:alignment wrapText="1"/>
    </x:xf>
    <x:xf numFmtId="210" fontId="4" fillId="0" xfId="0" applyNumberFormat="1" applyFont="1" applyFill="1" applyBorder="0" applyAlignment="1">
      <x:alignment vertical="top" wrapText="1"/>
    </x:xf>
    <x:xf numFmtId="0" fontId="14" fillId="2" borderId="0" xfId="0" applyNumberFormat="1" applyFont="1" applyFill="1" applyBorder="1"/>
    <x:xf numFmtId="0" fontId="14" fillId="2" borderId="0" xfId="0" applyNumberFormat="1" applyFont="1" applyFill="1" applyBorder="1" applyAlignment="1">
      <x:alignment horizontal="left"/>
    </x:xf>
    <x:xf numFmtId="0" fontId="14" fillId="2" borderId="0" xfId="0" applyNumberFormat="1" applyFont="1" applyFill="1" applyBorder="1" applyAlignment="1">
      <x:alignment horizontal="left" vertical="center"/>
    </x:xf>
    <x:xf numFmtId="0" fontId="15" fillId="3" borderId="0" xfId="0" applyNumberFormat="1" applyFont="1" applyFill="1" applyBorder="1"/>
    <x:xf numFmtId="0" fontId="15" fillId="3" borderId="0" xfId="0" applyNumberFormat="1" applyFont="1" applyFill="1" applyBorder="1" applyAlignment="1">
      <x:alignment wrapText="1"/>
    </x:xf>
    <x:xf numFmtId="0" fontId="15" fillId="3" borderId="0" xfId="0" applyNumberFormat="1" applyFont="1" applyFill="1" applyBorder="1" applyAlignment="1">
      <x:alignment vertical="top" wrapText="1"/>
    </x:xf>
    <x:xf numFmtId="0" fontId="0" fillId="12" borderId="0" xfId="0" applyNumberFormat="1" applyFont="1" applyFill="1" applyBorder="1"/>
    <x:xf numFmtId="210" fontId="0" fillId="12" borderId="0" xfId="0" applyNumberFormat="1" applyFont="1" applyFill="1" applyBorder="1"/>
    <x:xf numFmtId="0" fontId="7" fillId="12" borderId="0" xfId="0" applyNumberFormat="1" applyFont="1" applyFill="1" applyBorder="1"/>
    <x:xf numFmtId="210" fontId="7" fillId="12" borderId="0" xfId="0" applyNumberFormat="1" applyFont="1" applyFill="1" applyBorder="1"/>
    <x:xf numFmtId="210" fontId="16" fillId="12" borderId="0" xfId="0" applyNumberFormat="1" applyFont="1" applyFill="1" applyBorder="1"/>
    <x:xf numFmtId="0" fontId="0" fillId="5" borderId="0" xfId="0" applyNumberFormat="1" applyFont="1" applyFill="1" applyBorder="1"/>
    <x:xf numFmtId="210" fontId="0" fillId="5" borderId="0" xfId="0" applyNumberFormat="1" applyFont="1" applyFill="1" applyBorder="1"/>
    <x:xf numFmtId="0" fontId="7" fillId="5" borderId="0" xfId="0" applyNumberFormat="1" applyFont="1" applyFill="1" applyBorder="1"/>
    <x:xf numFmtId="210" fontId="7" fillId="5" borderId="0" xfId="0" applyNumberFormat="1" applyFont="1" applyFill="1" applyBorder="1"/>
    <x:xf numFmtId="210" fontId="16" fillId="5" borderId="0" xfId="0" applyNumberFormat="1" applyFont="1" applyFill="1" applyBorder="1"/>
    <x:xf numFmtId="211" fontId="7" fillId="12" borderId="0" xfId="0" applyNumberFormat="1" applyFont="1" applyFill="1" applyBorder="1"/>
    <x:xf numFmtId="211" fontId="7" fillId="5" borderId="0" xfId="0" applyNumberFormat="1" applyFont="1" applyFill="1" applyBorder="1"/>
    <x:xf numFmtId="211" fontId="5" fillId="12" borderId="0" xfId="0" applyNumberFormat="1" applyFont="1" applyFill="1" applyBorder="1"/>
    <x:xf numFmtId="210" fontId="5" fillId="12" borderId="0" xfId="0" applyNumberFormat="1" applyFont="1" applyFill="1" applyBorder="1"/>
    <x:xf numFmtId="211" fontId="8" fillId="12" borderId="0" xfId="0" applyNumberFormat="1" applyFont="1" applyFill="1" applyBorder="1"/>
    <x:xf numFmtId="210" fontId="8" fillId="12" borderId="0" xfId="0" applyNumberFormat="1" applyFont="1" applyFill="1" applyBorder="1"/>
    <x:xf numFmtId="0" fontId="17" fillId="12" borderId="0" xfId="0" applyNumberFormat="1" applyFont="1" applyFill="1" applyBorder="1"/>
    <x:xf numFmtId="0" fontId="0" fillId="5" borderId="0" xfId="0" applyNumberFormat="1" applyFont="1" applyFill="1" applyBorder="1" applyAlignment="1">
      <x:alignment wrapText="1"/>
    </x:xf>
    <x:xf numFmtId="0" fontId="17" fillId="5" borderId="0" xfId="0" applyNumberFormat="1" applyFont="1" applyFill="1" applyBorder="1" applyAlignment="1">
      <x:alignment wrapText="1"/>
    </x:xf>
    <x:xf numFmtId="0" fontId="17" fillId="22" borderId="0" xfId="0" applyNumberFormat="1" applyFont="1" applyFill="1" applyBorder="1" applyAlignment="1">
      <x:alignment wrapText="1"/>
    </x:xf>
    <x:xf numFmtId="0" fontId="14" fillId="2" borderId="0" xfId="0" applyNumberFormat="1" applyFont="1" applyFill="1" applyBorder="1" applyAlignment="1">
      <x:alignment horizontal="left" vertical="top"/>
    </x:xf>
    <x:xf numFmtId="0" fontId="3" fillId="4" borderId="0" xfId="0" applyNumberFormat="1" applyFont="1" applyFill="1" applyBorder="1" applyAlignment="1">
      <x:alignment vertical="top"/>
    </x:xf>
    <x:xf numFmtId="0" fontId="7" fillId="12" borderId="0" xfId="0" applyNumberFormat="1" applyFont="1" applyFill="1" applyBorder="1" applyAlignment="1">
      <x:alignment vertical="top"/>
    </x:xf>
    <x:xf numFmtId="211" fontId="7" fillId="12" borderId="0" xfId="0" applyNumberFormat="1" applyFont="1" applyFill="1" applyBorder="1" applyAlignment="1">
      <x:alignment vertical="top"/>
    </x:xf>
    <x:xf numFmtId="210" fontId="7" fillId="12" borderId="0" xfId="0" applyNumberFormat="1" applyFont="1" applyFill="1" applyBorder="1" applyAlignment="1">
      <x:alignment vertical="top"/>
    </x:xf>
    <x:xf numFmtId="0" fontId="7" fillId="5" borderId="0" xfId="0" applyNumberFormat="1" applyFont="1" applyFill="1" applyBorder="1" applyAlignment="1">
      <x:alignment vertical="top"/>
    </x:xf>
    <x:xf numFmtId="211" fontId="7" fillId="5" borderId="0" xfId="0" applyNumberFormat="1" applyFont="1" applyFill="1" applyBorder="1" applyAlignment="1">
      <x:alignment vertical="top"/>
    </x:xf>
    <x:xf numFmtId="210" fontId="16" fillId="12" borderId="0" xfId="0" applyNumberFormat="1" applyFont="1" applyFill="1" applyBorder="1" applyAlignment="1">
      <x:alignment vertical="top"/>
    </x:xf>
    <x:xf numFmtId="210" fontId="16" fillId="5" borderId="0" xfId="0" applyNumberFormat="1" applyFont="1" applyFill="1" applyBorder="1" applyAlignment="1">
      <x:alignment vertical="top"/>
    </x:xf>
    <x:xf numFmtId="211" fontId="8" fillId="12" borderId="0" xfId="0" applyNumberFormat="1" applyFont="1" applyFill="1" applyBorder="1" applyAlignment="1">
      <x:alignment vertical="top"/>
    </x:xf>
    <x:xf numFmtId="210" fontId="8" fillId="12" borderId="0" xfId="0" applyNumberFormat="1" applyFont="1" applyFill="1" applyBorder="1" applyAlignment="1">
      <x:alignment vertical="top"/>
    </x:xf>
    <x:xf numFmtId="0" fontId="17" fillId="12" borderId="0" xfId="0" applyNumberFormat="1" applyFont="1" applyFill="1" applyBorder="1" applyAlignment="1">
      <x:alignment vertical="top"/>
    </x:xf>
    <x:xf numFmtId="0" fontId="17" fillId="5" borderId="0" xfId="0" applyNumberFormat="1" applyFont="1" applyFill="1" applyBorder="1" applyAlignment="1">
      <x:alignment vertical="top" wrapText="1"/>
    </x:xf>
    <x:xf numFmtId="0" fontId="17" fillId="22" borderId="0" xfId="0" applyNumberFormat="1" applyFont="1" applyFill="1" applyBorder="1" applyAlignment="1">
      <x:alignment vertical="top" wrapText="1"/>
    </x:xf>
    <x:xf numFmtId="0" fontId="14" fillId="2" borderId="0" xfId="0" applyNumberFormat="1" applyFont="1" applyFill="1" applyBorder="1" applyAlignment="1">
      <x:alignment horizontal="left" vertical="top" wrapText="1"/>
    </x:xf>
    <x:xf numFmtId="211" fontId="7" fillId="12" borderId="0" xfId="0" applyNumberFormat="1" applyFont="1" applyFill="1" applyBorder="1" applyAlignment="1">
      <x:alignment vertical="top" wrapText="1"/>
    </x:xf>
    <x:xf numFmtId="210" fontId="7" fillId="12"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211" fontId="7" fillId="5" borderId="0" xfId="0" applyNumberFormat="1" applyFont="1" applyFill="1" applyBorder="1" applyAlignment="1">
      <x:alignment vertical="top" wrapText="1"/>
    </x:xf>
    <x:xf numFmtId="210" fontId="16" fillId="12" borderId="0" xfId="0" applyNumberFormat="1" applyFont="1" applyFill="1" applyBorder="1" applyAlignment="1">
      <x:alignment vertical="top" wrapText="1"/>
    </x:xf>
    <x:xf numFmtId="210" fontId="16" fillId="5" borderId="0" xfId="0" applyNumberFormat="1" applyFont="1" applyFill="1" applyBorder="1" applyAlignment="1">
      <x:alignment vertical="top" wrapText="1"/>
    </x:xf>
    <x:xf numFmtId="211" fontId="8" fillId="12" borderId="0" xfId="0" applyNumberFormat="1" applyFont="1" applyFill="1" applyBorder="1" applyAlignment="1">
      <x:alignment vertical="top" wrapText="1"/>
    </x:xf>
    <x:xf numFmtId="210" fontId="8" fillId="12" borderId="0" xfId="0" applyNumberFormat="1" applyFont="1" applyFill="1" applyBorder="1" applyAlignment="1">
      <x:alignment vertical="top" wrapText="1"/>
    </x:xf>
    <x:xf numFmtId="0" fontId="17" fillId="12" borderId="0" xfId="0" applyNumberFormat="1" applyFont="1" applyFill="1" applyBorder="1" applyAlignment="1">
      <x:alignment vertical="top" wrapText="1"/>
    </x:xf>
    <x:xf numFmtId="0" fontId="3" fillId="2" borderId="0" xfId="0" applyNumberFormat="1" applyFont="1" applyFill="1" applyBorder="1" applyAlignment="1">
      <x:alignment wrapText="1"/>
    </x:xf>
    <x:xf numFmtId="210" fontId="16" fillId="5" borderId="0" xfId="0" applyNumberFormat="1" applyFont="1" applyFill="1" applyBorder="1" applyAlignment="1">
      <x:alignment wrapText="1"/>
    </x:xf>
    <x:xf numFmtId="0" fontId="0" fillId="55" borderId="0" xfId="0" applyNumberFormat="1" applyFont="1" applyFill="1" applyBorder="1"/>
    <x:xf numFmtId="0" fontId="1" fillId="55" borderId="0" xfId="0" applyNumberFormat="1" applyFont="1" applyFill="1" applyBorder="1"/>
    <x:xf numFmtId="0" fontId="1" fillId="55" borderId="0" xfId="0" applyNumberFormat="1" applyFont="1" applyFill="1" applyBorder="1" applyAlignment="1">
      <x:alignment horizontal="left"/>
    </x:xf>
    <x:xf numFmtId="0" fontId="1" fillId="55" borderId="0" xfId="0" applyNumberFormat="1" applyFont="1" applyFill="1" applyBorder="1" applyAlignment="1">
      <x:alignment horizontal="left" vertical="center"/>
    </x:xf>
    <x:xf numFmtId="0" fontId="0" fillId="56" borderId="0" xfId="0" applyNumberFormat="1" applyFont="1" applyFill="1" applyBorder="1"/>
    <x:xf numFmtId="0" fontId="18" fillId="56" borderId="0" xfId="0" applyNumberFormat="1" applyFont="1" applyFill="1" applyBorder="1"/>
    <x:xf numFmtId="0" fontId="18" fillId="56" borderId="0" xfId="0" applyNumberFormat="1" applyFont="1" applyFill="1" applyBorder="1" applyAlignment="1">
      <x:alignment wrapText="1"/>
    </x:xf>
    <x:xf numFmtId="0" fontId="18" fillId="56" borderId="0" xfId="0" applyNumberFormat="1" applyFont="1" applyFill="1" applyBorder="1" applyAlignment="1">
      <x:alignment vertical="center" wrapText="1"/>
    </x:xf>
    <x:xf numFmtId="0" fontId="0" fillId="57" borderId="0" xfId="0" applyNumberFormat="1" applyFont="1" applyFill="1" applyBorder="1"/>
    <x:xf numFmtId="0" fontId="3" fillId="57" borderId="0" xfId="0" applyNumberFormat="1" applyFont="1" applyFill="1" applyBorder="1"/>
    <x:xf numFmtId="0" fontId="7" fillId="0" borderId="0" xfId="0" applyNumberFormat="1" applyFont="1" applyFill="1" applyBorder="1"/>
    <x:xf numFmtId="0" fontId="19" fillId="0" borderId="0" xfId="0" applyNumberFormat="1" applyFont="1" applyFill="1" applyBorder="1"/>
    <x:xf numFmtId="0" fontId="19" fillId="0" borderId="0" xfId="0" applyNumberFormat="1" applyFont="1" applyFill="1" applyBorder="1" applyAlignment="1">
      <x:alignment wrapText="1"/>
    </x:xf>
    <x:xf numFmtId="0" fontId="3" fillId="55" borderId="0" xfId="0" applyNumberFormat="1" applyFont="1" applyFill="1" applyBorder="1"/>
    <x:xf numFmtId="0" fontId="3" fillId="55" borderId="0" xfId="0" applyNumberFormat="1" applyFont="1" applyFill="1" applyBorder="1" applyAlignment="1">
      <x:alignment wrapText="1"/>
    </x:xf>
    <x:xf numFmtId="0" fontId="3" fillId="55" borderId="0" xfId="0" applyNumberFormat="1" applyFont="1" applyFill="1" applyBorder="1" applyAlignment="1">
      <x:alignment horizontal="center" wrapText="1"/>
    </x:xf>
    <x:xf numFmtId="0" fontId="3" fillId="55" borderId="0" xfId="0" applyNumberFormat="1" applyFont="1" applyFill="1" applyBorder="1" applyAlignment="1">
      <x:alignment horizontal="center" vertical="center" wrapText="1"/>
    </x:xf>
    <x:xf numFmtId="204" fontId="5" fillId="0" borderId="0" xfId="0" applyNumberFormat="1" applyFont="1" applyFill="1" applyBorder="1"/>
    <x:xf numFmtId="204" fontId="6" fillId="0" borderId="0" xfId="0" applyNumberFormat="1" applyFont="1" applyFill="1" applyBorder="1"/>
    <x:xf numFmtId="210" fontId="6" fillId="0" borderId="0" xfId="0" applyNumberFormat="1" applyFont="1" applyFill="1" applyBorder="1"/>
    <x:xf numFmtId="0" fontId="6" fillId="58" borderId="0" xfId="0" applyNumberFormat="1" applyFont="1" applyFill="1" applyBorder="1"/>
    <x:xf numFmtId="0" fontId="20" fillId="58" borderId="0" xfId="0" applyNumberFormat="1" applyFont="1" applyFill="1" applyBorder="1"/>
    <x:xf numFmtId="0" fontId="20" fillId="58" borderId="0" xfId="0" applyNumberFormat="1" applyFont="1" applyFill="1" applyBorder="1" applyAlignment="1">
      <x:alignment horizontal="center"/>
    </x:xf>
    <x:xf numFmtId="0" fontId="0" fillId="58" borderId="0" xfId="0" applyNumberFormat="1" applyFont="1" applyFill="1" applyBorder="1"/>
    <x:xf numFmtId="0" fontId="0" fillId="59" borderId="0" xfId="0" applyNumberFormat="1" applyFont="1" applyFill="1" applyBorder="1"/>
    <x:xf numFmtId="0" fontId="11" fillId="59" borderId="0" xfId="0" applyNumberFormat="1" applyFont="1" applyFill="1" applyBorder="1"/>
    <x:xf numFmtId="0" fontId="11" fillId="59" borderId="0" xfId="0" applyNumberFormat="1" applyFont="1" applyFill="1" applyBorder="1" applyAlignment="1">
      <x:alignment horizontal="center"/>
    </x:xf>
    <x:xf numFmtId="0" fontId="0" fillId="60" borderId="0" xfId="0" applyNumberFormat="1" applyFont="1" applyFill="1" applyBorder="1"/>
    <x:xf numFmtId="0" fontId="21" fillId="60" borderId="0" xfId="0" applyNumberFormat="1" applyFont="1" applyFill="1" applyBorder="1"/>
    <x:xf numFmtId="0" fontId="21" fillId="60" borderId="0" xfId="0" applyNumberFormat="1" applyFont="1" applyFill="1" applyBorder="1" applyAlignment="1">
      <x:alignment horizontal="center"/>
    </x:xf>
    <x:xf numFmtId="0" fontId="22" fillId="56" borderId="0" xfId="0" applyNumberFormat="1" applyFont="1" applyFill="1" applyBorder="1"/>
    <x:xf numFmtId="0" fontId="22" fillId="56" borderId="0" xfId="0" applyNumberFormat="1" applyFont="1" applyFill="1" applyBorder="1" applyAlignment="1">
      <x:alignment horizontal="center"/>
    </x:xf>
    <x:xf numFmtId="0" fontId="0" fillId="61" borderId="0" xfId="0" applyNumberFormat="1" applyFont="1" applyFill="1" applyBorder="1"/>
    <x:xf numFmtId="0" fontId="16" fillId="61" borderId="0" xfId="0" applyNumberFormat="1" applyFont="1" applyFill="1" applyBorder="1"/>
    <x:xf numFmtId="0" fontId="16" fillId="61" borderId="0" xfId="0" applyNumberFormat="1" applyFont="1" applyFill="1" applyBorder="1" applyAlignment="1">
      <x:alignment horizontal="center"/>
    </x:xf>
    <x:xf numFmtId="0" fontId="7" fillId="0" borderId="156" xfId="0" applyNumberFormat="1" applyFont="1" applyFill="1" applyBorder="1"/>
    <x:xf numFmtId="0" fontId="20" fillId="58" borderId="157" xfId="0" applyNumberFormat="1" applyFont="1" applyFill="1" applyBorder="1" applyAlignment="1">
      <x:alignment horizontal="center"/>
    </x:xf>
    <x:xf numFmtId="0" fontId="0" fillId="0" borderId="157" xfId="0" applyNumberFormat="1" applyFont="1" applyFill="1" applyBorder="1"/>
    <x:xf numFmtId="0" fontId="7" fillId="0" borderId="157" xfId="0" applyNumberFormat="1" applyFont="1" applyFill="1" applyBorder="1"/>
    <x:xf numFmtId="0" fontId="4" fillId="0" borderId="158" xfId="0" applyNumberFormat="1" applyFont="1" applyFill="1" applyBorder="1"/>
    <x:xf numFmtId="0" fontId="7" fillId="0" borderId="159" xfId="0" applyNumberFormat="1" applyFont="1" applyFill="1" applyBorder="1"/>
    <x:xf numFmtId="0" fontId="20" fillId="58" xfId="0" applyNumberFormat="1" applyFont="1" applyFill="1" applyBorder="0" applyAlignment="1">
      <x:alignment horizontal="center"/>
    </x:xf>
    <x:xf numFmtId="0" fontId="7" fillId="0" xfId="0" applyNumberFormat="1" applyFont="1" applyFill="1" applyBorder="0"/>
    <x:xf numFmtId="0" fontId="4" fillId="0" borderId="160" xfId="0" applyNumberFormat="1" applyFont="1" applyFill="1" applyBorder="1"/>
    <x:xf numFmtId="0" fontId="11" fillId="59" xfId="0" applyNumberFormat="1" applyFont="1" applyFill="1" applyBorder="0" applyAlignment="1">
      <x:alignment horizontal="center"/>
    </x:xf>
    <x:xf numFmtId="0" fontId="7" fillId="0" borderId="161" xfId="0" applyNumberFormat="1" applyFont="1" applyFill="1" applyBorder="1"/>
    <x:xf numFmtId="0" fontId="21" fillId="60" borderId="162" xfId="0" applyNumberFormat="1" applyFont="1" applyFill="1" applyBorder="1" applyAlignment="1">
      <x:alignment horizontal="center"/>
    </x:xf>
    <x:xf numFmtId="0" fontId="0" fillId="0" borderId="162" xfId="0" applyNumberFormat="1" applyFont="1" applyFill="1" applyBorder="1"/>
    <x:xf numFmtId="0" fontId="7" fillId="0" borderId="162" xfId="0" applyNumberFormat="1" applyFont="1" applyFill="1" applyBorder="1"/>
    <x:xf numFmtId="0" fontId="19" fillId="0" borderId="163" xfId="0" applyNumberFormat="1" applyFont="1" applyFill="1" applyBorder="1" applyAlignment="1">
      <x:alignment wrapText="1"/>
    </x:xf>
    <x:xf numFmtId="0" fontId="7" fillId="0" borderId="156" xfId="0" applyNumberFormat="1" applyFont="1" applyFill="1" applyBorder="1" applyAlignment="1">
      <x:alignment vertical="top"/>
    </x:xf>
    <x:xf numFmtId="0" fontId="20" fillId="58" borderId="157" xfId="0" applyNumberFormat="1" applyFont="1" applyFill="1" applyBorder="1" applyAlignment="1">
      <x:alignment horizontal="center" vertical="top"/>
    </x:xf>
    <x:xf numFmtId="0" fontId="0" fillId="0" borderId="157" xfId="0" applyNumberFormat="1" applyFont="1" applyFill="1" applyBorder="1" applyAlignment="1">
      <x:alignment vertical="top"/>
    </x:xf>
    <x:xf numFmtId="0" fontId="7" fillId="0" borderId="157" xfId="0" applyNumberFormat="1" applyFont="1" applyFill="1" applyBorder="1" applyAlignment="1">
      <x:alignment vertical="top"/>
    </x:xf>
    <x:xf numFmtId="0" fontId="4" fillId="0" borderId="158" xfId="0" applyNumberFormat="1" applyFont="1" applyFill="1" applyBorder="1" applyAlignment="1">
      <x:alignment vertical="top"/>
    </x:xf>
    <x:xf numFmtId="0" fontId="7" fillId="0" borderId="159" xfId="0" applyNumberFormat="1" applyFont="1" applyFill="1" applyBorder="1" applyAlignment="1">
      <x:alignment vertical="top"/>
    </x:xf>
    <x:xf numFmtId="0" fontId="20" fillId="58" xfId="0" applyNumberFormat="1" applyFont="1" applyFill="1" applyBorder="0" applyAlignment="1">
      <x:alignment horizontal="center" vertical="top"/>
    </x:xf>
    <x:xf numFmtId="0" fontId="0" fillId="0" xfId="0" applyNumberFormat="1" applyFont="1" applyFill="1" applyBorder="0" applyAlignment="1">
      <x:alignment vertical="top"/>
    </x:xf>
    <x:xf numFmtId="0" fontId="7" fillId="0" xfId="0" applyNumberFormat="1" applyFont="1" applyFill="1" applyBorder="0" applyAlignment="1">
      <x:alignment vertical="top"/>
    </x:xf>
    <x:xf numFmtId="0" fontId="4" fillId="0" borderId="160" xfId="0" applyNumberFormat="1" applyFont="1" applyFill="1" applyBorder="1" applyAlignment="1">
      <x:alignment vertical="top"/>
    </x:xf>
    <x:xf numFmtId="0" fontId="11" fillId="59" xfId="0" applyNumberFormat="1" applyFont="1" applyFill="1" applyBorder="0" applyAlignment="1">
      <x:alignment horizontal="center" vertical="top"/>
    </x:xf>
    <x:xf numFmtId="0" fontId="7" fillId="0" borderId="161" xfId="0" applyNumberFormat="1" applyFont="1" applyFill="1" applyBorder="1" applyAlignment="1">
      <x:alignment vertical="top"/>
    </x:xf>
    <x:xf numFmtId="0" fontId="21" fillId="60" borderId="162" xfId="0" applyNumberFormat="1" applyFont="1" applyFill="1" applyBorder="1" applyAlignment="1">
      <x:alignment horizontal="center" vertical="top"/>
    </x:xf>
    <x:xf numFmtId="0" fontId="0" fillId="0" borderId="162" xfId="0" applyNumberFormat="1" applyFont="1" applyFill="1" applyBorder="1" applyAlignment="1">
      <x:alignment vertical="top"/>
    </x:xf>
    <x:xf numFmtId="0" fontId="7" fillId="0" borderId="162" xfId="0" applyNumberFormat="1" applyFont="1" applyFill="1" applyBorder="1" applyAlignment="1">
      <x:alignment vertical="top"/>
    </x:xf>
    <x:xf numFmtId="0" fontId="19" fillId="0" borderId="163" xfId="0" applyNumberFormat="1" applyFont="1" applyFill="1" applyBorder="1" applyAlignment="1">
      <x:alignment vertical="top" wrapText="1"/>
    </x:xf>
    <x:xf numFmtId="0" fontId="7" fillId="0" borderId="156" xfId="0" applyNumberFormat="1" applyFont="1" applyFill="1" applyBorder="1" applyAlignment="1">
      <x:alignment vertical="top" wrapText="1"/>
    </x:xf>
    <x:xf numFmtId="0" fontId="20" fillId="58" borderId="157" xfId="0" applyNumberFormat="1" applyFont="1" applyFill="1" applyBorder="1" applyAlignment="1">
      <x:alignment horizontal="center" vertical="top" wrapText="1"/>
    </x:xf>
    <x:xf numFmtId="0" fontId="0" fillId="0" borderId="157" xfId="0" applyNumberFormat="1" applyFont="1" applyFill="1" applyBorder="1" applyAlignment="1">
      <x:alignment vertical="top" wrapText="1"/>
    </x:xf>
    <x:xf numFmtId="0" fontId="7" fillId="0" borderId="157" xfId="0" applyNumberFormat="1" applyFont="1" applyFill="1" applyBorder="1" applyAlignment="1">
      <x:alignment vertical="top" wrapText="1"/>
    </x:xf>
    <x:xf numFmtId="0" fontId="4" fillId="0" borderId="158" xfId="0" applyNumberFormat="1" applyFont="1" applyFill="1" applyBorder="1" applyAlignment="1">
      <x:alignment vertical="top" wrapText="1"/>
    </x:xf>
    <x:xf numFmtId="0" fontId="7" fillId="0" borderId="159" xfId="0" applyNumberFormat="1" applyFont="1" applyFill="1" applyBorder="1" applyAlignment="1">
      <x:alignment vertical="top" wrapText="1"/>
    </x:xf>
    <x:xf numFmtId="0" fontId="20" fillId="58" xfId="0" applyNumberFormat="1" applyFont="1" applyFill="1" applyBorder="0" applyAlignment="1">
      <x:alignment horizontal="center" vertical="top" wrapText="1"/>
    </x:xf>
    <x:xf numFmtId="0" fontId="7" fillId="0" xfId="0" applyNumberFormat="1" applyFont="1" applyFill="1" applyBorder="0" applyAlignment="1">
      <x:alignment vertical="top" wrapText="1"/>
    </x:xf>
    <x:xf numFmtId="0" fontId="4" fillId="0" borderId="160" xfId="0" applyNumberFormat="1" applyFont="1" applyFill="1" applyBorder="1" applyAlignment="1">
      <x:alignment vertical="top" wrapText="1"/>
    </x:xf>
    <x:xf numFmtId="0" fontId="11" fillId="59" xfId="0" applyNumberFormat="1" applyFont="1" applyFill="1" applyBorder="0" applyAlignment="1">
      <x:alignment horizontal="center" vertical="top" wrapText="1"/>
    </x:xf>
    <x:xf numFmtId="0" fontId="7" fillId="0" borderId="161" xfId="0" applyNumberFormat="1" applyFont="1" applyFill="1" applyBorder="1" applyAlignment="1">
      <x:alignment vertical="top" wrapText="1"/>
    </x:xf>
    <x:xf numFmtId="0" fontId="21" fillId="60" borderId="162" xfId="0" applyNumberFormat="1" applyFont="1" applyFill="1" applyBorder="1" applyAlignment="1">
      <x:alignment horizontal="center" vertical="top" wrapText="1"/>
    </x:xf>
    <x:xf numFmtId="0" fontId="0" fillId="0" borderId="162" xfId="0" applyNumberFormat="1" applyFont="1" applyFill="1" applyBorder="1" applyAlignment="1">
      <x:alignment vertical="top" wrapText="1"/>
    </x:xf>
    <x:xf numFmtId="0" fontId="7" fillId="0" borderId="162" xfId="0" applyNumberFormat="1" applyFont="1" applyFill="1" applyBorder="1" applyAlignment="1">
      <x:alignment vertical="top" wrapText="1"/>
    </x:xf>
    <x:xf numFmtId="0" fontId="3" fillId="55" borderId="156" xfId="0" applyNumberFormat="1" applyFont="1" applyFill="1" applyBorder="1" applyAlignment="1">
      <x:alignment horizontal="center" vertical="center" wrapText="1"/>
    </x:xf>
    <x:xf numFmtId="0" fontId="3" fillId="55" borderId="157" xfId="0" applyNumberFormat="1" applyFont="1" applyFill="1" applyBorder="1" applyAlignment="1">
      <x:alignment horizontal="center" vertical="center" wrapText="1"/>
    </x:xf>
    <x:xf numFmtId="0" fontId="3" fillId="55" borderId="158" xfId="0" applyNumberFormat="1" applyFont="1" applyFill="1" applyBorder="1" applyAlignment="1">
      <x:alignment horizontal="center" vertical="center" wrapText="1"/>
    </x:xf>
    <x:xf numFmtId="0" fontId="0" fillId="0" borderId="159" xfId="0" applyNumberFormat="1" applyFont="1" applyFill="1" applyBorder="1"/>
    <x:xf numFmtId="204" fontId="5" fillId="0" xfId="0" applyNumberFormat="1" applyFont="1" applyFill="1" applyBorder="0"/>
    <x:xf numFmtId="0" fontId="0" fillId="0" borderId="160" xfId="0" applyNumberFormat="1" applyFont="1" applyFill="1" applyBorder="1"/>
    <x:xf numFmtId="204" fontId="6" fillId="0" xfId="0" applyNumberFormat="1" applyFont="1" applyFill="1" applyBorder="0"/>
    <x:xf numFmtId="0" fontId="0" fillId="0" borderId="161" xfId="0" applyNumberFormat="1" applyFont="1" applyFill="1" applyBorder="1"/>
    <x:xf numFmtId="0" fontId="20" fillId="58" borderId="162" xfId="0" applyNumberFormat="1" applyFont="1" applyFill="1" applyBorder="1" applyAlignment="1">
      <x:alignment horizontal="center"/>
    </x:xf>
    <x:xf numFmtId="0" fontId="0" fillId="0" borderId="163" xfId="0" applyNumberFormat="1" applyFont="1" applyFill="1" applyBorder="1"/>
    <x:xf numFmtId="0" fontId="3" fillId="55" borderId="156" xfId="0" applyNumberFormat="1" applyFont="1" applyFill="1" applyBorder="1" applyAlignment="1">
      <x:alignment horizontal="center" vertical="top" wrapText="1"/>
    </x:xf>
    <x:xf numFmtId="0" fontId="3" fillId="55" borderId="157" xfId="0" applyNumberFormat="1" applyFont="1" applyFill="1" applyBorder="1" applyAlignment="1">
      <x:alignment horizontal="center" vertical="top" wrapText="1"/>
    </x:xf>
    <x:xf numFmtId="0" fontId="3" fillId="55" borderId="158" xfId="0" applyNumberFormat="1" applyFont="1" applyFill="1" applyBorder="1" applyAlignment="1">
      <x:alignment horizontal="center" vertical="top" wrapText="1"/>
    </x:xf>
    <x:xf numFmtId="0" fontId="0" fillId="0" borderId="159" xfId="0" applyNumberFormat="1" applyFont="1" applyFill="1" applyBorder="1" applyAlignment="1">
      <x:alignment vertical="top"/>
    </x:xf>
    <x:xf numFmtId="204" fontId="5" fillId="0" xfId="0" applyNumberFormat="1" applyFont="1" applyFill="1" applyBorder="0" applyAlignment="1">
      <x:alignment vertical="top"/>
    </x:xf>
    <x:xf numFmtId="0" fontId="0" fillId="0" borderId="160" xfId="0" applyNumberFormat="1" applyFont="1" applyFill="1" applyBorder="1" applyAlignment="1">
      <x:alignment vertical="top"/>
    </x:xf>
    <x:xf numFmtId="204" fontId="6" fillId="0" xfId="0" applyNumberFormat="1" applyFont="1" applyFill="1" applyBorder="0" applyAlignment="1">
      <x:alignment vertical="top"/>
    </x:xf>
    <x:xf numFmtId="0" fontId="0" fillId="0" borderId="161" xfId="0" applyNumberFormat="1" applyFont="1" applyFill="1" applyBorder="1" applyAlignment="1">
      <x:alignment vertical="top"/>
    </x:xf>
    <x:xf numFmtId="0" fontId="20" fillId="58" borderId="162" xfId="0" applyNumberFormat="1" applyFont="1" applyFill="1" applyBorder="1" applyAlignment="1">
      <x:alignment horizontal="center" vertical="top"/>
    </x:xf>
    <x:xf numFmtId="0" fontId="0" fillId="0" borderId="163" xfId="0" applyNumberFormat="1" applyFont="1" applyFill="1" applyBorder="1" applyAlignment="1">
      <x:alignment vertical="top"/>
    </x:xf>
    <x:xf numFmtId="0" fontId="0" fillId="0" borderId="159" xfId="0" applyNumberFormat="1" applyFont="1" applyFill="1" applyBorder="1" applyAlignment="1">
      <x:alignment vertical="top" wrapText="1"/>
    </x:xf>
    <x:xf numFmtId="0" fontId="0" fillId="0" borderId="160" xfId="0" applyNumberFormat="1" applyFont="1" applyFill="1" applyBorder="1" applyAlignment="1">
      <x:alignment vertical="top" wrapText="1"/>
    </x:xf>
    <x:xf numFmtId="0" fontId="0" fillId="0" borderId="161" xfId="0" applyNumberFormat="1" applyFont="1" applyFill="1" applyBorder="1" applyAlignment="1">
      <x:alignment vertical="top" wrapText="1"/>
    </x:xf>
    <x:xf numFmtId="0" fontId="20" fillId="58" borderId="162" xfId="0" applyNumberFormat="1" applyFont="1" applyFill="1" applyBorder="1" applyAlignment="1">
      <x:alignment horizontal="center" vertical="top" wrapText="1"/>
    </x:xf>
    <x:xf numFmtId="0" fontId="0" fillId="0" borderId="163" xfId="0" applyNumberFormat="1" applyFont="1" applyFill="1" applyBorder="1" applyAlignment="1">
      <x:alignment vertical="top" wrapText="1"/>
    </x:xf>
    <x:xf numFmtId="0" fontId="3" fillId="55" borderId="156" xfId="0" applyNumberFormat="1" applyFont="1" applyFill="1" applyBorder="1" applyAlignment="1">
      <x:alignment horizontal="center" wrapText="1"/>
    </x:xf>
    <x:xf numFmtId="0" fontId="3" fillId="55" borderId="157" xfId="0" applyNumberFormat="1" applyFont="1" applyFill="1" applyBorder="1" applyAlignment="1">
      <x:alignment horizontal="center" wrapText="1"/>
    </x:xf>
    <x:xf numFmtId="0" fontId="3" fillId="55" borderId="158" xfId="0" applyNumberFormat="1" applyFont="1" applyFill="1" applyBorder="1" applyAlignment="1">
      <x:alignment horizontal="center" wrapText="1"/>
    </x:xf>
    <x:xf numFmtId="204" fontId="0" fillId="0" xfId="0" applyNumberFormat="1" applyFont="1" applyFill="1" applyBorder="0"/>
    <x:xf numFmtId="210" fontId="6" fillId="0" xfId="0" applyNumberFormat="1" applyFont="1" applyFill="1" applyBorder="0"/>
    <x:xf numFmtId="210" fontId="0" fillId="0" xfId="0" applyNumberFormat="1" applyFont="1" applyFill="1" applyBorder="0"/>
    <x:xf numFmtId="204" fontId="0" fillId="0" xfId="0" applyNumberFormat="1" applyFont="1" applyFill="1" applyBorder="0" applyAlignment="1">
      <x:alignment vertical="top"/>
    </x:xf>
    <x:xf numFmtId="210" fontId="6" fillId="0" xfId="0" applyNumberFormat="1" applyFont="1" applyFill="1" applyBorder="0" applyAlignment="1">
      <x:alignment vertical="top"/>
    </x:xf>
    <x:xf numFmtId="210" fontId="0" fillId="0" xfId="0" applyNumberFormat="1" applyFont="1" applyFill="1" applyBorder="0" applyAlignment="1">
      <x:alignment vertical="top"/>
    </x:xf>
    <x:xf numFmtId="210" fontId="6" fillId="0" xfId="0" applyNumberFormat="1" applyFont="1" applyFill="1" applyBorder="0" applyAlignment="1">
      <x:alignment vertical="top" wrapText="1"/>
    </x:xf>
    <x:xf numFmtId="210" fontId="5" fillId="0" xfId="0" applyNumberFormat="1" applyFont="1" applyFill="1" applyBorder="0"/>
    <x:xf numFmtId="204" fontId="6" fillId="0" borderId="162" xfId="0" applyNumberFormat="1" applyFont="1" applyFill="1" applyBorder="1"/>
    <x:xf numFmtId="210" fontId="5" fillId="0" xfId="0" applyNumberFormat="1" applyFont="1" applyFill="1" applyBorder="0" applyAlignment="1">
      <x:alignment vertical="top"/>
    </x:xf>
    <x:xf numFmtId="204" fontId="6" fillId="0" borderId="162" xfId="0" applyNumberFormat="1" applyFont="1" applyFill="1" applyBorder="1" applyAlignment="1">
      <x:alignment vertical="top"/>
    </x:xf>
    <x:xf numFmtId="204" fontId="6" fillId="0" borderId="162" xfId="0" applyNumberFormat="1" applyFont="1" applyFill="1" applyBorder="1" applyAlignment="1">
      <x:alignment vertical="top" wrapText="1"/>
    </x:xf>
    <x:xf numFmtId="0" fontId="21" fillId="60" xfId="0" applyNumberFormat="1" applyFont="1" applyFill="1" applyBorder="0" applyAlignment="1">
      <x:alignment horizontal="center"/>
    </x:xf>
    <x:xf numFmtId="0" fontId="21" fillId="60" xfId="0" applyNumberFormat="1" applyFont="1" applyFill="1" applyBorder="0" applyAlignment="1">
      <x:alignment horizontal="center" vertical="top"/>
    </x:xf>
    <x:xf numFmtId="0" fontId="21" fillId="60" xfId="0" applyNumberFormat="1" applyFont="1" applyFill="1" applyBorder="0" applyAlignment="1">
      <x:alignment horizontal="center" vertical="top" wrapText="1"/>
    </x:xf>
    <x:xf numFmtId="0" fontId="22" fillId="56" xfId="0" applyNumberFormat="1" applyFont="1" applyFill="1" applyBorder="0" applyAlignment="1">
      <x:alignment horizontal="center"/>
    </x:xf>
    <x:xf numFmtId="0" fontId="16" fillId="61" borderId="162" xfId="0" applyNumberFormat="1" applyFont="1" applyFill="1" applyBorder="1" applyAlignment="1">
      <x:alignment horizontal="center"/>
    </x:xf>
    <x:xf numFmtId="0" fontId="22" fillId="56" xfId="0" applyNumberFormat="1" applyFont="1" applyFill="1" applyBorder="0" applyAlignment="1">
      <x:alignment horizontal="center" vertical="top"/>
    </x:xf>
    <x:xf numFmtId="0" fontId="16" fillId="61" borderId="162" xfId="0" applyNumberFormat="1" applyFont="1" applyFill="1" applyBorder="1" applyAlignment="1">
      <x:alignment horizontal="center" vertical="top"/>
    </x:xf>
    <x:xf numFmtId="0" fontId="22" fillId="56" xfId="0" applyNumberFormat="1" applyFont="1" applyFill="1" applyBorder="0" applyAlignment="1">
      <x:alignment horizontal="center" vertical="top" wrapText="1"/>
    </x:xf>
    <x:xf numFmtId="0" fontId="16" fillId="61" borderId="162" xfId="0" applyNumberFormat="1" applyFont="1" applyFill="1" applyBorder="1" applyAlignment="1">
      <x:alignment horizontal="center" vertical="top" wrapText="1"/>
    </x:xf>
    <x:xf numFmtId="0" fontId="9" fillId="0" xfId="0" applyNumberFormat="1" applyFont="1" applyFill="1" applyBorder="0"/>
    <x:xf numFmtId="0" fontId="9" fillId="0" borderId="162" xfId="0" applyNumberFormat="1" applyFont="1" applyFill="1" applyBorder="1"/>
    <x:xf numFmtId="0" fontId="9" fillId="0" xfId="0" applyNumberFormat="1" applyFont="1" applyFill="1" applyBorder="0" applyAlignment="1">
      <x:alignment vertical="top"/>
    </x:xf>
    <x:xf numFmtId="0" fontId="9" fillId="0" borderId="162" xfId="0" applyNumberFormat="1" applyFont="1" applyFill="1" applyBorder="1" applyAlignment="1">
      <x:alignment vertical="top"/>
    </x:xf>
    <x:xf numFmtId="0" fontId="9" fillId="0" xfId="0" applyNumberFormat="1" applyFont="1" applyFill="1" applyBorder="0" applyAlignment="1">
      <x:alignment vertical="top" wrapText="1"/>
    </x:xf>
    <x:xf numFmtId="0" fontId="9" fillId="0" borderId="162" xfId="0" applyNumberFormat="1" applyFont="1" applyFill="1" applyBorder="1" applyAlignment="1">
      <x:alignment vertical="top" wrapText="1"/>
    </x:xf>
    <x:xf numFmtId="0" fontId="0" fillId="60" xfId="0" applyNumberFormat="1" applyFont="1" applyFill="1" applyBorder="0" applyAlignment="1">
      <x:alignment vertical="top" wrapText="1"/>
    </x:xf>
    <x:xf numFmtId="0" fontId="21" fillId="60" xfId="0" applyNumberFormat="1" applyFont="1" applyFill="1" applyBorder="0" applyAlignment="1">
      <x:alignment vertical="top" wrapText="1"/>
    </x:xf>
    <x:xf numFmtId="0" fontId="0" fillId="0" borderId="164" xfId="0" applyNumberFormat="1" applyFont="1" applyFill="1" applyBorder="1"/>
    <x:xf numFmtId="0" fontId="0" fillId="0" borderId="165" xfId="0" applyNumberFormat="1" applyFont="1" applyFill="1" applyBorder="1"/>
    <x:xf numFmtId="0" fontId="0" fillId="0" borderId="166" xfId="0" applyNumberFormat="1" applyFont="1" applyFill="1" applyBorder="1"/>
    <x:xf numFmtId="0" fontId="0" fillId="0" borderId="164" xfId="0" applyNumberFormat="1" applyFont="1" applyFill="1" applyBorder="1" applyAlignment="1">
      <x:alignment wrapText="1"/>
    </x:xf>
    <x:xf numFmtId="0" fontId="0" fillId="0" borderId="165" xfId="0" applyNumberFormat="1" applyFont="1" applyFill="1" applyBorder="1" applyAlignment="1">
      <x:alignment wrapText="1"/>
    </x:xf>
    <x:xf numFmtId="0" fontId="0" fillId="0" borderId="166" xfId="0" applyNumberFormat="1" applyFont="1" applyFill="1" applyBorder="1" applyAlignment="1">
      <x:alignment wrapText="1"/>
    </x:xf>
    <x:xf numFmtId="204" fontId="0" fillId="0" borderId="165" xfId="0" applyNumberFormat="1" applyFont="1" applyFill="1" applyBorder="1" applyAlignment="1">
      <x:alignment wrapText="1"/>
    </x:xf>
    <x:xf numFmtId="204" fontId="4" fillId="0" borderId="165" xfId="0" applyNumberFormat="1" applyFont="1" applyFill="1" applyBorder="1" applyAlignment="1">
      <x:alignment wrapText="1"/>
    </x:xf>
    <x:xf numFmtId="0" fontId="0" fillId="60" borderId="165" xfId="0" applyNumberFormat="1" applyFont="1" applyFill="1" applyBorder="1" applyAlignment="1">
      <x:alignment wrapText="1"/>
    </x:xf>
    <x:xf numFmtId="0" fontId="21" fillId="60" borderId="165" xfId="0" applyNumberFormat="1" applyFont="1" applyFill="1" applyBorder="1" applyAlignment="1">
      <x:alignment wrapText="1"/>
    </x:xf>
    <x:xf numFmtId="0" fontId="21" fillId="60" borderId="165" xfId="0" applyNumberFormat="1" applyFont="1" applyFill="1" applyBorder="1" applyAlignment="1">
      <x:alignment horizontal="center" wrapText="1"/>
    </x:xf>
    <x:xf numFmtId="0" fontId="18" fillId="3" borderId="0" xfId="0" applyNumberFormat="1" applyFont="1" applyFill="1" applyBorder="1"/>
    <x:xf numFmtId="0" fontId="18" fillId="3" borderId="0" xfId="0" applyNumberFormat="1" applyFont="1" applyFill="1" applyBorder="1" applyAlignment="1">
      <x:alignment wrapText="1"/>
    </x:xf>
    <x:xf numFmtId="0" fontId="18" fillId="3" borderId="0" xfId="0" applyNumberFormat="1" applyFont="1" applyFill="1" applyBorder="1" applyAlignment="1">
      <x:alignment vertical="center"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6" fillId="12" borderId="0" xfId="0" applyNumberFormat="1" applyFont="1" applyFill="1" applyBorder="1"/>
    <x:xf numFmtId="0" fontId="20" fillId="12" borderId="0" xfId="0" applyNumberFormat="1" applyFont="1" applyFill="1" applyBorder="1"/>
    <x:xf numFmtId="0" fontId="20" fillId="12" borderId="0" xfId="0" applyNumberFormat="1" applyFont="1" applyFill="1" applyBorder="1" applyAlignment="1">
      <x:alignment horizontal="center"/>
    </x:xf>
    <x:xf numFmtId="0" fontId="21" fillId="5" borderId="0" xfId="0" applyNumberFormat="1" applyFont="1" applyFill="1" applyBorder="1"/>
    <x:xf numFmtId="0" fontId="21" fillId="5" borderId="0" xfId="0" applyNumberFormat="1" applyFont="1" applyFill="1" applyBorder="1" applyAlignment="1">
      <x:alignment horizontal="center"/>
    </x:xf>
    <x:xf numFmtId="0" fontId="22" fillId="3" borderId="0" xfId="0" applyNumberFormat="1" applyFont="1" applyFill="1" applyBorder="1"/>
    <x:xf numFmtId="0" fontId="22" fillId="3" borderId="0" xfId="0" applyNumberFormat="1" applyFont="1" applyFill="1" applyBorder="1" applyAlignment="1">
      <x:alignment horizontal="center"/>
    </x:xf>
    <x:xf numFmtId="0" fontId="16" fillId="51" borderId="0" xfId="0" applyNumberFormat="1" applyFont="1" applyFill="1" applyBorder="1"/>
    <x:xf numFmtId="0" fontId="16" fillId="51" borderId="0" xfId="0" applyNumberFormat="1" applyFont="1" applyFill="1" applyBorder="1" applyAlignment="1">
      <x:alignment horizontal="center"/>
    </x:xf>
    <x:xf numFmtId="0" fontId="20" fillId="12" xfId="0" applyNumberFormat="1" applyFont="1" applyFill="1" applyBorder="0" applyAlignment="1">
      <x:alignment horizontal="center"/>
    </x:xf>
    <x:xf numFmtId="0" fontId="7" fillId="0" borderId="0" xfId="0" applyNumberFormat="1" applyFont="1" applyFill="1" applyBorder="1" applyAlignment="1">
      <x:alignment vertical="top"/>
    </x:xf>
    <x:xf numFmtId="0" fontId="20" fillId="12" borderId="0" xfId="0" applyNumberFormat="1" applyFont="1" applyFill="1" applyBorder="1" applyAlignment="1">
      <x:alignment horizontal="center" vertical="top"/>
    </x:xf>
    <x:xf numFmtId="0" fontId="4" fillId="0" borderId="0" xfId="0" applyNumberFormat="1" applyFont="1" applyFill="1" applyBorder="1" applyAlignment="1">
      <x:alignment vertical="top"/>
    </x:xf>
    <x:xf numFmtId="0" fontId="20" fillId="12" xfId="0" applyNumberFormat="1" applyFont="1" applyFill="1" applyBorder="0" applyAlignment="1">
      <x:alignment horizontal="center" vertical="top"/>
    </x:xf>
    <x:xf numFmtId="0" fontId="21" fillId="5" borderId="0" xfId="0" applyNumberFormat="1" applyFont="1" applyFill="1" applyBorder="1" applyAlignment="1">
      <x:alignment horizontal="center" vertical="top"/>
    </x:xf>
    <x:xf numFmtId="0" fontId="19" fillId="0" borderId="0" xfId="0" applyNumberFormat="1" applyFont="1" applyFill="1" applyBorder="1" applyAlignment="1">
      <x:alignment vertical="top" wrapText="1"/>
    </x:xf>
    <x:xf numFmtId="0" fontId="20" fillId="12" borderId="0" xfId="0" applyNumberFormat="1" applyFont="1" applyFill="1" applyBorder="1" applyAlignment="1">
      <x:alignment horizontal="center" vertical="top" wrapText="1"/>
    </x:xf>
    <x:xf numFmtId="0" fontId="20" fillId="12" xfId="0" applyNumberFormat="1" applyFont="1" applyFill="1" applyBorder="0" applyAlignment="1">
      <x:alignment horizontal="center" vertical="top" wrapText="1"/>
    </x:xf>
    <x:xf numFmtId="0" fontId="21" fillId="5"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top" wrapText="1"/>
    </x:xf>
    <x:xf numFmtId="204" fontId="6" fillId="0" borderId="0" xfId="0" applyNumberFormat="1" applyFont="1" applyFill="1" applyBorder="1" applyAlignment="1">
      <x:alignment vertical="top"/>
    </x:xf>
    <x:xf numFmtId="0" fontId="21" fillId="5" xfId="0" applyNumberFormat="1" applyFont="1" applyFill="1" applyBorder="0" applyAlignment="1">
      <x:alignment horizontal="center"/>
    </x:xf>
    <x:xf numFmtId="0" fontId="21" fillId="5" xfId="0" applyNumberFormat="1" applyFont="1" applyFill="1" applyBorder="0" applyAlignment="1">
      <x:alignment horizontal="center" vertical="top"/>
    </x:xf>
    <x:xf numFmtId="0" fontId="21" fillId="5" xfId="0" applyNumberFormat="1" applyFont="1" applyFill="1" applyBorder="0" applyAlignment="1">
      <x:alignment horizontal="center" vertical="top" wrapText="1"/>
    </x:xf>
    <x:xf numFmtId="0" fontId="22" fillId="3" xfId="0" applyNumberFormat="1" applyFont="1" applyFill="1" applyBorder="0" applyAlignment="1">
      <x:alignment horizontal="center"/>
    </x:xf>
    <x:xf numFmtId="0" fontId="22" fillId="3" xfId="0" applyNumberFormat="1" applyFont="1" applyFill="1" applyBorder="0" applyAlignment="1">
      <x:alignment horizontal="center" vertical="top"/>
    </x:xf>
    <x:xf numFmtId="0" fontId="16" fillId="51" borderId="0" xfId="0" applyNumberFormat="1" applyFont="1" applyFill="1" applyBorder="1" applyAlignment="1">
      <x:alignment horizontal="center" vertical="top"/>
    </x:xf>
    <x:xf numFmtId="0" fontId="22" fillId="3" xfId="0" applyNumberFormat="1" applyFont="1" applyFill="1" applyBorder="0" applyAlignment="1">
      <x:alignment horizontal="center" vertical="top" wrapText="1"/>
    </x:xf>
    <x:xf numFmtId="0" fontId="16" fillId="51" borderId="0" xfId="0" applyNumberFormat="1" applyFont="1" applyFill="1" applyBorder="1" applyAlignment="1">
      <x:alignment horizontal="center" vertical="top" wrapText="1"/>
    </x:xf>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0" fontId="0" fillId="5" xfId="0" applyNumberFormat="1" applyFont="1" applyFill="1" applyBorder="0" applyAlignment="1">
      <x:alignment vertical="top" wrapText="1"/>
    </x:xf>
    <x:xf numFmtId="0" fontId="21" fillId="5" xfId="0" applyNumberFormat="1" applyFont="1" applyFill="1" applyBorder="0" applyAlignment="1">
      <x:alignment vertical="top" wrapText="1"/>
    </x:xf>
    <x:xf numFmtId="0" fontId="21" fillId="5" borderId="0" xfId="0" applyNumberFormat="1" applyFont="1" applyFill="1" applyBorder="1" applyAlignment="1">
      <x:alignment wrapText="1"/>
    </x:xf>
    <x:xf numFmtId="0" fontId="21" fillId="5" borderId="0" xfId="0" applyNumberFormat="1" applyFont="1" applyFill="1" applyBorder="1" applyAlignment="1">
      <x:alignment horizontal="center" wrapText="1"/>
    </x:xf>
    <x:xf numFmtId="0" fontId="0" fillId="62" borderId="0" xfId="0" applyNumberFormat="1" applyFont="1" applyFill="1" applyBorder="1"/>
    <x:xf numFmtId="0" fontId="14" fillId="62" borderId="0" xfId="0" applyNumberFormat="1" applyFont="1" applyFill="1" applyBorder="1"/>
    <x:xf numFmtId="0" fontId="14" fillId="62" borderId="0" xfId="0" applyNumberFormat="1" applyFont="1" applyFill="1" applyBorder="1" applyAlignment="1">
      <x:alignment vertical="center"/>
    </x:xf>
    <x:xf numFmtId="0" fontId="0" fillId="63" borderId="0" xfId="0" applyNumberFormat="1" applyFont="1" applyFill="1" applyBorder="1"/>
    <x:xf numFmtId="0" fontId="23" fillId="63" borderId="0" xfId="0" applyNumberFormat="1" applyFont="1" applyFill="1" applyBorder="1"/>
    <x:xf numFmtId="0" fontId="23" fillId="63" borderId="0" xfId="0" applyNumberFormat="1" applyFont="1" applyFill="1" applyBorder="1" applyAlignment="1">
      <x:alignment wrapText="1"/>
    </x:xf>
    <x:xf numFmtId="0" fontId="23" fillId="63" borderId="0" xfId="0" applyNumberFormat="1" applyFont="1" applyFill="1" applyBorder="1" applyAlignment="1">
      <x:alignment vertical="center" wrapText="1"/>
    </x:xf>
    <x:xf numFmtId="0" fontId="0" fillId="64" borderId="0" xfId="0" applyNumberFormat="1" applyFont="1" applyFill="1" applyBorder="1"/>
    <x:xf numFmtId="0" fontId="24" fillId="64" borderId="0" xfId="0" applyNumberFormat="1" applyFont="1" applyFill="1" applyBorder="1"/>
    <x:xf numFmtId="0" fontId="24" fillId="64" borderId="0" xfId="0" applyNumberFormat="1" applyFont="1" applyFill="1" applyBorder="1" applyAlignment="1">
      <x:alignment vertical="center"/>
    </x:xf>
    <x:xf numFmtId="0" fontId="25" fillId="62" borderId="0" xfId="0" applyNumberFormat="1" applyFont="1" applyFill="1" applyBorder="1"/>
    <x:xf numFmtId="0" fontId="25" fillId="62" borderId="0" xfId="0" applyNumberFormat="1" applyFont="1" applyFill="1" applyBorder="1" applyAlignment="1">
      <x:alignment wrapText="1"/>
    </x:xf>
    <x:xf numFmtId="0" fontId="25" fillId="62" borderId="0" xfId="0" applyNumberFormat="1" applyFont="1" applyFill="1" applyBorder="1" applyAlignment="1">
      <x:alignment horizontal="center" wrapText="1"/>
    </x:xf>
    <x:xf numFmtId="0" fontId="25" fillId="62" borderId="0" xfId="0" applyNumberFormat="1" applyFont="1" applyFill="1" applyBorder="1" applyAlignment="1">
      <x:alignment horizontal="center" vertical="center" wrapText="1"/>
    </x:xf>
    <x:xf numFmtId="0" fontId="0" fillId="65" borderId="0" xfId="0" applyNumberFormat="1" applyFont="1" applyFill="1" applyBorder="1"/>
    <x:xf numFmtId="0" fontId="7" fillId="65" borderId="0" xfId="0" applyNumberFormat="1" applyFont="1" applyFill="1" applyBorder="1"/>
    <x:xf numFmtId="0" fontId="7" fillId="65" borderId="0" xfId="0" applyNumberFormat="1" applyFont="1" applyFill="1" applyBorder="1" applyAlignment="1">
      <x:alignment wrapText="1"/>
    </x:xf>
    <x:xf numFmtId="0" fontId="8" fillId="65" borderId="0" xfId="0" applyNumberFormat="1" applyFont="1" applyFill="1" applyBorder="1"/>
    <x:xf numFmtId="212" fontId="5" fillId="0" borderId="0" xfId="0" applyNumberFormat="1" applyFont="1" applyFill="1" applyBorder="1"/>
    <x:xf numFmtId="212" fontId="8" fillId="65" borderId="0" xfId="0" applyNumberFormat="1" applyFont="1" applyFill="1" applyBorder="1"/>
    <x:xf numFmtId="210" fontId="8" fillId="65" borderId="0" xfId="0" applyNumberFormat="1" applyFont="1" applyFill="1" applyBorder="1"/>
    <x:xf numFmtId="0" fontId="16" fillId="65" borderId="0" xfId="0" applyNumberFormat="1" applyFont="1" applyFill="1" applyBorder="1"/>
    <x:xf numFmtId="210" fontId="16" fillId="65" borderId="0" xfId="0" applyNumberFormat="1" applyFont="1" applyFill="1" applyBorder="1"/>
    <x:xf numFmtId="213" fontId="6" fillId="0" borderId="0" xfId="0" applyNumberFormat="1" applyFont="1" applyFill="1" applyBorder="1"/>
    <x:xf numFmtId="212" fontId="6" fillId="0" borderId="0" xfId="0" applyNumberFormat="1" applyFont="1" applyFill="1" applyBorder="1"/>
    <x:xf numFmtId="212" fontId="16" fillId="65" borderId="0" xfId="0" applyNumberFormat="1" applyFont="1" applyFill="1" applyBorder="1"/>
    <x:xf numFmtId="0" fontId="0" fillId="66" borderId="0" xfId="0" applyNumberFormat="1" applyFont="1" applyFill="1" applyBorder="1"/>
    <x:xf numFmtId="0" fontId="17" fillId="66" borderId="0" xfId="0" applyNumberFormat="1" applyFont="1" applyFill="1" applyBorder="1"/>
    <x:xf numFmtId="0" fontId="17" fillId="66" borderId="0" xfId="0" applyNumberFormat="1" applyFont="1" applyFill="1" applyBorder="1" applyAlignment="1">
      <x:alignment wrapText="1"/>
    </x:xf>
    <x:xf numFmtId="0" fontId="14" fillId="62" borderId="0" xfId="0" applyNumberFormat="1" applyFont="1" applyFill="1" applyBorder="1" applyAlignment="1">
      <x:alignment vertical="top"/>
    </x:xf>
    <x:xf numFmtId="0" fontId="23" fillId="63" borderId="0" xfId="0" applyNumberFormat="1" applyFont="1" applyFill="1" applyBorder="1" applyAlignment="1">
      <x:alignment vertical="top" wrapText="1"/>
    </x:xf>
    <x:xf numFmtId="0" fontId="24" fillId="64" borderId="0" xfId="0" applyNumberFormat="1" applyFont="1" applyFill="1" applyBorder="1" applyAlignment="1">
      <x:alignment vertical="top"/>
    </x:xf>
    <x:xf numFmtId="0" fontId="25" fillId="62" borderId="0" xfId="0" applyNumberFormat="1" applyFont="1" applyFill="1" applyBorder="1" applyAlignment="1">
      <x:alignment horizontal="center" vertical="top" wrapText="1"/>
    </x:xf>
    <x:xf numFmtId="212" fontId="5" fillId="0" borderId="0" xfId="0" applyNumberFormat="1" applyFont="1" applyFill="1" applyBorder="1" applyAlignment="1">
      <x:alignment vertical="top"/>
    </x:xf>
    <x:xf numFmtId="210" fontId="6" fillId="0" borderId="0" xfId="0" applyNumberFormat="1" applyFont="1" applyFill="1" applyBorder="1" applyAlignment="1">
      <x:alignment vertical="top"/>
    </x:xf>
    <x:xf numFmtId="213" fontId="6" fillId="0" borderId="0" xfId="0" applyNumberFormat="1" applyFont="1" applyFill="1" applyBorder="1" applyAlignment="1">
      <x:alignment vertical="top"/>
    </x:xf>
    <x:xf numFmtId="212" fontId="6" fillId="0" borderId="0" xfId="0" applyNumberFormat="1" applyFont="1" applyFill="1" applyBorder="1" applyAlignment="1">
      <x:alignment vertical="top"/>
    </x:xf>
    <x:xf numFmtId="0" fontId="7" fillId="65" borderId="0" xfId="0" applyNumberFormat="1" applyFont="1" applyFill="1" applyBorder="1" applyAlignment="1">
      <x:alignment vertical="top" wrapText="1"/>
    </x:xf>
    <x:xf numFmtId="212" fontId="8" fillId="65" borderId="0" xfId="0" applyNumberFormat="1" applyFont="1" applyFill="1" applyBorder="1" applyAlignment="1">
      <x:alignment vertical="top"/>
    </x:xf>
    <x:xf numFmtId="210" fontId="8" fillId="65" borderId="0" xfId="0" applyNumberFormat="1" applyFont="1" applyFill="1" applyBorder="1" applyAlignment="1">
      <x:alignment vertical="top"/>
    </x:xf>
    <x:xf numFmtId="210" fontId="16" fillId="65" borderId="0" xfId="0" applyNumberFormat="1" applyFont="1" applyFill="1" applyBorder="1" applyAlignment="1">
      <x:alignment vertical="top"/>
    </x:xf>
    <x:xf numFmtId="0" fontId="7" fillId="65" borderId="0" xfId="0" applyNumberFormat="1" applyFont="1" applyFill="1" applyBorder="1" applyAlignment="1">
      <x:alignment vertical="top"/>
    </x:xf>
    <x:xf numFmtId="212" fontId="16" fillId="65" borderId="0" xfId="0" applyNumberFormat="1" applyFont="1" applyFill="1" applyBorder="1" applyAlignment="1">
      <x:alignment vertical="top"/>
    </x:xf>
    <x:xf numFmtId="0" fontId="17" fillId="66" borderId="0" xfId="0" applyNumberFormat="1" applyFont="1" applyFill="1" applyBorder="1" applyAlignment="1">
      <x:alignment vertical="top" wrapText="1"/>
    </x:xf>
    <x:xf numFmtId="0" fontId="16" fillId="0" borderId="0" xfId="0" applyNumberFormat="1" applyFont="1" applyFill="1" applyBorder="1"/>
    <x:xf numFmtId="0" fontId="16" fillId="0" borderId="0" xfId="0" applyNumberFormat="1" applyFont="1" applyFill="1" applyBorder="1" applyAlignment="1">
      <x:alignment wrapText="1"/>
    </x:xf>
    <x:xf numFmtId="0" fontId="0" fillId="67" borderId="0" xfId="0" applyNumberFormat="1" applyFont="1" applyFill="1" applyBorder="1"/>
    <x:xf numFmtId="0" fontId="20" fillId="67" borderId="0" xfId="0" applyNumberFormat="1" applyFont="1" applyFill="1" applyBorder="1"/>
    <x:xf numFmtId="0" fontId="20" fillId="67" borderId="0" xfId="0" applyNumberFormat="1" applyFont="1" applyFill="1" applyBorder="1" applyAlignment="1">
      <x:alignment horizontal="center"/>
    </x:xf>
    <x:xf numFmtId="0" fontId="17" fillId="66" borderId="0" xfId="0" applyNumberFormat="1" applyFont="1" applyFill="1" applyBorder="1" applyAlignment="1">
      <x:alignment horizontal="center"/>
    </x:xf>
    <x:xf numFmtId="0" fontId="0" fillId="68" borderId="0" xfId="0" applyNumberFormat="1" applyFont="1" applyFill="1" applyBorder="1"/>
    <x:xf numFmtId="0" fontId="21" fillId="68" borderId="0" xfId="0" applyNumberFormat="1" applyFont="1" applyFill="1" applyBorder="1"/>
    <x:xf numFmtId="0" fontId="21" fillId="68" borderId="0" xfId="0" applyNumberFormat="1" applyFont="1" applyFill="1" applyBorder="1" applyAlignment="1">
      <x:alignment horizontal="center"/>
    </x:xf>
    <x:xf numFmtId="201" fontId="5" fillId="0" borderId="0" xfId="0" applyNumberFormat="1" applyFont="1" applyFill="1" applyBorder="1"/>
    <x:xf numFmtId="212" fontId="5" fillId="0" borderId="0" xfId="0" applyNumberFormat="1" applyFont="1" applyFill="1" applyBorder="1" applyAlignment="1">
      <x:alignment wrapText="1"/>
    </x:xf>
    <x:xf numFmtId="212" fontId="6" fillId="0" borderId="0" xfId="0" applyNumberFormat="1" applyFont="1" applyFill="1" applyBorder="1" applyAlignment="1">
      <x:alignment wrapText="1"/>
    </x:xf>
    <x:xf numFmtId="0" fontId="20" fillId="67" borderId="0" xfId="0" applyNumberFormat="1" applyFont="1" applyFill="1" applyBorder="1" applyAlignment="1">
      <x:alignment horizontal="center" wrapText="1"/>
    </x:xf>
    <x:xf numFmtId="210" fontId="6" fillId="0" borderId="0" xfId="0" applyNumberFormat="1" applyFont="1" applyFill="1" applyBorder="1" applyAlignment="1">
      <x:alignment wrapText="1"/>
    </x:xf>
    <x:xf numFmtId="0" fontId="17" fillId="66"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20" fillId="67"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0" fontId="17" fillId="66" borderId="0" xfId="0" applyNumberFormat="1" applyFont="1" applyFill="1" applyBorder="1" applyAlignment="1">
      <x:alignment horizontal="center" vertical="top"/>
    </x:xf>
    <x:xf numFmtId="0" fontId="21" fillId="68" borderId="0" xfId="0" applyNumberFormat="1" applyFont="1" applyFill="1" applyBorder="1" applyAlignment="1">
      <x:alignment horizontal="center" vertical="top"/>
    </x:xf>
    <x:xf numFmtId="212" fontId="5" fillId="0" borderId="0" xfId="0" applyNumberFormat="1" applyFont="1" applyFill="1" applyBorder="1" applyAlignment="1">
      <x:alignment vertical="top" wrapText="1"/>
    </x:xf>
    <x:xf numFmtId="212" fontId="6" fillId="0" borderId="0" xfId="0" applyNumberFormat="1" applyFont="1" applyFill="1" applyBorder="1" applyAlignment="1">
      <x:alignment vertical="top" wrapText="1"/>
    </x:xf>
    <x:xf numFmtId="210" fontId="6" fillId="0" borderId="0" xfId="0" applyNumberFormat="1" applyFont="1" applyFill="1" applyBorder="1" applyAlignment="1">
      <x:alignment vertical="top" wrapText="1"/>
    </x:xf>
    <x:xf numFmtId="0" fontId="20" fillId="67" borderId="0" xfId="0" applyNumberFormat="1" applyFont="1" applyFill="1" applyBorder="1" applyAlignment="1">
      <x:alignment horizontal="center" vertical="top" wrapText="1"/>
    </x:xf>
    <x:xf numFmtId="0" fontId="17" fillId="66" borderId="0" xfId="0" applyNumberFormat="1" applyFont="1" applyFill="1" applyBorder="1" applyAlignment="1">
      <x:alignment horizontal="center" vertical="top" wrapText="1"/>
    </x:xf>
    <x:xf numFmtId="0" fontId="0" fillId="68" borderId="160" xfId="0" applyNumberFormat="1" applyFont="1" applyFill="1" applyBorder="1" applyAlignment="1">
      <x:alignment vertical="top" wrapText="1"/>
    </x:xf>
    <x:xf numFmtId="0" fontId="21" fillId="68" borderId="160" xfId="0" applyNumberFormat="1" applyFont="1" applyFill="1" applyBorder="1" applyAlignment="1">
      <x:alignment vertical="top" wrapText="1"/>
    </x:xf>
    <x:xf numFmtId="0" fontId="0" fillId="68" borderId="0" xfId="0" applyNumberFormat="1" applyFont="1" applyFill="1" applyBorder="1" applyAlignment="1">
      <x:alignment vertical="top" wrapText="1"/>
    </x:xf>
    <x:xf numFmtId="0" fontId="21" fillId="68" borderId="0" xfId="0" applyNumberFormat="1" applyFont="1" applyFill="1" applyBorder="1" applyAlignment="1">
      <x:alignment vertical="top" wrapText="1"/>
    </x:xf>
    <x:xf numFmtId="0" fontId="20" fillId="68" xfId="0" applyNumberFormat="1" applyFont="1" applyFill="1" applyBorder="0" applyAlignment="1">
      <x:alignment horizontal="center" vertical="top" wrapText="1"/>
    </x:xf>
    <x:xf numFmtId="0" fontId="21" fillId="68" xfId="0" applyNumberFormat="1" applyFont="1" applyFill="1" applyBorder="0" applyAlignment="1">
      <x:alignment horizontal="center" vertical="top" wrapText="1"/>
    </x:xf>
    <x:xf numFmtId="212" fontId="8" fillId="65" borderId="0" xfId="0" applyNumberFormat="1" applyFont="1" applyFill="1" applyBorder="1" applyAlignment="1">
      <x:alignment vertical="top" wrapText="1"/>
    </x:xf>
    <x:xf numFmtId="212" fontId="16" fillId="65" borderId="0" xfId="0" applyNumberFormat="1" applyFont="1" applyFill="1" applyBorder="1" applyAlignment="1">
      <x:alignment vertical="top" wrapText="1"/>
    </x:xf>
    <x:xf numFmtId="0" fontId="14" fillId="2" borderId="0" xfId="0" applyNumberFormat="1" applyFont="1" applyFill="1" applyBorder="1" applyAlignment="1">
      <x:alignment vertical="center"/>
    </x:xf>
    <x:xf numFmtId="0" fontId="23" fillId="3" borderId="0" xfId="0" applyNumberFormat="1" applyFont="1" applyFill="1" applyBorder="1"/>
    <x:xf numFmtId="0" fontId="23" fillId="3" borderId="0" xfId="0" applyNumberFormat="1" applyFont="1" applyFill="1" applyBorder="1" applyAlignment="1">
      <x:alignment wrapText="1"/>
    </x:xf>
    <x:xf numFmtId="0" fontId="23" fillId="3" borderId="0" xfId="0" applyNumberFormat="1" applyFont="1" applyFill="1" applyBorder="1" applyAlignment="1">
      <x:alignment vertical="center" wrapText="1"/>
    </x:xf>
    <x:xf numFmtId="0" fontId="24" fillId="4" borderId="0" xfId="0" applyNumberFormat="1" applyFont="1" applyFill="1" applyBorder="1"/>
    <x:xf numFmtId="0" fontId="24" fillId="4" borderId="0" xfId="0" applyNumberFormat="1" applyFont="1" applyFill="1" applyBorder="1" applyAlignment="1">
      <x:alignment vertical="center"/>
    </x:xf>
    <x:xf numFmtId="0" fontId="25" fillId="2" borderId="0" xfId="0" applyNumberFormat="1" applyFont="1" applyFill="1" applyBorder="1"/>
    <x:xf numFmtId="0" fontId="25" fillId="2" borderId="0" xfId="0" applyNumberFormat="1" applyFont="1" applyFill="1" applyBorder="1" applyAlignment="1">
      <x:alignment wrapText="1"/>
    </x:xf>
    <x:xf numFmtId="0" fontId="25" fillId="2" borderId="0" xfId="0" applyNumberFormat="1" applyFont="1" applyFill="1" applyBorder="1" applyAlignment="1">
      <x:alignment horizontal="center" wrapText="1"/>
    </x:xf>
    <x:xf numFmtId="0" fontId="25" fillId="2" borderId="0" xfId="0" applyNumberFormat="1" applyFont="1" applyFill="1" applyBorder="1" applyAlignment="1">
      <x:alignment horizontal="center" vertical="center" wrapText="1"/>
    </x:xf>
    <x:xf numFmtId="0" fontId="8" fillId="51" borderId="0" xfId="0" applyNumberFormat="1" applyFont="1" applyFill="1" applyBorder="1"/>
    <x:xf numFmtId="212" fontId="8" fillId="51" borderId="0" xfId="0" applyNumberFormat="1" applyFont="1" applyFill="1" applyBorder="1"/>
    <x:xf numFmtId="210" fontId="8" fillId="51" borderId="0" xfId="0" applyNumberFormat="1" applyFont="1" applyFill="1" applyBorder="1"/>
    <x:xf numFmtId="210" fontId="16" fillId="51" borderId="0" xfId="0" applyNumberFormat="1" applyFont="1" applyFill="1" applyBorder="1"/>
    <x:xf numFmtId="212" fontId="16" fillId="51" borderId="0" xfId="0" applyNumberFormat="1" applyFont="1" applyFill="1" applyBorder="1"/>
    <x:xf numFmtId="0" fontId="17" fillId="59" borderId="0" xfId="0" applyNumberFormat="1" applyFont="1" applyFill="1" applyBorder="1"/>
    <x:xf numFmtId="0" fontId="17" fillId="59" borderId="0" xfId="0" applyNumberFormat="1" applyFont="1" applyFill="1" applyBorder="1" applyAlignment="1">
      <x:alignment wrapText="1"/>
    </x:xf>
    <x:xf numFmtId="0" fontId="14" fillId="2" borderId="0" xfId="0" applyNumberFormat="1" applyFont="1" applyFill="1" applyBorder="1" applyAlignment="1">
      <x:alignment vertical="top"/>
    </x:xf>
    <x:xf numFmtId="0" fontId="23" fillId="3" borderId="0" xfId="0" applyNumberFormat="1" applyFont="1" applyFill="1" applyBorder="1" applyAlignment="1">
      <x:alignment vertical="top" wrapText="1"/>
    </x:xf>
    <x:xf numFmtId="0" fontId="24" fillId="4" borderId="0" xfId="0" applyNumberFormat="1" applyFont="1" applyFill="1" applyBorder="1" applyAlignment="1">
      <x:alignment vertical="top"/>
    </x:xf>
    <x:xf numFmtId="0" fontId="25" fillId="2" borderId="0" xfId="0" applyNumberFormat="1" applyFont="1" applyFill="1" applyBorder="1" applyAlignment="1">
      <x:alignment horizontal="center" vertical="top" wrapText="1"/>
    </x:xf>
    <x:xf numFmtId="212" fontId="8" fillId="51" borderId="0" xfId="0" applyNumberFormat="1" applyFont="1" applyFill="1" applyBorder="1" applyAlignment="1">
      <x:alignment vertical="top"/>
    </x:xf>
    <x:xf numFmtId="210" fontId="8" fillId="51" borderId="0" xfId="0" applyNumberFormat="1" applyFont="1" applyFill="1" applyBorder="1" applyAlignment="1">
      <x:alignment vertical="top"/>
    </x:xf>
    <x:xf numFmtId="210" fontId="16" fillId="51" borderId="0" xfId="0" applyNumberFormat="1" applyFont="1" applyFill="1" applyBorder="1" applyAlignment="1">
      <x:alignment vertical="top"/>
    </x:xf>
    <x:xf numFmtId="212" fontId="16" fillId="51" borderId="0" xfId="0" applyNumberFormat="1" applyFont="1" applyFill="1" applyBorder="1" applyAlignment="1">
      <x:alignment vertical="top"/>
    </x:xf>
    <x:xf numFmtId="0" fontId="17" fillId="59" borderId="0" xfId="0" applyNumberFormat="1" applyFont="1" applyFill="1" applyBorder="1" applyAlignment="1">
      <x:alignment vertical="top" wrapText="1"/>
    </x:xf>
    <x:xf numFmtId="0" fontId="17" fillId="59" borderId="0" xfId="0" applyNumberFormat="1" applyFont="1" applyFill="1" applyBorder="1" applyAlignment="1">
      <x:alignment horizontal="center"/>
    </x:xf>
    <x:xf numFmtId="0" fontId="20" fillId="12" borderId="0" xfId="0" applyNumberFormat="1" applyFont="1" applyFill="1" applyBorder="1" applyAlignment="1">
      <x:alignment horizontal="center" wrapText="1"/>
    </x:xf>
    <x:xf numFmtId="0" fontId="17" fillId="59" borderId="0" xfId="0" applyNumberFormat="1" applyFont="1" applyFill="1" applyBorder="1" applyAlignment="1">
      <x:alignment horizontal="center" wrapText="1"/>
    </x:xf>
    <x:xf numFmtId="0" fontId="17" fillId="59" borderId="0" xfId="0" applyNumberFormat="1" applyFont="1" applyFill="1" applyBorder="1" applyAlignment="1">
      <x:alignment horizontal="center" vertical="top"/>
    </x:xf>
    <x:xf numFmtId="0" fontId="17" fillId="59" borderId="0" xfId="0" applyNumberFormat="1" applyFont="1" applyFill="1" applyBorder="1" applyAlignment="1">
      <x:alignment horizontal="center" vertical="top" wrapText="1"/>
    </x:xf>
    <x:xf numFmtId="0" fontId="0" fillId="5" borderId="0" xfId="0" applyNumberFormat="1" applyFont="1" applyFill="1" applyBorder="1" applyAlignment="1">
      <x:alignment vertical="top" wrapText="1"/>
    </x:xf>
    <x:xf numFmtId="0" fontId="21" fillId="5" borderId="0" xfId="0" applyNumberFormat="1" applyFont="1" applyFill="1" applyBorder="1" applyAlignment="1">
      <x:alignment vertical="top" wrapText="1"/>
    </x:xf>
    <x:xf numFmtId="0" fontId="20" fillId="5" xfId="0" applyNumberFormat="1" applyFont="1" applyFill="1" applyBorder="0" applyAlignment="1">
      <x:alignment horizontal="center" vertical="top" wrapText="1"/>
    </x:xf>
    <x:xf numFmtId="212" fontId="8" fillId="51" borderId="0" xfId="0" applyNumberFormat="1" applyFont="1" applyFill="1" applyBorder="1" applyAlignment="1">
      <x:alignment vertical="top" wrapText="1"/>
    </x:xf>
    <x:xf numFmtId="212" fontId="16" fillId="51" borderId="0" xfId="0" applyNumberFormat="1" applyFont="1" applyFill="1" applyBorder="1" applyAlignment="1">
      <x:alignment vertical="top" wrapText="1"/>
    </x:xf>
    <x:xf numFmtId="0" fontId="0" fillId="69" borderId="0" xfId="0" applyNumberFormat="1" applyFont="1" applyFill="1" applyBorder="1"/>
    <x:xf numFmtId="0" fontId="14" fillId="69" borderId="0" xfId="0" applyNumberFormat="1" applyFont="1" applyFill="1" applyBorder="1"/>
    <x:xf numFmtId="0" fontId="14" fillId="69" borderId="0" xfId="0" applyNumberFormat="1" applyFont="1" applyFill="1" applyBorder="1" applyAlignment="1">
      <x:alignment vertical="center"/>
    </x:xf>
    <x:xf numFmtId="0" fontId="0" fillId="70" borderId="0" xfId="0" applyNumberFormat="1" applyFont="1" applyFill="1" applyBorder="1"/>
    <x:xf numFmtId="0" fontId="23" fillId="70" borderId="0" xfId="0" applyNumberFormat="1" applyFont="1" applyFill="1" applyBorder="1"/>
    <x:xf numFmtId="0" fontId="23" fillId="70" borderId="0" xfId="0" applyNumberFormat="1" applyFont="1" applyFill="1" applyBorder="1" applyAlignment="1">
      <x:alignment wrapText="1"/>
    </x:xf>
    <x:xf numFmtId="0" fontId="0" fillId="71" borderId="0" xfId="0" applyNumberFormat="1" applyFont="1" applyFill="1" applyBorder="1"/>
    <x:xf numFmtId="0" fontId="24" fillId="71" borderId="0" xfId="0" applyNumberFormat="1" applyFont="1" applyFill="1" applyBorder="1"/>
    <x:xf numFmtId="0" fontId="24" fillId="71" borderId="0" xfId="0" applyNumberFormat="1" applyFont="1" applyFill="1" applyBorder="1" applyAlignment="1">
      <x:alignment vertical="center"/>
    </x:xf>
    <x:xf numFmtId="0" fontId="25" fillId="69" borderId="0" xfId="0" applyNumberFormat="1" applyFont="1" applyFill="1" applyBorder="1"/>
    <x:xf numFmtId="0" fontId="25" fillId="69" borderId="0" xfId="0" applyNumberFormat="1" applyFont="1" applyFill="1" applyBorder="1" applyAlignment="1">
      <x:alignment horizontal="center"/>
    </x:xf>
    <x:xf numFmtId="0" fontId="25" fillId="69" borderId="0" xfId="0" applyNumberFormat="1" applyFont="1" applyFill="1" applyBorder="1" applyAlignment="1">
      <x:alignment horizontal="center" vertical="center"/>
    </x:xf>
    <x:xf numFmtId="0" fontId="25" fillId="69"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72" borderId="0" xfId="0" applyNumberFormat="1" applyFont="1" applyFill="1" applyBorder="1" applyAlignment="1">
      <x:alignment horizontal="center"/>
    </x:xf>
    <x:xf numFmtId="0" fontId="20" fillId="72" borderId="0" xfId="0" applyNumberFormat="1" applyFont="1" applyFill="1" applyBorder="1" applyAlignment="1">
      <x:alignment horizontal="center"/>
    </x:xf>
    <x:xf numFmtId="0" fontId="0" fillId="73" borderId="0" xfId="0" applyNumberFormat="1" applyFont="1" applyFill="1" applyBorder="1" applyAlignment="1">
      <x:alignment horizontal="center"/>
    </x:xf>
    <x:xf numFmtId="0" fontId="17" fillId="73" borderId="0" xfId="0" applyNumberFormat="1" applyFont="1" applyFill="1" applyBorder="1" applyAlignment="1">
      <x:alignment horizontal="center"/>
    </x:xf>
    <x:xf numFmtId="0" fontId="0" fillId="74" borderId="0" xfId="0" applyNumberFormat="1" applyFont="1" applyFill="1" applyBorder="1" applyAlignment="1">
      <x:alignment horizontal="center"/>
    </x:xf>
    <x:xf numFmtId="0" fontId="21" fillId="74" borderId="0" xfId="0" applyNumberFormat="1" applyFont="1" applyFill="1" applyBorder="1" applyAlignment="1">
      <x:alignment horizontal="center"/>
    </x:xf>
    <x:xf numFmtId="0" fontId="20" fillId="72" borderId="0" xfId="0" applyNumberFormat="1" applyFont="1" applyFill="1" applyBorder="1" applyAlignment="1">
      <x:alignment horizontal="center" wrapText="1"/>
    </x:xf>
    <x:xf numFmtId="0" fontId="17" fillId="73" borderId="0" xfId="0" applyNumberFormat="1" applyFont="1" applyFill="1" applyBorder="1" applyAlignment="1">
      <x:alignment horizontal="center" wrapText="1"/>
    </x:xf>
    <x:xf numFmtId="0" fontId="21" fillId="74"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26" fillId="0" borderId="0" xfId="0" applyNumberFormat="1" applyFont="1" applyFill="1" applyBorder="1" applyAlignment="1">
      <x:alignment wrapText="1"/>
    </x:xf>
    <x:xf numFmtId="214" fontId="0" fillId="0" borderId="0" xfId="0" applyNumberFormat="1" applyFont="1" applyFill="1" applyBorder="1"/>
    <x:xf numFmtId="214" fontId="16" fillId="0" borderId="0" xfId="0" applyNumberFormat="1" applyFont="1" applyFill="1" applyBorder="1"/>
    <x:xf numFmtId="0" fontId="16" fillId="74" borderId="0" xfId="0" applyNumberFormat="1" applyFont="1" applyFill="1" applyBorder="1" applyAlignment="1">
      <x:alignment wrapText="1"/>
    </x:xf>
    <x:xf numFmtId="0" fontId="21" fillId="74" borderId="0" xfId="0" applyNumberFormat="1" applyFont="1" applyFill="1" applyBorder="1" applyAlignment="1">
      <x:alignment wrapText="1"/>
    </x:xf>
    <x:xf numFmtId="214" fontId="0" fillId="0" borderId="0" xfId="0" applyNumberFormat="1" applyFont="1" applyFill="1" applyBorder="1" applyAlignment="1">
      <x:alignment wrapText="1"/>
    </x:xf>
    <x:xf numFmtId="0" fontId="0" fillId="72" borderId="0" xfId="0" applyNumberFormat="1" applyFont="1" applyFill="1" applyBorder="1" applyAlignment="1">
      <x:alignment horizontal="center" wrapText="1"/>
    </x:xf>
    <x:xf numFmtId="0" fontId="0" fillId="73" borderId="0" xfId="0" applyNumberFormat="1" applyFont="1" applyFill="1" applyBorder="1" applyAlignment="1">
      <x:alignment horizontal="center" wrapText="1"/>
    </x:xf>
    <x:xf numFmtId="0" fontId="0" fillId="75" borderId="0" xfId="0" applyNumberFormat="1" applyFont="1" applyFill="1" applyBorder="1" applyAlignment="1">
      <x:alignment wrapText="1"/>
    </x:xf>
    <x:xf numFmtId="0" fontId="27" fillId="75" borderId="0" xfId="0" applyNumberFormat="1" applyFont="1" applyFill="1" applyBorder="1" applyAlignment="1">
      <x:alignment wrapText="1"/>
    </x:xf>
    <x:xf numFmtId="0" fontId="27" fillId="75" borderId="0" xfId="0" applyNumberFormat="1" applyFont="1" applyFill="1" applyBorder="1" applyAlignment="1">
      <x:alignment vertical="top" wrapText="1"/>
    </x:xf>
    <x:xf numFmtId="0" fontId="0" fillId="73" borderId="0" xfId="0" applyNumberFormat="1" applyFont="1" applyFill="1" applyBorder="1" applyAlignment="1">
      <x:alignment wrapText="1"/>
    </x:xf>
    <x:xf numFmtId="0" fontId="17" fillId="73" borderId="0" xfId="0" applyNumberFormat="1" applyFont="1" applyFill="1" applyBorder="1" applyAlignment="1">
      <x:alignment wrapText="1"/>
    </x:xf>
    <x:xf numFmtId="0" fontId="26" fillId="0" borderId="0" xfId="0" applyNumberFormat="1" applyFont="1" applyFill="1" applyBorder="1"/>
    <x:xf numFmtId="0" fontId="5" fillId="0" borderId="0" xfId="0" applyNumberFormat="1" applyFont="1" applyFill="1" applyBorder="1" applyAlignment="1">
      <x:alignment wrapText="1"/>
    </x:xf>
    <x:xf numFmtId="0" fontId="23" fillId="70" borderId="0" xfId="0" applyNumberFormat="1" applyFont="1" applyFill="1" applyBorder="1" applyAlignment="1">
      <x:alignment vertical="top" wrapText="1"/>
    </x:xf>
    <x:xf numFmtId="214" fontId="6" fillId="0" borderId="0" xfId="0" applyNumberFormat="1" applyFont="1" applyFill="1" applyBorder="1" applyAlignment="1">
      <x:alignment wrapText="1"/>
    </x:xf>
    <x:xf numFmtId="0" fontId="25" fillId="2" borderId="0" xfId="0" applyNumberFormat="1" applyFont="1" applyFill="1" applyBorder="1" applyAlignment="1">
      <x:alignment horizontal="center"/>
    </x:xf>
    <x:xf numFmtId="0" fontId="25" fillId="2" borderId="0" xfId="0" applyNumberFormat="1" applyFont="1" applyFill="1" applyBorder="1" applyAlignment="1">
      <x:alignment horizontal="center" vertical="center"/>
    </x:xf>
    <x:xf numFmtId="0" fontId="0" fillId="12" borderId="0" xfId="0" applyNumberFormat="1" applyFont="1" applyFill="1" applyBorder="1" applyAlignment="1">
      <x:alignment horizontal="center"/>
    </x:xf>
    <x:xf numFmtId="0" fontId="0" fillId="59" borderId="0" xfId="0" applyNumberFormat="1" applyFont="1" applyFill="1" applyBorder="1" applyAlignment="1">
      <x:alignment horizontal="center"/>
    </x:xf>
    <x:xf numFmtId="0" fontId="0" fillId="5" borderId="0" xfId="0" applyNumberFormat="1" applyFont="1" applyFill="1" applyBorder="1" applyAlignment="1">
      <x:alignment horizontal="center"/>
    </x:xf>
    <x:xf numFmtId="0" fontId="16" fillId="5" borderId="0" xfId="0" applyNumberFormat="1" applyFont="1" applyFill="1" applyBorder="1" applyAlignment="1">
      <x:alignment wrapText="1"/>
    </x:xf>
    <x:xf numFmtId="0" fontId="0" fillId="12" borderId="0" xfId="0" applyNumberFormat="1" applyFont="1" applyFill="1" applyBorder="1" applyAlignment="1">
      <x:alignment horizontal="center" wrapText="1"/>
    </x:xf>
    <x:xf numFmtId="0" fontId="0" fillId="59" borderId="0" xfId="0" applyNumberFormat="1" applyFont="1" applyFill="1" applyBorder="1" applyAlignment="1">
      <x:alignment horizontal="center" wrapText="1"/>
    </x:xf>
    <x:xf numFmtId="0" fontId="0" fillId="51" borderId="0" xfId="0" applyNumberFormat="1" applyFont="1" applyFill="1" applyBorder="1" applyAlignment="1">
      <x:alignment wrapText="1"/>
    </x:xf>
    <x:xf numFmtId="0" fontId="27" fillId="51" borderId="0" xfId="0" applyNumberFormat="1" applyFont="1" applyFill="1" applyBorder="1" applyAlignment="1">
      <x:alignment wrapText="1"/>
    </x:xf>
    <x:xf numFmtId="0" fontId="27" fillId="51" borderId="0" xfId="0" applyNumberFormat="1" applyFont="1" applyFill="1" applyBorder="1" applyAlignment="1">
      <x:alignment vertical="top" wrapText="1"/>
    </x:xf>
    <x:xf numFmtId="0" fontId="0" fillId="59" borderId="0" xfId="0" applyNumberFormat="1" applyFont="1" applyFill="1" applyBorder="1" applyAlignment="1">
      <x:alignment wrapText="1"/>
    </x:xf>
    <x:xf numFmtId="0" fontId="0" fillId="76" borderId="0" xfId="0" applyNumberFormat="1" applyFont="1" applyFill="1" applyBorder="1"/>
    <x:xf numFmtId="0" fontId="28" fillId="76" borderId="0" xfId="0" applyNumberFormat="1" applyFont="1" applyFill="1" applyBorder="1"/>
    <x:xf numFmtId="0" fontId="28" fillId="76" borderId="0" xfId="0" applyNumberFormat="1" applyFont="1" applyFill="1" applyBorder="1" applyAlignment="1">
      <x:alignment horizontal="left"/>
    </x:xf>
    <x:xf numFmtId="0" fontId="28" fillId="76" borderId="0" xfId="0" applyNumberFormat="1" applyFont="1" applyFill="1" applyBorder="1" applyAlignment="1">
      <x:alignment horizontal="left" vertical="center"/>
    </x:xf>
    <x:xf numFmtId="0" fontId="0" fillId="77" borderId="0" xfId="0" applyNumberFormat="1" applyFont="1" applyFill="1" applyBorder="1"/>
    <x:xf numFmtId="0" fontId="29" fillId="77" borderId="0" xfId="0" applyNumberFormat="1" applyFont="1" applyFill="1" applyBorder="1"/>
    <x:xf numFmtId="0" fontId="29" fillId="77" borderId="0" xfId="0" applyNumberFormat="1" applyFont="1" applyFill="1" applyBorder="1" applyAlignment="1">
      <x:alignment wrapText="1"/>
    </x:xf>
    <x:xf numFmtId="0" fontId="0" fillId="78" borderId="0" xfId="0" applyNumberFormat="1" applyFont="1" applyFill="1" applyBorder="1"/>
    <x:xf numFmtId="0" fontId="16" fillId="78" borderId="0" xfId="0" applyNumberFormat="1" applyFont="1" applyFill="1" applyBorder="1"/>
    <x:xf numFmtId="0" fontId="16" fillId="78" borderId="0" xfId="0" applyNumberFormat="1" applyFont="1" applyFill="1" applyBorder="1" applyAlignment="1">
      <x:alignment wrapText="1"/>
    </x:xf>
    <x:xf numFmtId="0" fontId="16" fillId="78" borderId="0" xfId="0" applyNumberFormat="1" applyFont="1" applyFill="1" applyBorder="1" applyAlignment="1">
      <x:alignment horizontal="center" wrapText="1"/>
    </x:xf>
    <x:xf numFmtId="0" fontId="16" fillId="78" borderId="0" xfId="0" applyNumberFormat="1" applyFont="1" applyFill="1" applyBorder="1" applyAlignment="1">
      <x:alignment horizontal="center" vertical="center" wrapText="1"/>
    </x:xf>
    <x:xf numFmtId="0" fontId="0" fillId="79" borderId="0" xfId="0" applyNumberFormat="1" applyFont="1" applyFill="1" applyBorder="1"/>
    <x:xf numFmtId="0" fontId="3" fillId="79" borderId="0" xfId="0" applyNumberFormat="1" applyFont="1" applyFill="1" applyBorder="1"/>
    <x:xf numFmtId="0" fontId="3" fillId="79" borderId="0" xfId="0" applyNumberFormat="1" applyFont="1" applyFill="1" applyBorder="1" applyAlignment="1">
      <x:alignment horizontal="left"/>
    </x:xf>
    <x:xf numFmtId="0" fontId="3" fillId="79" borderId="0" xfId="0" applyNumberFormat="1" applyFont="1" applyFill="1" applyBorder="1" applyAlignment="1">
      <x:alignment horizontal="left" vertical="center"/>
    </x:xf>
    <x:xf numFmtId="0" fontId="7" fillId="0" borderId="0" xfId="0" applyNumberFormat="1" applyFont="1" applyFill="1" applyBorder="1" applyAlignment="1">
      <x:alignment wrapText="1"/>
    </x:xf>
    <x:xf numFmtId="0" fontId="7" fillId="78" borderId="0" xfId="0" applyNumberFormat="1" applyFont="1" applyFill="1" applyBorder="1" applyAlignment="1">
      <x:alignment wrapText="1"/>
    </x:xf>
    <x:xf numFmtId="0" fontId="7" fillId="78" borderId="0" xfId="0" applyNumberFormat="1" applyFont="1" applyFill="1" applyBorder="1" applyAlignment="1">
      <x:alignment vertical="center" wrapText="1"/>
    </x:xf>
    <x:xf numFmtId="0" fontId="0" fillId="80" borderId="0" xfId="0" applyNumberFormat="1" applyFont="1" applyFill="1" applyBorder="1" applyAlignment="1">
      <x:alignment wrapText="1"/>
    </x:xf>
    <x:xf numFmtId="0" fontId="0" fillId="80" borderId="0" xfId="0" applyNumberFormat="1" applyFont="1" applyFill="1" applyBorder="1" applyAlignment="1">
      <x:alignment vertical="center" wrapText="1"/>
    </x:xf>
    <x:xf numFmtId="0" fontId="30" fillId="0" borderId="0" xfId="0" applyNumberFormat="1" applyFont="1" applyFill="1" applyBorder="1" applyAlignment="1">
      <x:alignment wrapText="1"/>
    </x:xf>
    <x:xf numFmtId="0" fontId="28" fillId="2" borderId="0" xfId="0" applyNumberFormat="1" applyFont="1" applyFill="1" applyBorder="1"/>
    <x:xf numFmtId="0" fontId="28" fillId="2" borderId="0" xfId="0" applyNumberFormat="1" applyFont="1" applyFill="1" applyBorder="1" applyAlignment="1">
      <x:alignment horizontal="left"/>
    </x:xf>
    <x:xf numFmtId="0" fontId="28" fillId="2" borderId="0" xfId="0" applyNumberFormat="1" applyFont="1" applyFill="1" applyBorder="1" applyAlignment="1">
      <x:alignment horizontal="left" vertical="center"/>
    </x:xf>
    <x:xf numFmtId="0" fontId="16" fillId="3" borderId="0" xfId="0" applyNumberFormat="1" applyFont="1" applyFill="1" applyBorder="1"/>
    <x:xf numFmtId="0" fontId="16" fillId="3" borderId="0" xfId="0" applyNumberFormat="1" applyFont="1" applyFill="1" applyBorder="1" applyAlignment="1">
      <x:alignment wrapText="1"/>
    </x:xf>
    <x:xf numFmtId="0" fontId="16" fillId="3" borderId="0" xfId="0" applyNumberFormat="1" applyFont="1" applyFill="1" applyBorder="1" applyAlignment="1">
      <x:alignment horizontal="center" wrapText="1"/>
    </x:xf>
    <x:xf numFmtId="0" fontId="16"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7" fillId="3" borderId="0" xfId="0" applyNumberFormat="1" applyFont="1" applyFill="1" applyBorder="1" applyAlignment="1">
      <x:alignment vertical="center" wrapText="1"/>
    </x:xf>
    <x:xf numFmtId="0" fontId="0" fillId="81" borderId="0" xfId="0" applyNumberFormat="1" applyFont="1" applyFill="1" applyBorder="1"/>
    <x:xf numFmtId="0" fontId="1" fillId="81" borderId="0" xfId="0" applyNumberFormat="1" applyFont="1" applyFill="1" applyBorder="1"/>
    <x:xf numFmtId="0" fontId="1" fillId="81" borderId="0" xfId="0" applyNumberFormat="1" applyFont="1" applyFill="1" applyBorder="1" applyAlignment="1">
      <x:alignment horizontal="left"/>
    </x:xf>
    <x:xf numFmtId="0" fontId="1" fillId="81" borderId="0" xfId="0" applyNumberFormat="1" applyFont="1" applyFill="1" applyBorder="1" applyAlignment="1">
      <x:alignment horizontal="left" vertical="center"/>
    </x:xf>
    <x:xf numFmtId="0" fontId="0" fillId="82" borderId="0" xfId="0" applyNumberFormat="1" applyFont="1" applyFill="1" applyBorder="1"/>
    <x:xf numFmtId="0" fontId="31" fillId="82" borderId="0" xfId="0" applyNumberFormat="1" applyFont="1" applyFill="1" applyBorder="1"/>
    <x:xf numFmtId="0" fontId="31" fillId="82" borderId="0" xfId="0" applyNumberFormat="1" applyFont="1" applyFill="1" applyBorder="1" applyAlignment="1">
      <x:alignment wrapText="1"/>
    </x:xf>
    <x:xf numFmtId="0" fontId="31" fillId="82" borderId="0" xfId="0" applyNumberFormat="1" applyFont="1" applyFill="1" applyBorder="1" applyAlignment="1">
      <x:alignment vertical="center" wrapText="1"/>
    </x:xf>
    <x:xf numFmtId="0" fontId="0" fillId="83" borderId="0" xfId="0" applyNumberFormat="1" applyFont="1" applyFill="1" applyBorder="1"/>
    <x:xf numFmtId="0" fontId="3" fillId="83" borderId="0" xfId="0" applyNumberFormat="1" applyFont="1" applyFill="1" applyBorder="1"/>
    <x:xf numFmtId="0" fontId="3" fillId="83" borderId="0" xfId="0" applyNumberFormat="1" applyFont="1" applyFill="1" applyBorder="1" applyAlignment="1">
      <x:alignment horizontal="left"/>
    </x:xf>
    <x:xf numFmtId="0" fontId="25" fillId="83" borderId="0" xfId="0" applyNumberFormat="1" applyFont="1" applyFill="1" applyBorder="1"/>
    <x:xf numFmtId="0" fontId="25" fillId="83" borderId="167" xfId="0" applyNumberFormat="1" applyFont="1" applyFill="1" applyBorder="1"/>
    <x:xf numFmtId="0" fontId="25" fillId="83" borderId="167" xfId="0" applyNumberFormat="1" applyFont="1" applyFill="1" applyBorder="1" applyAlignment="1">
      <x:alignment wrapText="1"/>
    </x:xf>
    <x:xf numFmtId="0" fontId="25" fillId="83" borderId="167" xfId="0" applyNumberFormat="1" applyFont="1" applyFill="1" applyBorder="1" applyAlignment="1">
      <x:alignment horizontal="center" wrapText="1"/>
    </x:xf>
    <x:xf numFmtId="0" fontId="25" fillId="83" borderId="167" xfId="0" applyNumberFormat="1" applyFont="1" applyFill="1" applyBorder="1" applyAlignment="1">
      <x:alignment horizontal="center" vertical="center" wrapText="1"/>
    </x:xf>
    <x:xf numFmtId="0" fontId="32" fillId="0" borderId="0" xfId="0" applyNumberFormat="1" applyFont="1" applyFill="1" applyBorder="1"/>
    <x:xf numFmtId="203" fontId="19" fillId="0" borderId="0" xfId="0" applyNumberFormat="1" applyFont="1" applyFill="1" applyBorder="1"/>
    <x:xf numFmtId="203" fontId="32" fillId="0" borderId="0" xfId="0" applyNumberFormat="1" applyFont="1" applyFill="1" applyBorder="1"/>
    <x:xf numFmtId="215" fontId="19" fillId="0" borderId="0" xfId="0" applyNumberFormat="1" applyFont="1" applyFill="1" applyBorder="1"/>
    <x:xf numFmtId="215" fontId="32" fillId="0" borderId="0" xfId="0" applyNumberFormat="1" applyFont="1" applyFill="1" applyBorder="1"/>
    <x:xf numFmtId="216" fontId="19" fillId="0" borderId="0" xfId="0" applyNumberFormat="1" applyFont="1" applyFill="1" applyBorder="1"/>
    <x:xf numFmtId="201" fontId="19" fillId="0" borderId="0" xfId="0" applyNumberFormat="1" applyFont="1" applyFill="1" applyBorder="1"/>
    <x:xf numFmtId="0" fontId="19" fillId="0" borderId="0" xfId="0" applyNumberFormat="1" applyFont="1" applyFill="1" applyBorder="1" applyAlignment="1">
      <x:alignment wrapText="0"/>
    </x:xf>
    <x:xf numFmtId="201" fontId="19" fillId="0" borderId="0" xfId="0" applyNumberFormat="1" applyFont="1" applyFill="1" applyBorder="1" applyAlignment="1">
      <x:alignment wrapText="0"/>
    </x:xf>
    <x:xf numFmtId="203" fontId="19" fillId="0" borderId="0" xfId="0" applyNumberFormat="1" applyFont="1" applyFill="1" applyBorder="1" applyAlignment="1">
      <x:alignment wrapText="0"/>
    </x:xf>
    <x:xf numFmtId="203" fontId="32" fillId="0" borderId="0" xfId="0" applyNumberFormat="1" applyFont="1" applyFill="1" applyBorder="1" applyAlignment="1">
      <x:alignment wrapText="0"/>
    </x:xf>
    <x:xf numFmtId="215" fontId="19" fillId="0" borderId="0" xfId="0" applyNumberFormat="1" applyFont="1" applyFill="1" applyBorder="1" applyAlignment="1">
      <x:alignment wrapText="0"/>
    </x:xf>
    <x:xf numFmtId="215" fontId="32" fillId="0" borderId="0" xfId="0" applyNumberFormat="1" applyFont="1" applyFill="1" applyBorder="1" applyAlignment="1">
      <x:alignment wrapText="0"/>
    </x:xf>
    <x:xf numFmtId="216" fontId="19" fillId="0" borderId="0" xfId="0" applyNumberFormat="1" applyFont="1" applyFill="1" applyBorder="1" applyAlignment="1">
      <x:alignment wrapText="0"/>
    </x:xf>
    <x:xf numFmtId="0" fontId="32" fillId="0" borderId="0" xfId="0" applyNumberFormat="1" applyFont="1" applyFill="1" applyBorder="1" applyAlignment="1">
      <x:alignment wrapText="0"/>
    </x:xf>
    <x:xf numFmtId="201" fontId="19" fillId="0" borderId="0" xfId="0" applyNumberFormat="1" applyFont="1" applyFill="1" applyBorder="1" applyAlignment="1">
      <x:alignment wrapText="1"/>
    </x:xf>
    <x:xf numFmtId="0" fontId="0" fillId="84" borderId="0" xfId="0" applyNumberFormat="1" applyFont="1" applyFill="1" applyBorder="1" applyAlignment="1">
      <x:alignment wrapText="1"/>
    </x:xf>
    <x:xf numFmtId="0" fontId="7" fillId="84" borderId="0" xfId="0" applyNumberFormat="1" applyFont="1" applyFill="1" applyBorder="1" applyAlignment="1">
      <x:alignment wrapText="1"/>
    </x:xf>
    <x:xf numFmtId="0" fontId="0" fillId="85" borderId="0" xfId="0" applyNumberFormat="1" applyFont="1" applyFill="1" applyBorder="1" applyAlignment="1">
      <x:alignment wrapText="1"/>
    </x:xf>
    <x:xf numFmtId="0" fontId="7" fillId="85" borderId="0" xfId="0" applyNumberFormat="1" applyFont="1" applyFill="1" applyBorder="1" applyAlignment="1">
      <x:alignment wrapText="1"/>
    </x:xf>
    <x:xf numFmtId="0" fontId="33" fillId="85" borderId="0" xfId="0" applyNumberFormat="1" applyFont="1" applyFill="1" applyBorder="1" applyAlignment="1">
      <x:alignment wrapText="1"/>
    </x:xf>
    <x:xf numFmtId="0" fontId="0" fillId="86" borderId="0" xfId="0" applyNumberFormat="1" applyFont="1" applyFill="1" applyBorder="1"/>
    <x:xf numFmtId="0" fontId="7" fillId="86" borderId="0" xfId="0" applyNumberFormat="1" applyFont="1" applyFill="1" applyBorder="1"/>
    <x:xf numFmtId="0" fontId="7" fillId="86" borderId="0" xfId="0" applyNumberFormat="1" applyFont="1" applyFill="1" applyBorder="1" applyAlignment="1">
      <x:alignment wrapText="1"/>
    </x:xf>
    <x:xf numFmtId="0" fontId="7" fillId="86" borderId="0" xfId="0" applyNumberFormat="1" applyFont="1" applyFill="1" applyBorder="1" applyAlignment="1">
      <x:alignment horizontal="center" wrapText="1"/>
    </x:xf>
    <x:xf numFmtId="217" fontId="5" fillId="0" borderId="0" xfId="0" applyNumberFormat="1" applyFont="1" applyFill="1" applyBorder="1"/>
    <x:xf numFmtId="217" fontId="5" fillId="0" borderId="0" xfId="0" applyNumberFormat="1" applyFont="1" applyFill="1" applyBorder="1" applyAlignment="1">
      <x:alignment wrapText="1"/>
    </x:xf>
    <x:xf numFmtId="215" fontId="5" fillId="0" borderId="0" xfId="0" applyNumberFormat="1" applyFont="1" applyFill="1" applyBorder="1"/>
    <x:xf numFmtId="218" fontId="5" fillId="0" borderId="0" xfId="0" applyNumberFormat="1" applyFont="1" applyFill="1" applyBorder="1"/>
    <x:xf numFmtId="215" fontId="5" fillId="0" borderId="0" xfId="0" applyNumberFormat="1" applyFont="1" applyFill="1" applyBorder="1" applyAlignment="1">
      <x:alignment wrapText="1"/>
    </x:xf>
    <x:xf numFmtId="218" fontId="5" fillId="0" borderId="0" xfId="0" applyNumberFormat="1" applyFont="1" applyFill="1" applyBorder="1" applyAlignment="1">
      <x:alignment wrapText="1"/>
    </x:xf>
    <x:xf numFmtId="201" fontId="5" fillId="0" borderId="0" xfId="0" applyNumberFormat="1" applyFont="1" applyFill="1" applyBorder="1" applyAlignment="1">
      <x:alignment wrapText="1"/>
    </x:xf>
    <x:xf numFmtId="0" fontId="3" fillId="81" borderId="0" xfId="0" applyNumberFormat="1" applyFont="1" applyFill="1" applyBorder="1"/>
    <x:xf numFmtId="0" fontId="0" fillId="87" borderId="0" xfId="0" applyNumberFormat="1" applyFont="1" applyFill="1" applyBorder="1"/>
    <x:xf numFmtId="0" fontId="7" fillId="87" borderId="0" xfId="0" applyNumberFormat="1" applyFont="1" applyFill="1" applyBorder="1"/>
    <x:xf numFmtId="0" fontId="7" fillId="87" borderId="0" xfId="0" applyNumberFormat="1" applyFont="1" applyFill="1" applyBorder="1" applyAlignment="1">
      <x:alignment wrapText="1"/>
    </x:xf>
    <x:xf numFmtId="0" fontId="7" fillId="87" borderId="0" xfId="0" applyNumberFormat="1" applyFont="1" applyFill="1" applyBorder="1" applyAlignment="1">
      <x:alignment vertical="center" wrapText="1"/>
    </x:xf>
    <x:xf numFmtId="219" fontId="19" fillId="0" borderId="0" xfId="0" applyNumberFormat="1" applyFont="1" applyFill="1" applyBorder="1"/>
    <x:xf numFmtId="219" fontId="4" fillId="0" borderId="0" xfId="0" applyNumberFormat="1" applyFont="1" applyFill="1" applyBorder="1"/>
    <x:xf numFmtId="218" fontId="6" fillId="0" borderId="0" xfId="0" applyNumberFormat="1" applyFont="1" applyFill="1" applyBorder="1"/>
    <x:xf numFmtId="219" fontId="4" fillId="0" borderId="0" xfId="0" applyNumberFormat="1" applyFont="1" applyFill="1" applyBorder="1" applyAlignment="1">
      <x:alignment wrapText="1"/>
    </x:xf>
    <x:xf numFmtId="218" fontId="6" fillId="0" borderId="0" xfId="0" applyNumberFormat="1" applyFont="1" applyFill="1" applyBorder="1" applyAlignment="1">
      <x:alignment wrapText="1"/>
    </x:xf>
    <x:xf numFmtId="219" fontId="0" fillId="0" borderId="0" xfId="0" applyNumberFormat="1" applyFont="1" applyFill="1" applyBorder="1"/>
    <x:xf numFmtId="218" fontId="0" fillId="0" borderId="0" xfId="0" applyNumberFormat="1" applyFont="1" applyFill="1" applyBorder="1"/>
    <x:xf numFmtId="0" fontId="25" fillId="4" borderId="0" xfId="0" applyNumberFormat="1" applyFont="1" applyFill="1" applyBorder="1"/>
    <x:xf numFmtId="0" fontId="25" fillId="4" borderId="0" xfId="0" applyNumberFormat="1" applyFont="1" applyFill="1" applyBorder="1" applyAlignment="1">
      <x:alignment wrapText="1"/>
    </x:xf>
    <x:xf numFmtId="0" fontId="25" fillId="4" borderId="0" xfId="0" applyNumberFormat="1" applyFont="1" applyFill="1" applyBorder="1" applyAlignment="1">
      <x:alignment horizontal="center" wrapText="1"/>
    </x:xf>
    <x:xf numFmtId="0" fontId="25" fillId="4"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7" fillId="12" borderId="0" xfId="0" applyNumberFormat="1" applyFont="1" applyFill="1" applyBorder="1" applyAlignment="1">
      <x:alignment wrapText="1"/>
    </x:xf>
    <x:xf numFmtId="0" fontId="7" fillId="59" borderId="0" xfId="0" applyNumberFormat="1" applyFont="1" applyFill="1" applyBorder="1" applyAlignment="1">
      <x:alignment wrapText="1"/>
    </x:xf>
    <x:xf numFmtId="0" fontId="33" fillId="59" borderId="0" xfId="0" applyNumberFormat="1" applyFont="1" applyFill="1" applyBorder="1" applyAlignment="1">
      <x:alignment wrapText="1"/>
    </x:xf>
    <x:xf numFmtId="0" fontId="7" fillId="3" borderId="0" xfId="0" applyNumberFormat="1" applyFont="1" applyFill="1" applyBorder="1" applyAlignment="1">
      <x:alignment horizontal="center" wrapText="1"/>
    </x:xf>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7" fillId="88" borderId="0" xfId="0" applyNumberFormat="1" applyFont="1" applyFill="1" applyBorder="1" applyAlignment="1">
      <x:alignment vertical="center" wrapText="1"/>
    </x:xf>
    <x:xf numFmtId="0" fontId="3" fillId="88" borderId="0" xfId="0" applyNumberFormat="1" applyFont="1" applyFill="1" applyBorder="1" applyAlignment="1">
      <x:alignment vertical="center" wrapText="1"/>
    </x:xf>
    <x:xf numFmtId="0" fontId="3" fillId="88" borderId="0" xfId="0" applyNumberFormat="1" applyFont="1" applyFill="1" applyBorder="1" applyAlignment="1">
      <x:alignment horizontal="left" vertical="center" wrapText="1"/>
    </x:xf>
    <x:xf numFmtId="0" fontId="0" fillId="89" borderId="0" xfId="0" applyNumberFormat="1" applyFont="1" applyFill="1" applyBorder="1"/>
    <x:xf numFmtId="0" fontId="3" fillId="89" borderId="0" xfId="0" applyNumberFormat="1" applyFont="1" applyFill="1" applyBorder="1"/>
    <x:xf numFmtId="0" fontId="3" fillId="89" borderId="168" xfId="0" applyNumberFormat="1" applyFont="1" applyFill="1" applyBorder="1"/>
    <x:xf numFmtId="0" fontId="3" fillId="89" borderId="169" xfId="0" applyNumberFormat="1" applyFont="1" applyFill="1" applyBorder="1"/>
    <x:xf numFmtId="0" fontId="3" fillId="89" borderId="170" xfId="0" applyNumberFormat="1" applyFont="1" applyFill="1" applyBorder="1"/>
    <x:xf numFmtId="0" fontId="3" fillId="89" borderId="168" xfId="0" applyNumberFormat="1" applyFont="1" applyFill="1" applyBorder="1" applyAlignment="1">
      <x:alignment wrapText="1"/>
    </x:xf>
    <x:xf numFmtId="0" fontId="3" fillId="89" borderId="169" xfId="0" applyNumberFormat="1" applyFont="1" applyFill="1" applyBorder="1" applyAlignment="1">
      <x:alignment wrapText="1"/>
    </x:xf>
    <x:xf numFmtId="0" fontId="3" fillId="89" borderId="170" xfId="0" applyNumberFormat="1" applyFont="1" applyFill="1" applyBorder="1" applyAlignment="1">
      <x:alignment wrapText="1"/>
    </x:xf>
    <x:xf numFmtId="0" fontId="3" fillId="89" borderId="168" xfId="0" applyNumberFormat="1" applyFont="1" applyFill="1" applyBorder="1" applyAlignment="1">
      <x:alignment horizontal="center" wrapText="1"/>
    </x:xf>
    <x:xf numFmtId="0" fontId="3" fillId="89" borderId="169" xfId="0" applyNumberFormat="1" applyFont="1" applyFill="1" applyBorder="1" applyAlignment="1">
      <x:alignment horizontal="center" wrapText="1"/>
    </x:xf>
    <x:xf numFmtId="0" fontId="3" fillId="89" borderId="170" xfId="0" applyNumberFormat="1" applyFont="1" applyFill="1" applyBorder="1" applyAlignment="1">
      <x:alignment horizontal="center" wrapText="1"/>
    </x:xf>
    <x:xf numFmtId="0" fontId="3" fillId="89" borderId="168" xfId="0" applyNumberFormat="1" applyFont="1" applyFill="1" applyBorder="1" applyAlignment="1">
      <x:alignment horizontal="center" vertical="center" wrapText="1"/>
    </x:xf>
    <x:xf numFmtId="0" fontId="3" fillId="89" borderId="169" xfId="0" applyNumberFormat="1" applyFont="1" applyFill="1" applyBorder="1" applyAlignment="1">
      <x:alignment horizontal="center" vertical="center" wrapText="1"/>
    </x:xf>
    <x:xf numFmtId="0" fontId="3" fillId="89" borderId="170" xfId="0" applyNumberFormat="1" applyFont="1" applyFill="1" applyBorder="1" applyAlignment="1">
      <x:alignment horizontal="center" vertical="center" wrapText="1"/>
    </x:xf>
    <x:xf numFmtId="0" fontId="27" fillId="0" borderId="0" xfId="0" applyNumberFormat="1" applyFont="1" applyFill="1" applyBorder="1"/>
    <x:xf numFmtId="0" fontId="27" fillId="0" xfId="0" applyNumberFormat="1" applyFont="1" applyFill="1" applyBorder="0"/>
    <x:xf numFmtId="0" fontId="27" fillId="0" borderId="171" xfId="0" applyNumberFormat="1" applyFont="1" applyFill="1" applyBorder="1"/>
    <x:xf numFmtId="0" fontId="27" fillId="0" xfId="0" applyNumberFormat="1" applyFont="1" applyFill="1" applyBorder="0" applyAlignment="1">
      <x:alignment wrapText="1"/>
    </x:xf>
    <x:xf numFmtId="0" fontId="27" fillId="0" borderId="171" xfId="0" applyNumberFormat="1" applyFont="1" applyFill="1" applyBorder="1" applyAlignment="1">
      <x:alignment wrapText="1"/>
    </x:xf>
    <x:xf numFmtId="0" fontId="27" fillId="0" xfId="0" applyNumberFormat="1" applyFont="1" applyFill="1" applyBorder="0" applyAlignment="1">
      <x:alignment vertical="top" wrapText="1"/>
    </x:xf>
    <x:xf numFmtId="0" fontId="27" fillId="0" borderId="171" xfId="0" applyNumberFormat="1" applyFont="1" applyFill="1" applyBorder="1" applyAlignment="1">
      <x:alignment vertical="top" wrapText="1"/>
    </x:xf>
    <x:xf numFmtId="219" fontId="27" fillId="0" xfId="0" applyNumberFormat="1" applyFont="1" applyFill="1" applyBorder="0" applyAlignment="1">
      <x:alignment vertical="top" wrapText="1"/>
    </x:xf>
    <x:xf numFmtId="219" fontId="27" fillId="0" borderId="171" xfId="0" applyNumberFormat="1" applyFont="1" applyFill="1" applyBorder="1" applyAlignment="1">
      <x:alignment vertical="top" wrapText="1"/>
    </x:xf>
    <x:xf numFmtId="0" fontId="34" fillId="0" xfId="0" applyNumberFormat="1" applyFont="1" applyFill="1" applyBorder="0" applyAlignment="1">
      <x:alignment vertical="top" wrapText="1"/>
    </x:xf>
    <x:xf numFmtId="219" fontId="34" fillId="0" xfId="0" applyNumberFormat="1" applyFont="1" applyFill="1" applyBorder="0" applyAlignment="1">
      <x:alignment vertical="top" wrapText="1"/>
    </x:xf>
    <x:xf numFmtId="0" fontId="34" fillId="0" borderId="171" xfId="0" applyNumberFormat="1" applyFont="1" applyFill="1" applyBorder="1" applyAlignment="1">
      <x:alignment vertical="top" wrapText="1"/>
    </x:xf>
    <x:xf numFmtId="219" fontId="34" fillId="0" borderId="171" xfId="0" applyNumberFormat="1" applyFont="1" applyFill="1" applyBorder="1" applyAlignment="1">
      <x:alignment vertical="top" wrapText="1"/>
    </x:xf>
    <x:xf numFmtId="0" fontId="27" fillId="90" xfId="0" applyNumberFormat="1" applyFont="1" applyFill="1" applyBorder="0" applyAlignment="1">
      <x:alignment vertical="top" wrapText="1"/>
    </x:xf>
    <x:xf numFmtId="0" fontId="35" fillId="90" xfId="0" applyNumberFormat="1" applyFont="1" applyFill="1" applyBorder="0" applyAlignment="1">
      <x:alignment vertical="top" wrapText="1"/>
    </x:xf>
    <x:xf numFmtId="0" fontId="27" fillId="91" xfId="0" applyNumberFormat="1" applyFont="1" applyFill="1" applyBorder="0" applyAlignment="1">
      <x:alignment vertical="top" wrapText="1"/>
    </x:xf>
    <x:xf numFmtId="0" fontId="35" fillId="91" xfId="0" applyNumberFormat="1" applyFont="1" applyFill="1" applyBorder="0" applyAlignment="1">
      <x:alignment vertical="top" wrapText="1"/>
    </x:xf>
    <x:xf numFmtId="0" fontId="27" fillId="92" xfId="0" applyNumberFormat="1" applyFont="1" applyFill="1" applyBorder="0" applyAlignment="1">
      <x:alignment vertical="top" wrapText="1"/>
    </x:xf>
    <x:xf numFmtId="0" fontId="35" fillId="92" xfId="0" applyNumberFormat="1" applyFont="1" applyFill="1" applyBorder="0" applyAlignment="1">
      <x:alignment vertical="top" wrapText="1"/>
    </x:xf>
    <x:xf numFmtId="0" fontId="27" fillId="91" borderId="171" xfId="0" applyNumberFormat="1" applyFont="1" applyFill="1" applyBorder="1" applyAlignment="1">
      <x:alignment vertical="top" wrapText="1"/>
    </x:xf>
    <x:xf numFmtId="0" fontId="35" fillId="91" borderId="171" xfId="0" applyNumberFormat="1" applyFont="1" applyFill="1" applyBorder="1" applyAlignment="1">
      <x:alignment vertical="top" wrapText="1"/>
    </x:xf>
    <x:xf numFmtId="0" fontId="27" fillId="90" borderId="171" xfId="0" applyNumberFormat="1" applyFont="1" applyFill="1" applyBorder="1" applyAlignment="1">
      <x:alignment vertical="top" wrapText="1"/>
    </x:xf>
    <x:xf numFmtId="0" fontId="35" fillId="90" borderId="171" xfId="0" applyNumberFormat="1" applyFont="1" applyFill="1" applyBorder="1" applyAlignment="1">
      <x:alignment vertical="top" wrapText="1"/>
    </x:xf>
    <x:xf numFmtId="0" fontId="34" fillId="0" xfId="0" applyNumberFormat="1" applyFont="1" applyFill="1" applyBorder="0" applyAlignment="1">
      <x:alignment horizontal="center" vertical="top" wrapText="1"/>
    </x:xf>
    <x:xf numFmtId="0" fontId="34" fillId="0" borderId="171" xfId="0" applyNumberFormat="1" applyFont="1" applyFill="1" applyBorder="1" applyAlignment="1">
      <x:alignment horizontal="center" vertical="top" wrapText="1"/>
    </x:xf>
    <x:xf numFmtId="0" fontId="3" fillId="89" borderId="169" xfId="0" applyNumberFormat="1" applyFont="1" applyFill="1" applyBorder="1" applyAlignment="1">
      <x:alignment horizontal="right" vertical="center" wrapText="1"/>
    </x:xf>
    <x:xf numFmtId="219" fontId="34" fillId="0" xfId="0" applyNumberFormat="1" applyFont="1" applyFill="1" applyBorder="0" applyAlignment="1">
      <x:alignment horizontal="right" vertical="top" wrapText="1"/>
    </x:xf>
    <x:xf numFmtId="219" fontId="34" fillId="0" borderId="171" xfId="0" applyNumberFormat="1" applyFont="1" applyFill="1" applyBorder="1" applyAlignment="1">
      <x:alignment horizontal="right" vertical="top" wrapText="1"/>
    </x:xf>
    <x:xf numFmtId="0" fontId="0" fillId="0" borderId="0" xfId="0" applyNumberFormat="1" applyFont="1" applyFill="1" applyBorder="1" applyAlignment="1">
      <x:alignment horizontal="right"/>
    </x:xf>
    <x:xf numFmtId="0" fontId="0" fillId="88" borderId="0" xfId="0" applyNumberFormat="1" applyFont="1" applyFill="1" applyBorder="1"/>
    <x:xf numFmtId="0" fontId="1" fillId="88" borderId="0" xfId="0" applyNumberFormat="1" applyFont="1" applyFill="1" applyBorder="1"/>
    <x:xf numFmtId="0" fontId="1" fillId="88" borderId="0" xfId="0" applyNumberFormat="1" applyFont="1" applyFill="1" applyBorder="1" applyAlignment="1">
      <x:alignment horizontal="left"/>
    </x:xf>
    <x:xf numFmtId="0" fontId="1" fillId="88" borderId="0" xfId="0" applyNumberFormat="1" applyFont="1" applyFill="1" applyBorder="1" applyAlignment="1">
      <x:alignment horizontal="left" vertical="center"/>
    </x:xf>
    <x:xf numFmtId="0" fontId="0" fillId="93" borderId="0" xfId="0" applyNumberFormat="1" applyFont="1" applyFill="1" applyBorder="1"/>
    <x:xf numFmtId="0" fontId="18" fillId="93" borderId="0" xfId="0" applyNumberFormat="1" applyFont="1" applyFill="1" applyBorder="1"/>
    <x:xf numFmtId="0" fontId="18" fillId="93" borderId="0" xfId="0" applyNumberFormat="1" applyFont="1" applyFill="1" applyBorder="1" applyAlignment="1">
      <x:alignment wrapText="1"/>
    </x:xf>
    <x:xf numFmtId="0" fontId="18" fillId="93" borderId="0" xfId="0" applyNumberFormat="1" applyFont="1" applyFill="1" applyBorder="1" applyAlignment="1">
      <x:alignment vertical="center" wrapText="1"/>
    </x:xf>
    <x:xf numFmtId="0" fontId="3" fillId="88" borderId="0" xfId="0" applyNumberFormat="1" applyFont="1" applyFill="1" applyBorder="1"/>
    <x:xf numFmtId="0" fontId="3" fillId="88" borderId="0" xfId="0" applyNumberFormat="1" applyFont="1" applyFill="1" applyBorder="1" applyAlignment="1">
      <x:alignment horizontal="left"/>
    </x:xf>
    <x:xf numFmtId="0" fontId="3" fillId="88" borderId="0" xfId="0" applyNumberFormat="1" applyFont="1" applyFill="1" applyBorder="1" applyAlignment="1">
      <x:alignment horizontal="left" vertical="center"/>
    </x:xf>
    <x:xf numFmtId="0" fontId="34" fillId="92" xfId="0" applyNumberFormat="1" applyFont="1" applyFill="1" applyBorder="0" applyAlignment="1">
      <x:alignment vertical="top" wrapText="1"/>
    </x:xf>
    <x:xf numFmtId="0" fontId="34" fillId="90" xfId="0" applyNumberFormat="1" applyFont="1" applyFill="1" applyBorder="0" applyAlignment="1">
      <x:alignment vertical="top" wrapText="1"/>
    </x:xf>
    <x:xf numFmtId="0" fontId="34" fillId="91" xfId="0" applyNumberFormat="1" applyFont="1" applyFill="1" applyBorder="0" applyAlignment="1">
      <x:alignment vertical="top" wrapText="1"/>
    </x:xf>
    <x:xf numFmtId="0" fontId="34" fillId="90" borderId="171" xfId="0" applyNumberFormat="1" applyFont="1" applyFill="1" applyBorder="1" applyAlignment="1">
      <x:alignment vertical="top" wrapText="1"/>
    </x:xf>
    <x:xf numFmtId="0" fontId="0" fillId="91" borderId="0" xfId="0" applyNumberFormat="1" applyFont="1" applyFill="1" applyBorder="1"/>
    <x:xf numFmtId="0" fontId="36" fillId="91" borderId="0" xfId="0" applyNumberFormat="1" applyFont="1" applyFill="1" applyBorder="1"/>
    <x:xf numFmtId="0" fontId="36" fillId="91" borderId="0" xfId="0" applyNumberFormat="1" applyFont="1" applyFill="1" applyBorder="1" applyAlignment="1">
      <x:alignment wrapText="1"/>
    </x:xf>
    <x:xf numFmtId="0" fontId="36" fillId="91" borderId="0" xfId="0" applyNumberFormat="1" applyFont="1" applyFill="1" applyBorder="1" applyAlignment="1">
      <x:alignment vertical="center" wrapText="1"/>
    </x:xf>
    <x:xf numFmtId="211" fontId="27" fillId="0" xfId="0" applyNumberFormat="1" applyFont="1" applyFill="1" applyBorder="0" applyAlignment="1">
      <x:alignment vertical="top" wrapText="1"/>
    </x:xf>
    <x:xf numFmtId="211" fontId="27" fillId="0" borderId="171" xfId="0" applyNumberFormat="1" applyFont="1" applyFill="1" applyBorder="1" applyAlignment="1">
      <x:alignment vertical="top" wrapText="1"/>
    </x:xf>
    <x:xf numFmtId="211" fontId="37" fillId="0" xfId="0" applyNumberFormat="1" applyFont="1" applyFill="1" applyBorder="0" applyAlignment="1">
      <x:alignment vertical="top" wrapText="1"/>
    </x:xf>
    <x:xf numFmtId="211" fontId="34" fillId="0" xfId="0" applyNumberFormat="1" applyFont="1" applyFill="1" applyBorder="0" applyAlignment="1">
      <x:alignment vertical="top" wrapText="1"/>
    </x:xf>
    <x:xf numFmtId="211" fontId="34" fillId="0" borderId="171" xfId="0" applyNumberFormat="1" applyFont="1" applyFill="1" applyBorder="1" applyAlignment="1">
      <x:alignment vertical="top" wrapText="1"/>
    </x:xf>
    <x:xf numFmtId="0" fontId="27" fillId="92" borderId="171" xfId="0" applyNumberFormat="1" applyFont="1" applyFill="1" applyBorder="1" applyAlignment="1">
      <x:alignment vertical="top" wrapText="1"/>
    </x:xf>
    <x:xf numFmtId="0" fontId="35" fillId="92" borderId="171" xfId="0" applyNumberFormat="1" applyFont="1" applyFill="1" applyBorder="1" applyAlignment="1">
      <x:alignment vertical="top" wrapText="1"/>
    </x:xf>
    <x:xf numFmtId="200" fontId="27" fillId="0" xfId="0" applyNumberFormat="1" applyFont="1" applyFill="1" applyBorder="0" applyAlignment="1">
      <x:alignment vertical="top" wrapText="1"/>
    </x:xf>
    <x:xf numFmtId="0" fontId="0" fillId="91" borderId="0" xfId="0" applyNumberFormat="1" applyFont="1" applyFill="1" applyBorder="1" applyAlignment="1">
      <x:alignment horizontal="center" wrapText="1"/>
    </x:xf>
    <x:xf numFmtId="0" fontId="16" fillId="91" borderId="0" xfId="0" applyNumberFormat="1" applyFont="1" applyFill="1" applyBorder="1" applyAlignment="1">
      <x:alignment horizontal="center" wrapText="1"/>
    </x:xf>
    <x:xf numFmtId="214" fontId="38" fillId="0" borderId="0" xfId="0" applyNumberFormat="1" applyFont="1" applyFill="1" applyBorder="1"/>
    <x:xf numFmtId="0" fontId="33" fillId="5" borderId="0" xfId="0" applyNumberFormat="1" applyFont="1" applyFill="1" applyBorder="1" applyAlignment="1">
      <x:alignment wrapText="1"/>
    </x:xf>
    <x:xf numFmtId="0" fontId="35" fillId="0" xfId="0" applyNumberFormat="1" applyFont="1" applyFill="1" applyBorder="0" applyAlignment="1">
      <x:alignment vertical="top" wrapText="1"/>
    </x:xf>
    <x:xf numFmtId="0" fontId="35" fillId="0" borderId="171" xfId="0" applyNumberFormat="1" applyFont="1" applyFill="1" applyBorder="1" applyAlignment="1">
      <x:alignment vertical="top" wrapText="1"/>
    </x:xf>
    <x:xf numFmtId="0" fontId="7"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left" vertical="center" wrapText="1"/>
    </x:xf>
    <x:xf numFmtId="0" fontId="3" fillId="89" borderId="0" xfId="0" applyNumberFormat="1" applyFont="1" applyFill="1" applyBorder="1" applyAlignment="1">
      <x:alignment wrapText="1"/>
    </x:xf>
    <x:xf numFmtId="0" fontId="3" fillId="89" borderId="0" xfId="0" applyNumberFormat="1" applyFont="1" applyFill="1" applyBorder="1" applyAlignment="1">
      <x:alignment horizontal="center" wrapText="1"/>
    </x:xf>
    <x:xf numFmtId="0" fontId="3" fillId="89" borderId="0" xfId="0" applyNumberFormat="1" applyFont="1" applyFill="1" applyBorder="1" applyAlignment="1">
      <x:alignment horizontal="center" vertical="center" wrapText="1"/>
    </x:xf>
    <x:xf numFmtId="0" fontId="27" fillId="0" borderId="0" xfId="0" applyNumberFormat="1" applyFont="1" applyFill="1" applyBorder="1" applyAlignment="1">
      <x:alignment wrapText="1"/>
    </x:xf>
    <x:xf numFmtId="0" fontId="27" fillId="0" borderId="0" xfId="0" applyNumberFormat="1" applyFont="1" applyFill="1" applyBorder="1" applyAlignment="1">
      <x:alignment vertical="top" wrapText="1"/>
    </x:xf>
    <x:xf numFmtId="219" fontId="27" fillId="0" borderId="0" xfId="0" applyNumberFormat="1" applyFont="1" applyFill="1" applyBorder="1" applyAlignment="1">
      <x:alignment vertical="top" wrapText="1"/>
    </x:xf>
    <x:xf numFmtId="0" fontId="34" fillId="0" borderId="0" xfId="0" applyNumberFormat="1" applyFont="1" applyFill="1" applyBorder="1" applyAlignment="1">
      <x:alignment vertical="top" wrapText="1"/>
    </x:xf>
    <x:xf numFmtId="219" fontId="34" fillId="0" borderId="0" xfId="0" applyNumberFormat="1" applyFont="1" applyFill="1" applyBorder="1" applyAlignment="1">
      <x:alignment vertical="top" wrapText="1"/>
    </x:xf>
    <x:xf numFmtId="0" fontId="27" fillId="22" xfId="0" applyNumberFormat="1" applyFont="1" applyFill="1" applyBorder="0" applyAlignment="1">
      <x:alignment vertical="top" wrapText="1"/>
    </x:xf>
    <x:xf numFmtId="0" fontId="35" fillId="22" xfId="0" applyNumberFormat="1" applyFont="1" applyFill="1" applyBorder="0" applyAlignment="1">
      <x:alignment vertical="top" wrapText="1"/>
    </x:xf>
    <x:xf numFmtId="0" fontId="27" fillId="5" xfId="0" applyNumberFormat="1" applyFont="1" applyFill="1" applyBorder="0" applyAlignment="1">
      <x:alignment vertical="top" wrapText="1"/>
    </x:xf>
    <x:xf numFmtId="0" fontId="35" fillId="5" xfId="0" applyNumberFormat="1" applyFont="1" applyFill="1" applyBorder="0" applyAlignment="1">
      <x:alignment vertical="top" wrapText="1"/>
    </x:xf>
    <x:xf numFmtId="0" fontId="27" fillId="12" xfId="0" applyNumberFormat="1" applyFont="1" applyFill="1" applyBorder="0" applyAlignment="1">
      <x:alignment vertical="top" wrapText="1"/>
    </x:xf>
    <x:xf numFmtId="0" fontId="35" fillId="12" xfId="0" applyNumberFormat="1" applyFont="1" applyFill="1" applyBorder="0" applyAlignment="1">
      <x:alignment vertical="top" wrapText="1"/>
    </x:xf>
    <x:xf numFmtId="0" fontId="27" fillId="5" borderId="0" xfId="0" applyNumberFormat="1" applyFont="1" applyFill="1" applyBorder="1" applyAlignment="1">
      <x:alignment vertical="top" wrapText="1"/>
    </x:xf>
    <x:xf numFmtId="0" fontId="35" fillId="5" borderId="0" xfId="0" applyNumberFormat="1" applyFont="1" applyFill="1" applyBorder="1" applyAlignment="1">
      <x:alignment vertical="top" wrapText="1"/>
    </x:xf>
    <x:xf numFmtId="0" fontId="27" fillId="22" borderId="0" xfId="0" applyNumberFormat="1" applyFont="1" applyFill="1" applyBorder="1" applyAlignment="1">
      <x:alignment vertical="top" wrapText="1"/>
    </x:xf>
    <x:xf numFmtId="0" fontId="35" fillId="22" borderId="0" xfId="0" applyNumberFormat="1" applyFont="1" applyFill="1" applyBorder="1" applyAlignment="1">
      <x:alignment vertical="top" wrapText="1"/>
    </x:xf>
    <x:xf numFmtId="0" fontId="34" fillId="0" borderId="0" xfId="0" applyNumberFormat="1" applyFont="1" applyFill="1" applyBorder="1" applyAlignment="1">
      <x:alignment horizontal="center" vertical="top" wrapText="1"/>
    </x:xf>
    <x:xf numFmtId="0" fontId="3" fillId="89" borderId="0" xfId="0" applyNumberFormat="1" applyFont="1" applyFill="1" applyBorder="1" applyAlignment="1">
      <x:alignment horizontal="right" vertical="center" wrapText="1"/>
    </x:xf>
    <x:xf numFmtId="219" fontId="34" fillId="0" borderId="0" xfId="0" applyNumberFormat="1" applyFont="1" applyFill="1" applyBorder="1" applyAlignment="1">
      <x:alignment horizontal="right" vertical="top" wrapText="1"/>
    </x:xf>
    <x:xf numFmtId="0" fontId="1" fillId="4" borderId="0" xfId="0" applyNumberFormat="1" applyFont="1" applyFill="1" applyBorder="1"/>
    <x:xf numFmtId="0" fontId="1" fillId="4" borderId="0" xfId="0" applyNumberFormat="1" applyFont="1" applyFill="1" applyBorder="1" applyAlignment="1">
      <x:alignment horizontal="left"/>
    </x:xf>
    <x:xf numFmtId="0" fontId="1" fillId="4" borderId="0" xfId="0" applyNumberFormat="1" applyFont="1" applyFill="1" applyBorder="1" applyAlignment="1">
      <x:alignment horizontal="left" vertical="center"/>
    </x:xf>
    <x:xf numFmtId="0" fontId="18" fillId="77" borderId="0" xfId="0" applyNumberFormat="1" applyFont="1" applyFill="1" applyBorder="1"/>
    <x:xf numFmtId="0" fontId="18" fillId="77" borderId="0" xfId="0" applyNumberFormat="1" applyFont="1" applyFill="1" applyBorder="1" applyAlignment="1">
      <x:alignment wrapText="1"/>
    </x:xf>
    <x:xf numFmtId="0" fontId="18" fillId="77" borderId="0" xfId="0" applyNumberFormat="1" applyFont="1" applyFill="1" applyBorder="1" applyAlignment="1">
      <x:alignment vertical="center" wrapText="1"/>
    </x:xf>
    <x:xf numFmtId="0" fontId="34" fillId="12" xfId="0" applyNumberFormat="1" applyFont="1" applyFill="1" applyBorder="0" applyAlignment="1">
      <x:alignment vertical="top" wrapText="1"/>
    </x:xf>
    <x:xf numFmtId="0" fontId="34" fillId="22" xfId="0" applyNumberFormat="1" applyFont="1" applyFill="1" applyBorder="0" applyAlignment="1">
      <x:alignment vertical="top" wrapText="1"/>
    </x:xf>
    <x:xf numFmtId="0" fontId="34" fillId="5" xfId="0" applyNumberFormat="1" applyFont="1" applyFill="1" applyBorder="0" applyAlignment="1">
      <x:alignment vertical="top" wrapText="1"/>
    </x:xf>
    <x:xf numFmtId="0" fontId="34" fillId="22" borderId="0" xfId="0" applyNumberFormat="1" applyFont="1" applyFill="1" applyBorder="1" applyAlignment="1">
      <x:alignment vertical="top" wrapText="1"/>
    </x:xf>
    <x:xf numFmtId="0" fontId="36" fillId="5" borderId="0" xfId="0" applyNumberFormat="1" applyFont="1" applyFill="1" applyBorder="1"/>
    <x:xf numFmtId="0" fontId="36" fillId="5" borderId="0" xfId="0" applyNumberFormat="1" applyFont="1" applyFill="1" applyBorder="1" applyAlignment="1">
      <x:alignment wrapText="1"/>
    </x:xf>
    <x:xf numFmtId="0" fontId="36" fillId="5" borderId="0" xfId="0" applyNumberFormat="1" applyFont="1" applyFill="1" applyBorder="1" applyAlignment="1">
      <x:alignment vertical="center" wrapText="1"/>
    </x:xf>
    <x:xf numFmtId="211" fontId="27" fillId="0" borderId="0" xfId="0" applyNumberFormat="1" applyFont="1" applyFill="1" applyBorder="1" applyAlignment="1">
      <x:alignment vertical="top" wrapText="1"/>
    </x:xf>
    <x:xf numFmtId="211" fontId="34" fillId="0" borderId="0" xfId="0" applyNumberFormat="1" applyFont="1" applyFill="1" applyBorder="1" applyAlignment="1">
      <x:alignment vertical="top" wrapText="1"/>
    </x:xf>
    <x:xf numFmtId="0" fontId="27" fillId="12" borderId="0" xfId="0" applyNumberFormat="1" applyFont="1" applyFill="1" applyBorder="1" applyAlignment="1">
      <x:alignment vertical="top" wrapText="1"/>
    </x:xf>
    <x:xf numFmtId="0" fontId="35" fillId="12" borderId="0" xfId="0" applyNumberFormat="1" applyFont="1" applyFill="1" applyBorder="1" applyAlignment="1">
      <x:alignment vertical="top" wrapText="1"/>
    </x:xf>
    <x:xf numFmtId="0" fontId="0" fillId="5" borderId="0" xfId="0" applyNumberFormat="1" applyFont="1" applyFill="1" applyBorder="1" applyAlignment="1">
      <x:alignment horizontal="center" wrapText="1"/>
    </x:xf>
    <x:xf numFmtId="0" fontId="16" fillId="5" borderId="0" xfId="0" applyNumberFormat="1" applyFont="1" applyFill="1" applyBorder="1" applyAlignment="1">
      <x:alignment horizontal="center" wrapText="1"/>
    </x:xf>
    <x:xf numFmtId="0" fontId="35" fillId="0" borderId="0" xfId="0" applyNumberFormat="1" applyFont="1" applyFill="1" applyBorder="1" applyAlignment="1">
      <x:alignment vertical="top" wrapText="1"/>
    </x:xf>
    <x:xf numFmtId="0" fontId="0" fillId="94" borderId="0" xfId="0" applyNumberFormat="1" applyFont="1" applyFill="1" applyBorder="1"/>
    <x:xf numFmtId="0" fontId="1" fillId="94" borderId="0" xfId="0" applyNumberFormat="1" applyFont="1" applyFill="1" applyBorder="1"/>
    <x:xf numFmtId="0" fontId="1" fillId="94" borderId="0" xfId="0" applyNumberFormat="1" applyFont="1" applyFill="1" applyBorder="1" applyAlignment="1">
      <x:alignment horizontal="left"/>
    </x:xf>
    <x:xf numFmtId="0" fontId="1" fillId="94" borderId="0" xfId="0" applyNumberFormat="1" applyFont="1" applyFill="1" applyBorder="1" applyAlignment="1">
      <x:alignment horizontal="left" vertical="center"/>
    </x:xf>
    <x:xf numFmtId="0" fontId="0" fillId="95" borderId="0" xfId="0" applyNumberFormat="1" applyFont="1" applyFill="1" applyBorder="1"/>
    <x:xf numFmtId="0" fontId="18" fillId="95" borderId="0" xfId="0" applyNumberFormat="1" applyFont="1" applyFill="1" applyBorder="1"/>
    <x:xf numFmtId="0" fontId="18" fillId="95" borderId="0" xfId="0" applyNumberFormat="1" applyFont="1" applyFill="1" applyBorder="1" applyAlignment="1">
      <x:alignment wrapText="1"/>
    </x:xf>
    <x:xf numFmtId="0" fontId="18" fillId="95" borderId="0" xfId="0" applyNumberFormat="1" applyFont="1" applyFill="1" applyBorder="1" applyAlignment="1">
      <x:alignment vertical="center" wrapText="1"/>
    </x:xf>
    <x:xf numFmtId="0" fontId="3" fillId="94" borderId="0" xfId="0" applyNumberFormat="1" applyFont="1" applyFill="1" applyBorder="1"/>
    <x:xf numFmtId="0" fontId="3" fillId="94" borderId="0" xfId="0" applyNumberFormat="1" applyFont="1" applyFill="1" applyBorder="1" applyAlignment="1">
      <x:alignment horizontal="left"/>
    </x:xf>
    <x:xf numFmtId="0" fontId="3" fillId="94" borderId="0" xfId="0" applyNumberFormat="1" applyFont="1" applyFill="1" applyBorder="1" applyAlignment="1">
      <x:alignment horizontal="left" vertical="center"/>
    </x:xf>
    <x:xf numFmtId="0" fontId="0" fillId="96" borderId="0" xfId="0" applyNumberFormat="1" applyFont="1" applyFill="1" applyBorder="1"/>
    <x:xf numFmtId="0" fontId="3" fillId="96" borderId="0" xfId="0" applyNumberFormat="1" applyFont="1" applyFill="1" applyBorder="1"/>
    <x:xf numFmtId="0" fontId="3" fillId="96" borderId="172" xfId="0" applyNumberFormat="1" applyFont="1" applyFill="1" applyBorder="1"/>
    <x:xf numFmtId="0" fontId="3" fillId="96" borderId="173" xfId="0" applyNumberFormat="1" applyFont="1" applyFill="1" applyBorder="1"/>
    <x:xf numFmtId="0" fontId="3" fillId="96" borderId="174" xfId="0" applyNumberFormat="1" applyFont="1" applyFill="1" applyBorder="1"/>
    <x:xf numFmtId="0" fontId="3" fillId="96" borderId="172" xfId="0" applyNumberFormat="1" applyFont="1" applyFill="1" applyBorder="1" applyAlignment="1">
      <x:alignment wrapText="1"/>
    </x:xf>
    <x:xf numFmtId="0" fontId="3" fillId="96" borderId="173" xfId="0" applyNumberFormat="1" applyFont="1" applyFill="1" applyBorder="1" applyAlignment="1">
      <x:alignment wrapText="1"/>
    </x:xf>
    <x:xf numFmtId="0" fontId="3" fillId="96" borderId="174" xfId="0" applyNumberFormat="1" applyFont="1" applyFill="1" applyBorder="1" applyAlignment="1">
      <x:alignment wrapText="1"/>
    </x:xf>
    <x:xf numFmtId="0" fontId="3" fillId="96" borderId="172" xfId="0" applyNumberFormat="1" applyFont="1" applyFill="1" applyBorder="1" applyAlignment="1">
      <x:alignment horizontal="center" wrapText="1"/>
    </x:xf>
    <x:xf numFmtId="0" fontId="3" fillId="96" borderId="173" xfId="0" applyNumberFormat="1" applyFont="1" applyFill="1" applyBorder="1" applyAlignment="1">
      <x:alignment horizontal="center" wrapText="1"/>
    </x:xf>
    <x:xf numFmtId="0" fontId="3" fillId="96" borderId="174" xfId="0" applyNumberFormat="1" applyFont="1" applyFill="1" applyBorder="1" applyAlignment="1">
      <x:alignment horizontal="center" wrapText="1"/>
    </x:xf>
    <x:xf numFmtId="0" fontId="3" fillId="96" borderId="172" xfId="0" applyNumberFormat="1" applyFont="1" applyFill="1" applyBorder="1" applyAlignment="1">
      <x:alignment horizontal="center" vertical="center" wrapText="1"/>
    </x:xf>
    <x:xf numFmtId="0" fontId="3" fillId="96" borderId="173" xfId="0" applyNumberFormat="1" applyFont="1" applyFill="1" applyBorder="1" applyAlignment="1">
      <x:alignment horizontal="center" vertical="center" wrapText="1"/>
    </x:xf>
    <x:xf numFmtId="0" fontId="3" fillId="96" borderId="174" xfId="0" applyNumberFormat="1" applyFont="1" applyFill="1" applyBorder="1" applyAlignment="1">
      <x:alignment horizontal="center" vertical="center" wrapText="1"/>
    </x:xf>
    <x:xf numFmtId="0" fontId="27" fillId="0" borderId="175" xfId="0" applyNumberFormat="1" applyFont="1" applyFill="1" applyBorder="1"/>
    <x:xf numFmtId="0" fontId="27" fillId="0" borderId="175" xfId="0" applyNumberFormat="1" applyFont="1" applyFill="1" applyBorder="1" applyAlignment="1">
      <x:alignment wrapText="1"/>
    </x:xf>
    <x:xf numFmtId="0" fontId="27" fillId="0" borderId="175" xfId="0" applyNumberFormat="1" applyFont="1" applyFill="1" applyBorder="1" applyAlignment="1">
      <x:alignment vertical="top" wrapText="1"/>
    </x:xf>
    <x:xf numFmtId="0" fontId="27" fillId="97" xfId="0" applyNumberFormat="1" applyFont="1" applyFill="1" applyBorder="0" applyAlignment="1">
      <x:alignment vertical="top" wrapText="1"/>
    </x:xf>
    <x:xf numFmtId="0" fontId="35" fillId="97" xfId="0" applyNumberFormat="1" applyFont="1" applyFill="1" applyBorder="0" applyAlignment="1">
      <x:alignment vertical="top" wrapText="1"/>
    </x:xf>
    <x:xf numFmtId="0" fontId="27" fillId="98" xfId="0" applyNumberFormat="1" applyFont="1" applyFill="1" applyBorder="0" applyAlignment="1">
      <x:alignment vertical="top" wrapText="1"/>
    </x:xf>
    <x:xf numFmtId="0" fontId="35" fillId="98" xfId="0" applyNumberFormat="1" applyFont="1" applyFill="1" applyBorder="0" applyAlignment="1">
      <x:alignment vertical="top" wrapText="1"/>
    </x:xf>
    <x:xf numFmtId="0" fontId="27" fillId="99" xfId="0" applyNumberFormat="1" applyFont="1" applyFill="1" applyBorder="0" applyAlignment="1">
      <x:alignment vertical="top" wrapText="1"/>
    </x:xf>
    <x:xf numFmtId="0" fontId="27" fillId="99" borderId="175" xfId="0" applyNumberFormat="1" applyFont="1" applyFill="1" applyBorder="1" applyAlignment="1">
      <x:alignment vertical="top" wrapText="1"/>
    </x:xf>
    <x:xf numFmtId="0" fontId="35" fillId="99" xfId="0" applyNumberFormat="1" applyFont="1" applyFill="1" applyBorder="0" applyAlignment="1">
      <x:alignment vertical="top" wrapText="1"/>
    </x:xf>
    <x:xf numFmtId="0" fontId="35" fillId="99" borderId="175" xfId="0" applyNumberFormat="1" applyFont="1" applyFill="1" applyBorder="1" applyAlignment="1">
      <x:alignment vertical="top" wrapText="1"/>
    </x:xf>
    <x:xf numFmtId="0" fontId="34" fillId="0" borderId="175" xfId="0" applyNumberFormat="1" applyFont="1" applyFill="1" applyBorder="1" applyAlignment="1">
      <x:alignment vertical="top" wrapText="1"/>
    </x:xf>
    <x:xf numFmtId="220" fontId="34" fillId="0" xfId="0" applyNumberFormat="1" applyFont="1" applyFill="1" applyBorder="0" applyAlignment="1">
      <x:alignment vertical="top" wrapText="1"/>
    </x:xf>
    <x:xf numFmtId="220" fontId="34" fillId="0" borderId="175" xfId="0" applyNumberFormat="1" applyFont="1" applyFill="1" applyBorder="1" applyAlignment="1">
      <x:alignment vertical="top" wrapText="1"/>
    </x:xf>
    <x:xf numFmtId="219" fontId="34" fillId="0" borderId="175" xfId="0" applyNumberFormat="1" applyFont="1" applyFill="1" applyBorder="1" applyAlignment="1">
      <x:alignment vertical="top" wrapText="1"/>
    </x:xf>
    <x:xf numFmtId="0" fontId="34" fillId="98" xfId="0" applyNumberFormat="1" applyFont="1" applyFill="1" applyBorder="0" applyAlignment="1">
      <x:alignment vertical="top" wrapText="1"/>
    </x:xf>
    <x:xf numFmtId="0" fontId="34" fillId="99" xfId="0" applyNumberFormat="1" applyFont="1" applyFill="1" applyBorder="0" applyAlignment="1">
      <x:alignment vertical="top" wrapText="1"/>
    </x:xf>
    <x:xf numFmtId="0" fontId="34" fillId="99" borderId="175" xfId="0" applyNumberFormat="1" applyFont="1" applyFill="1" applyBorder="1" applyAlignment="1">
      <x:alignment vertical="top" wrapText="1"/>
    </x:xf>
    <x:xf numFmtId="0" fontId="0" fillId="98" borderId="0" xfId="0" applyNumberFormat="1" applyFont="1" applyFill="1" applyBorder="1"/>
    <x:xf numFmtId="0" fontId="36" fillId="98" borderId="0" xfId="0" applyNumberFormat="1" applyFont="1" applyFill="1" applyBorder="1"/>
    <x:xf numFmtId="0" fontId="36" fillId="98" borderId="0" xfId="0" applyNumberFormat="1" applyFont="1" applyFill="1" applyBorder="1" applyAlignment="1">
      <x:alignment wrapText="1"/>
    </x:xf>
    <x:xf numFmtId="0" fontId="36" fillId="98" borderId="0" xfId="0" applyNumberFormat="1" applyFont="1" applyFill="1" applyBorder="1" applyAlignment="1">
      <x:alignment vertical="center" wrapText="1"/>
    </x:xf>
    <x:xf numFmtId="0" fontId="34" fillId="97" xfId="0" applyNumberFormat="1" applyFont="1" applyFill="1" applyBorder="0" applyAlignment="1">
      <x:alignment vertical="top" wrapText="1"/>
    </x:xf>
    <x:xf numFmtId="0" fontId="34" fillId="98" borderId="175" xfId="0" applyNumberFormat="1" applyFont="1" applyFill="1" applyBorder="1" applyAlignment="1">
      <x:alignment vertical="top" wrapText="1"/>
    </x:xf>
    <x:xf numFmtId="0" fontId="35" fillId="98" borderId="175" xfId="0" applyNumberFormat="1" applyFont="1" applyFill="1" applyBorder="1" applyAlignment="1">
      <x:alignment vertical="top" wrapText="1"/>
    </x:xf>
    <x:xf numFmtId="0" fontId="0" fillId="98" borderId="0" xfId="0" applyNumberFormat="1" applyFont="1" applyFill="1" applyBorder="1" applyAlignment="1">
      <x:alignment horizontal="center" wrapText="1"/>
    </x:xf>
    <x:xf numFmtId="0" fontId="16" fillId="98" borderId="0" xfId="0" applyNumberFormat="1" applyFont="1" applyFill="1" applyBorder="1" applyAlignment="1">
      <x:alignment horizontal="center" wrapText="1"/>
    </x:xf>
    <x:xf numFmtId="0" fontId="35" fillId="0" borderId="175" xfId="0" applyNumberFormat="1" applyFont="1" applyFill="1" applyBorder="1" applyAlignment="1">
      <x:alignment vertical="top" wrapText="1"/>
    </x:xf>
    <x:xf numFmtId="0" fontId="16" fillId="99" borderId="0" xfId="0" applyNumberFormat="1" applyFont="1" applyFill="1" applyBorder="1" applyAlignment="1">
      <x:alignment horizontal="center" wrapText="1"/>
    </x:xf>
    <x:xf numFmtId="220" fontId="34" fillId="0" borderId="0" xfId="0" applyNumberFormat="1" applyFont="1" applyFill="1" applyBorder="1" applyAlignment="1">
      <x:alignment vertical="top" wrapText="1"/>
    </x:xf>
    <x:xf numFmtId="0" fontId="34" fillId="5" borderId="0" xfId="0" applyNumberFormat="1" applyFont="1" applyFill="1" applyBorder="1" applyAlignment="1">
      <x:alignment vertical="top" wrapText="1"/>
    </x:xf>
    <x:xf numFmtId="0" fontId="16" fillId="22" borderId="0" xfId="0" applyNumberFormat="1" applyFont="1" applyFill="1" applyBorder="1" applyAlignment="1">
      <x:alignment horizontal="center" wrapText="1"/>
    </x:xf>
    <x:xf numFmtId="211" fontId="4" fillId="0" xfId="0" applyNumberFormat="1" applyFont="1" applyFill="1" applyBorder="0" applyAlignment="1">
      <x:alignment vertical="top" wrapText="1"/>
    </x:xf>
    <x:xf numFmtId="211" fontId="4" fillId="100" borderId="0" xfId="0" applyNumberFormat="1" applyFont="1" applyFill="1" applyBorder="1" applyAlignment="1">
      <x:alignment vertical="top" wrapText="1"/>
    </x:xf>
    <x:xf numFmtId="211" fontId="6" fillId="100" borderId="0" xfId="0" applyNumberFormat="1" applyFont="1" applyFill="1" applyBorder="1" applyAlignment="1">
      <x:alignment vertical="top" wrapText="1"/>
    </x:xf>
    <x:xf numFmtId="211" fontId="0" fillId="100" borderId="0" xfId="0" applyNumberFormat="1" applyFont="1" applyFill="1" applyBorder="1" applyAlignment="1">
      <x:alignment vertical="top" wrapText="1"/>
    </x:xf>
    <x:xf numFmtId="211" fontId="4" fillId="100" xfId="0" applyNumberFormat="1" applyFont="1" applyFill="1" applyBorder="0" applyAlignment="1">
      <x:alignment vertical="top" wrapText="1"/>
    </x:xf>
    <x:xf numFmtId="211" fontId="6" fillId="100" xfId="0" applyNumberFormat="1" applyFont="1" applyFill="1" applyBorder="0" applyAlignment="1">
      <x:alignment vertical="top" wrapText="1"/>
    </x:xf>
    <x:xf numFmtId="211" fontId="0" fillId="100" xfId="0" applyNumberFormat="1" applyFont="1" applyFill="1" applyBorder="0" applyAlignment="1">
      <x:alignment vertical="top" wrapText="1"/>
    </x:xf>
    <x:xf numFmtId="211" fontId="6" fillId="101" borderId="0" xfId="0" applyNumberFormat="1" applyFont="1" applyFill="1" applyBorder="1" applyAlignment="1">
      <x:alignment vertical="top" wrapText="1"/>
    </x:xf>
    <x:xf numFmtId="211" fontId="6" fillId="101" xfId="0" applyNumberFormat="1" applyFont="1" applyFill="1" applyBorder="0" applyAlignment="1">
      <x:alignment vertical="top" wrapText="1"/>
    </x:xf>
    <x:xf numFmtId="211" fontId="0" fillId="101" borderId="0" xfId="0" applyNumberFormat="1" applyFont="1" applyFill="1" applyBorder="1" applyAlignment="1">
      <x:alignment vertical="top" wrapText="1"/>
    </x:xf>
    <x:xf numFmtId="211" fontId="0" fillId="101" xfId="0" applyNumberFormat="1" applyFont="1" applyFill="1" applyBorder="0" applyAlignment="1">
      <x:alignment vertical="top" wrapText="1"/>
    </x:xf>
    <x:xf numFmtId="211" fontId="4" fillId="0" borderId="0" xfId="0" applyNumberFormat="1" applyFont="1" applyFill="1" applyBorder="1" applyAlignment="1">
      <x:alignment wrapText="1"/>
    </x:xf>
    <x:xf numFmtId="211" fontId="4" fillId="100" borderId="0" xfId="0" applyNumberFormat="1" applyFont="1" applyFill="1" applyBorder="1" applyAlignment="1">
      <x:alignment wrapText="1"/>
    </x:xf>
    <x:xf numFmtId="211" fontId="0" fillId="100" borderId="0" xfId="0" applyNumberFormat="1" applyFont="1" applyFill="1" applyBorder="1" applyAlignment="1">
      <x:alignment wrapText="1"/>
    </x:xf>
    <x:xf numFmtId="0" fontId="3" fillId="101" borderId="0" xfId="0" applyNumberFormat="1" applyFont="1" applyFill="1" applyBorder="1" applyAlignment="1">
      <x:alignment horizontal="left" vertical="center" wrapText="1"/>
    </x:xf>
    <x:xf numFmtId="0" fontId="3" fillId="101" borderId="0" xfId="0" applyNumberFormat="1" applyFont="1" applyFill="1" applyBorder="1" applyAlignment="1">
      <x:alignment horizontal="center" vertical="center" wrapText="1"/>
    </x:xf>
    <x:xf numFmtId="0" fontId="0" fillId="101" borderId="0" xfId="0" applyNumberFormat="1" applyFont="1" applyFill="1" applyBorder="1" applyAlignment="1">
      <x:alignment wrapText="1"/>
    </x:xf>
    <x:xf numFmtId="202" fontId="5" fillId="101" borderId="0" xfId="0" applyNumberFormat="1" applyFont="1" applyFill="1" applyBorder="1" applyAlignment="1">
      <x:alignment wrapText="1"/>
    </x:xf>
    <x:xf numFmtId="204" fontId="4" fillId="100" borderId="0" xfId="0" applyNumberFormat="1" applyFont="1" applyFill="1" applyBorder="1" applyAlignment="1">
      <x:alignment wrapText="1"/>
    </x:xf>
    <x:xf numFmtId="204" fontId="0" fillId="100" borderId="0" xfId="0" applyNumberFormat="1" applyFont="1" applyFill="1" applyBorder="1" applyAlignment="1">
      <x:alignment wrapText="1"/>
    </x:xf>
    <x:xf numFmtId="204" fontId="5" fillId="100" borderId="0" xfId="0" applyNumberFormat="1" applyFont="1" applyFill="1" applyBorder="1" applyAlignment="1">
      <x:alignment wrapText="1"/>
    </x:xf>
    <x:xf numFmtId="202" fontId="4" fillId="100" borderId="0" xfId="0" applyNumberFormat="1" applyFont="1" applyFill="1" applyBorder="1" applyAlignment="1">
      <x:alignment wrapText="1"/>
    </x:xf>
    <x:xf numFmtId="200" fontId="4" fillId="100" borderId="0" xfId="0" applyNumberFormat="1" applyFont="1" applyFill="1" applyBorder="1" applyAlignment="1">
      <x:alignment wrapText="1"/>
    </x:xf>
    <x:xf numFmtId="200" fontId="0" fillId="100" borderId="0" xfId="0" applyNumberFormat="1" applyFont="1" applyFill="1" applyBorder="1" applyAlignment="1">
      <x:alignment wrapText="1"/>
    </x:xf>
    <x:xf numFmtId="202" fontId="0" fillId="100" borderId="0" xfId="0" applyNumberFormat="1" applyFont="1" applyFill="1" applyBorder="1" applyAlignment="1">
      <x:alignment wrapText="1"/>
    </x:xf>
    <x:xf numFmtId="200" fontId="5" fillId="100" borderId="0" xfId="0" applyNumberFormat="1" applyFont="1" applyFill="1" applyBorder="1" applyAlignment="1">
      <x:alignment wrapText="1"/>
    </x:xf>
    <x:xf numFmtId="200" fontId="0" fillId="101" borderId="0" xfId="0" applyNumberFormat="1" applyFont="1" applyFill="1" applyBorder="1" applyAlignment="1">
      <x:alignment wrapText="1"/>
    </x:xf>
    <x:xf numFmtId="202" fontId="0" fillId="101" borderId="0" xfId="0" applyNumberFormat="1" applyFont="1" applyFill="1" applyBorder="1" applyAlignment="1">
      <x:alignment wrapText="1"/>
    </x:xf>
    <x:xf numFmtId="200" fontId="5" fillId="101" borderId="0" xfId="0" applyNumberFormat="1" applyFont="1" applyFill="1" applyBorder="1" applyAlignment="1">
      <x:alignment wrapText="1"/>
    </x:xf>
    <x:xf numFmtId="211" fontId="0" fillId="101" borderId="0" xfId="0" applyNumberFormat="1" applyFont="1" applyFill="1" applyBorder="1" applyAlignment="1">
      <x:alignment wrapText="1"/>
    </x:xf>
    <x:xf numFmtId="211" fontId="5" fillId="101" borderId="0" xfId="0" applyNumberFormat="1" applyFont="1" applyFill="1" applyBorder="1" applyAlignment="1">
      <x:alignment wrapText="1"/>
    </x:xf>
    <x:xf numFmtId="211" fontId="5" fillId="100" borderId="0" xfId="0" applyNumberFormat="1" applyFont="1" applyFill="1" applyBorder="1" applyAlignment="1">
      <x:alignment wrapText="1"/>
    </x:xf>
    <x:xf numFmtId="211" fontId="7" fillId="3" borderId="0" xfId="0" applyNumberFormat="1" applyFont="1" applyFill="1" applyBorder="1" applyAlignment="1">
      <x:alignment wrapText="1"/>
    </x:xf>
    <x:xf numFmtId="200" fontId="6" fillId="101" borderId="0" xfId="0" applyNumberFormat="1" applyFont="1" applyFill="1" applyBorder="1" applyAlignment="1">
      <x:alignment wrapText="1"/>
    </x:xf>
    <x:xf numFmtId="200" fontId="7" fillId="101" borderId="0" xfId="0" applyNumberFormat="1" applyFont="1" applyFill="1" applyBorder="1" applyAlignment="1">
      <x:alignment wrapText="1"/>
    </x:xf>
    <x:xf numFmtId="202" fontId="7" fillId="101" borderId="0" xfId="0" applyNumberFormat="1" applyFont="1" applyFill="1" applyBorder="1" applyAlignment="1">
      <x:alignment wrapText="1"/>
    </x:xf>
    <x:xf numFmtId="0" fontId="4" fillId="100" borderId="0" xfId="0" applyNumberFormat="1" applyFont="1" applyFill="1" applyBorder="1" applyAlignment="1">
      <x:alignment wrapText="1"/>
    </x:xf>
    <x:xf numFmtId="0" fontId="33" fillId="100" borderId="0" xfId="0" applyNumberFormat="1" applyFont="1" applyFill="1" applyBorder="1" applyAlignment="1">
      <x:alignment wrapText="1"/>
    </x:xf>
    <x:xf numFmtId="0" fontId="1" fillId="100" borderId="0" xfId="0" applyNumberFormat="1" applyFont="1" applyFill="1" applyBorder="1" applyAlignment="1">
      <x:alignment horizontal="left" vertical="center"/>
    </x:xf>
    <x:xf numFmtId="0" fontId="2" fillId="100" borderId="0" xfId="0" applyNumberFormat="1" applyFont="1" applyFill="1" applyBorder="1" applyAlignment="1">
      <x:alignment horizontal="left" vertical="center" wrapText="1"/>
    </x:xf>
    <x:xf numFmtId="0" fontId="39" fillId="100" borderId="0" xfId="0" applyNumberFormat="1" applyFont="1" applyFill="1" applyBorder="1" applyAlignment="1">
      <x:alignment horizontal="left" vertical="center"/>
    </x:xf>
    <x:xf numFmtId="0" fontId="40" fillId="100" borderId="0" xfId="0" applyNumberFormat="1" applyFont="1" applyFill="1" applyBorder="1" applyAlignment="1">
      <x:alignment horizontal="left" vertical="center" wrapText="1"/>
    </x:xf>
    <x:xf numFmtId="0" fontId="0" fillId="100" borderId="0" xfId="0" applyNumberFormat="1" applyFont="1" applyFill="1" applyBorder="1"/>
    <x:xf numFmtId="0" fontId="33" fillId="100" borderId="0" xfId="0" applyNumberFormat="1" applyFont="1" applyFill="1" applyBorder="1"/>
    <x:xf numFmtId="0" fontId="33" fillId="100" borderId="0" xfId="0" applyNumberFormat="1" applyFont="1" applyFill="1" applyBorder="1" applyAlignment="1">
      <x:alignment horizontal="center"/>
    </x:xf>
    <x:xf numFmtId="0" fontId="33" fillId="100" borderId="0" xfId="0" applyNumberFormat="1" applyFont="1" applyFill="1" applyBorder="1" applyAlignment="1">
      <x:alignment horizontal="center" vertical="center"/>
    </x:xf>
    <x:xf numFmtId="0" fontId="0" fillId="102" borderId="0" xfId="0" applyNumberFormat="1" applyFont="1" applyFill="1" applyBorder="1"/>
    <x:xf numFmtId="0" fontId="1" fillId="102" borderId="0" xfId="0" applyNumberFormat="1" applyFont="1" applyFill="1" applyBorder="1"/>
    <x:xf numFmtId="0" fontId="1" fillId="102" borderId="0" xfId="0" applyNumberFormat="1" applyFont="1" applyFill="1" applyBorder="1" applyAlignment="1">
      <x:alignment vertical="center"/>
    </x:xf>
    <x:xf numFmtId="0" fontId="0" fillId="103" borderId="0" xfId="0" applyNumberFormat="1" applyFont="1" applyFill="1" applyBorder="1"/>
    <x:xf numFmtId="0" fontId="29" fillId="103" borderId="0" xfId="0" applyNumberFormat="1" applyFont="1" applyFill="1" applyBorder="1"/>
    <x:xf numFmtId="0" fontId="29" fillId="103" borderId="0" xfId="0" applyNumberFormat="1" applyFont="1" applyFill="1" applyBorder="1" applyAlignment="1">
      <x:alignment wrapText="1"/>
    </x:xf>
    <x:xf numFmtId="0" fontId="3" fillId="102" borderId="0" xfId="0" applyNumberFormat="1" applyFont="1" applyFill="1" applyBorder="1"/>
    <x:xf numFmtId="0" fontId="3" fillId="102" borderId="0" xfId="0" applyNumberFormat="1" applyFont="1" applyFill="1" applyBorder="1" applyAlignment="1">
      <x:alignment vertical="center"/>
    </x:xf>
    <x:xf numFmtId="0" fontId="0" fillId="104" borderId="0" xfId="0" applyNumberFormat="1" applyFont="1" applyFill="1" applyBorder="1"/>
    <x:xf numFmtId="0" fontId="3" fillId="104" borderId="0" xfId="0" applyNumberFormat="1" applyFont="1" applyFill="1" applyBorder="1"/>
    <x:xf numFmtId="0" fontId="3" fillId="104" borderId="0" xfId="0" applyNumberFormat="1" applyFont="1" applyFill="1" applyBorder="1" applyAlignment="1">
      <x:alignment wrapText="1"/>
    </x:xf>
    <x:xf numFmtId="0" fontId="3" fillId="104" borderId="0" xfId="0" applyNumberFormat="1" applyFont="1" applyFill="1" applyBorder="1" applyAlignment="1">
      <x:alignment horizontal="center" wrapText="1"/>
    </x:xf>
    <x:xf numFmtId="0" fontId="3" fillId="104" borderId="0" xfId="0" applyNumberFormat="1" applyFont="1" applyFill="1" applyBorder="1" applyAlignment="1">
      <x:alignment horizontal="center" vertical="center" wrapText="1"/>
    </x:xf>
    <x:xf numFmtId="0" fontId="0" fillId="100" borderId="0" xfId="0" applyNumberFormat="1" applyFont="1" applyFill="1" applyBorder="1" applyAlignment="1">
      <x:alignment wrapText="1"/>
    </x:xf>
    <x:xf numFmtId="0" fontId="0" fillId="105" borderId="0" xfId="0" applyNumberFormat="1" applyFont="1" applyFill="1" applyBorder="1" applyAlignment="1">
      <x:alignment wrapText="1"/>
    </x:xf>
    <x:xf numFmtId="211" fontId="0" fillId="105" borderId="0" xfId="0" applyNumberFormat="1" applyFont="1" applyFill="1" applyBorder="1" applyAlignment="1">
      <x:alignment wrapText="1"/>
    </x:xf>
    <x:xf numFmtId="0" fontId="12" fillId="103" borderId="0" xfId="0" applyNumberFormat="1" applyFont="1" applyFill="1" applyBorder="1"/>
    <x:xf numFmtId="0" fontId="12" fillId="103" borderId="0" xfId="0" applyNumberFormat="1" applyFont="1" applyFill="1" applyBorder="1" applyAlignment="1">
      <x:alignment wrapText="1"/>
    </x:xf>
    <x:xf numFmtId="211" fontId="4" fillId="22" borderId="0" xfId="0" applyNumberFormat="1" applyFont="1" applyFill="1" applyBorder="1" applyAlignment="1">
      <x:alignment vertical="top" wrapText="1"/>
    </x:xf>
    <x:xf numFmtId="211" fontId="6" fillId="22" borderId="0" xfId="0" applyNumberFormat="1" applyFont="1" applyFill="1" applyBorder="1" applyAlignment="1">
      <x:alignment vertical="top" wrapText="1"/>
    </x:xf>
    <x:xf numFmtId="211" fontId="0" fillId="22" borderId="0" xfId="0" applyNumberFormat="1" applyFont="1" applyFill="1" applyBorder="1" applyAlignment="1">
      <x:alignment vertical="top" wrapText="1"/>
    </x:xf>
    <x:xf numFmtId="211" fontId="4" fillId="22" xfId="0" applyNumberFormat="1" applyFont="1" applyFill="1" applyBorder="0" applyAlignment="1">
      <x:alignment vertical="top" wrapText="1"/>
    </x:xf>
    <x:xf numFmtId="211" fontId="6" fillId="22" xfId="0" applyNumberFormat="1" applyFont="1" applyFill="1" applyBorder="0" applyAlignment="1">
      <x:alignment vertical="top" wrapText="1"/>
    </x:xf>
    <x:xf numFmtId="211" fontId="0" fillId="22" xfId="0" applyNumberFormat="1" applyFont="1" applyFill="1" applyBorder="0" applyAlignment="1">
      <x:alignment vertical="top" wrapText="1"/>
    </x:xf>
    <x:xf numFmtId="211" fontId="6" fillId="5" borderId="0" xfId="0" applyNumberFormat="1" applyFont="1" applyFill="1" applyBorder="1" applyAlignment="1">
      <x:alignment vertical="top" wrapText="1"/>
    </x:xf>
    <x:xf numFmtId="211" fontId="6" fillId="5" xfId="0" applyNumberFormat="1" applyFont="1" applyFill="1" applyBorder="0" applyAlignment="1">
      <x:alignment vertical="top" wrapText="1"/>
    </x:xf>
    <x:xf numFmtId="211" fontId="0" fillId="5" borderId="0" xfId="0" applyNumberFormat="1" applyFont="1" applyFill="1" applyBorder="1" applyAlignment="1">
      <x:alignment vertical="top" wrapText="1"/>
    </x:xf>
    <x:xf numFmtId="211" fontId="0" fillId="5" xfId="0" applyNumberFormat="1" applyFont="1" applyFill="1" applyBorder="0" applyAlignment="1">
      <x:alignment vertical="top" wrapText="1"/>
    </x:xf>
    <x:xf numFmtId="211" fontId="4" fillId="22" borderId="0" xfId="0" applyNumberFormat="1" applyFont="1" applyFill="1" applyBorder="1" applyAlignment="1">
      <x:alignment wrapText="1"/>
    </x:xf>
    <x:xf numFmtId="211" fontId="0" fillId="22" borderId="0" xfId="0" applyNumberFormat="1" applyFont="1" applyFill="1" applyBorder="1" applyAlignment="1">
      <x:alignment wrapText="1"/>
    </x:xf>
    <x:xf numFmtId="0" fontId="3" fillId="5" borderId="0" xfId="0" applyNumberFormat="1" applyFont="1" applyFill="1" applyBorder="1" applyAlignment="1">
      <x:alignment horizontal="left" vertical="center" wrapText="1"/>
    </x:xf>
    <x:xf numFmtId="0" fontId="3" fillId="5" borderId="0" xfId="0" applyNumberFormat="1" applyFont="1" applyFill="1" applyBorder="1" applyAlignment="1">
      <x:alignment horizontal="center" vertical="center" wrapText="1"/>
    </x:xf>
    <x:xf numFmtId="202" fontId="5" fillId="5" borderId="0" xfId="0" applyNumberFormat="1" applyFont="1" applyFill="1" applyBorder="1" applyAlignment="1">
      <x:alignment wrapText="1"/>
    </x:xf>
    <x:xf numFmtId="204" fontId="4" fillId="22" borderId="0" xfId="0" applyNumberFormat="1" applyFont="1" applyFill="1" applyBorder="1" applyAlignment="1">
      <x:alignment wrapText="1"/>
    </x:xf>
    <x:xf numFmtId="204" fontId="0" fillId="22" borderId="0" xfId="0" applyNumberFormat="1" applyFont="1" applyFill="1" applyBorder="1" applyAlignment="1">
      <x:alignment wrapText="1"/>
    </x:xf>
    <x:xf numFmtId="204" fontId="5" fillId="22" borderId="0" xfId="0" applyNumberFormat="1" applyFont="1" applyFill="1" applyBorder="1" applyAlignment="1">
      <x:alignment wrapText="1"/>
    </x:xf>
    <x:xf numFmtId="202" fontId="4" fillId="22" borderId="0" xfId="0" applyNumberFormat="1" applyFont="1" applyFill="1" applyBorder="1" applyAlignment="1">
      <x:alignment wrapText="1"/>
    </x:xf>
    <x:xf numFmtId="200" fontId="4" fillId="22" borderId="0" xfId="0" applyNumberFormat="1" applyFont="1" applyFill="1" applyBorder="1" applyAlignment="1">
      <x:alignment wrapText="1"/>
    </x:xf>
    <x:xf numFmtId="202" fontId="0" fillId="22" borderId="0" xfId="0" applyNumberFormat="1" applyFont="1" applyFill="1" applyBorder="1" applyAlignment="1">
      <x:alignment wrapText="1"/>
    </x:xf>
    <x:xf numFmtId="200"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200" fontId="5" fillId="5" borderId="0" xfId="0" applyNumberFormat="1" applyFont="1" applyFill="1" applyBorder="1" applyAlignment="1">
      <x:alignment wrapText="1"/>
    </x:xf>
    <x:xf numFmtId="211" fontId="0" fillId="5" borderId="0" xfId="0" applyNumberFormat="1" applyFont="1" applyFill="1" applyBorder="1" applyAlignment="1">
      <x:alignment wrapText="1"/>
    </x:xf>
    <x:xf numFmtId="211" fontId="5" fillId="5" borderId="0" xfId="0" applyNumberFormat="1" applyFont="1" applyFill="1" applyBorder="1" applyAlignment="1">
      <x:alignment wrapText="1"/>
    </x:xf>
    <x:xf numFmtId="211" fontId="5" fillId="22" borderId="0" xfId="0" applyNumberFormat="1" applyFont="1" applyFill="1" applyBorder="1" applyAlignment="1">
      <x:alignment wrapText="1"/>
    </x:xf>
    <x:xf numFmtId="200" fontId="6" fillId="5" borderId="0" xfId="0" applyNumberFormat="1" applyFont="1" applyFill="1" applyBorder="1" applyAlignment="1">
      <x:alignment wrapText="1"/>
    </x:xf>
    <x:xf numFmtId="200" fontId="7" fillId="5" borderId="0" xfId="0" applyNumberFormat="1" applyFont="1" applyFill="1" applyBorder="1" applyAlignment="1">
      <x:alignment wrapText="1"/>
    </x:xf>
    <x:xf numFmtId="202" fontId="7" fillId="5" borderId="0" xfId="0" applyNumberFormat="1" applyFont="1" applyFill="1" applyBorder="1" applyAlignment="1">
      <x:alignment wrapText="1"/>
    </x:xf>
    <x:xf numFmtId="0" fontId="4" fillId="22" borderId="0" xfId="0" applyNumberFormat="1" applyFont="1" applyFill="1" applyBorder="1" applyAlignment="1">
      <x:alignment wrapText="1"/>
    </x:xf>
    <x:xf numFmtId="0" fontId="33" fillId="22" borderId="0" xfId="0" applyNumberFormat="1" applyFont="1" applyFill="1" applyBorder="1" applyAlignment="1">
      <x:alignment wrapText="1"/>
    </x:xf>
    <x:xf numFmtId="0" fontId="1" fillId="22" borderId="0" xfId="0" applyNumberFormat="1" applyFont="1" applyFill="1" applyBorder="1" applyAlignment="1">
      <x:alignment horizontal="left" vertical="center"/>
    </x:xf>
    <x:xf numFmtId="0" fontId="2" fillId="22" borderId="0" xfId="0" applyNumberFormat="1" applyFont="1" applyFill="1" applyBorder="1" applyAlignment="1">
      <x:alignment horizontal="left" vertical="center" wrapText="1"/>
    </x:xf>
    <x:xf numFmtId="0" fontId="39" fillId="22" borderId="0" xfId="0" applyNumberFormat="1" applyFont="1" applyFill="1" applyBorder="1" applyAlignment="1">
      <x:alignment horizontal="left" vertical="center"/>
    </x:xf>
    <x:xf numFmtId="0" fontId="40" fillId="22" borderId="0" xfId="0" applyNumberFormat="1" applyFont="1" applyFill="1" applyBorder="1" applyAlignment="1">
      <x:alignment horizontal="left" vertical="center" wrapText="1"/>
    </x:xf>
    <x:xf numFmtId="0" fontId="0" fillId="22" borderId="0" xfId="0" applyNumberFormat="1" applyFont="1" applyFill="1" applyBorder="1"/>
    <x:xf numFmtId="0" fontId="33" fillId="22" borderId="0" xfId="0" applyNumberFormat="1" applyFont="1" applyFill="1" applyBorder="1"/>
    <x:xf numFmtId="0" fontId="33" fillId="22" borderId="0" xfId="0" applyNumberFormat="1" applyFont="1" applyFill="1" applyBorder="1" applyAlignment="1">
      <x:alignment horizontal="center"/>
    </x:xf>
    <x:xf numFmtId="0" fontId="33" fillId="22"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211" fontId="0" fillId="12" borderId="0" xfId="0" applyNumberFormat="1" applyFont="1" applyFill="1" applyBorder="1" applyAlignment="1">
      <x:alignment wrapText="1"/>
    </x:xf>
    <x:xf numFmtId="0" fontId="12" fillId="77" borderId="0" xfId="0" applyNumberFormat="1" applyFont="1" applyFill="1" applyBorder="1"/>
    <x:xf numFmtId="0" fontId="12" fillId="77" borderId="0" xfId="0" applyNumberFormat="1" applyFont="1" applyFill="1" applyBorder="1" applyAlignment="1">
      <x:alignment wrapText="1"/>
    </x:xf>
    <x:xf numFmtId="0" fontId="0" fillId="106" borderId="0" xfId="0" applyNumberFormat="1" applyFont="1" applyFill="1" applyBorder="1"/>
    <x:xf numFmtId="0" fontId="1" fillId="106" borderId="0" xfId="0" applyNumberFormat="1" applyFont="1" applyFill="1" applyBorder="1"/>
    <x:xf numFmtId="0" fontId="1" fillId="106" borderId="0" xfId="0" applyNumberFormat="1" applyFont="1" applyFill="1" applyBorder="1" applyAlignment="1">
      <x:alignment vertical="center"/>
    </x:xf>
    <x:xf numFmtId="0" fontId="0" fillId="107" borderId="0" xfId="0" applyNumberFormat="1" applyFont="1" applyFill="1" applyBorder="1"/>
    <x:xf numFmtId="0" fontId="18" fillId="107" borderId="0" xfId="0" applyNumberFormat="1" applyFont="1" applyFill="1" applyBorder="1"/>
    <x:xf numFmtId="0" fontId="18" fillId="107" borderId="0" xfId="0" applyNumberFormat="1" applyFont="1" applyFill="1" applyBorder="1" applyAlignment="1">
      <x:alignment wrapText="1"/>
    </x:xf>
    <x:xf numFmtId="0" fontId="18" fillId="107" borderId="0" xfId="0" applyNumberFormat="1" applyFont="1" applyFill="1" applyBorder="1" applyAlignment="1">
      <x:alignment vertical="center" wrapText="1"/>
    </x:xf>
    <x:xf numFmtId="0" fontId="0" fillId="108" borderId="0" xfId="0" applyNumberFormat="1" applyFont="1" applyFill="1" applyBorder="1"/>
    <x:xf numFmtId="0" fontId="3" fillId="108" borderId="0" xfId="0" applyNumberFormat="1" applyFont="1" applyFill="1" applyBorder="1"/>
    <x:xf numFmtId="0" fontId="3" fillId="108" borderId="0" xfId="0" applyNumberFormat="1" applyFont="1" applyFill="1" applyBorder="1" applyAlignment="1">
      <x:alignment wrapText="1"/>
    </x:xf>
    <x:xf numFmtId="0" fontId="3" fillId="108" borderId="0" xfId="0" applyNumberFormat="1" applyFont="1" applyFill="1" applyBorder="1" applyAlignment="1">
      <x:alignment horizontal="center" wrapText="1"/>
    </x:xf>
    <x:xf numFmtId="0" fontId="3" fillId="108" borderId="0" xfId="0" applyNumberFormat="1" applyFont="1" applyFill="1" applyBorder="1" applyAlignment="1">
      <x:alignment horizontal="center" vertical="center" wrapText="1"/>
    </x:xf>
    <x:xf numFmtId="221" fontId="0" fillId="0" borderId="0" xfId="0" applyNumberFormat="1" applyFont="1" applyFill="1" applyBorder="1"/>
    <x:xf numFmtId="221" fontId="4" fillId="0" borderId="0" xfId="0" applyNumberFormat="1" applyFont="1" applyFill="1" applyBorder="1"/>
    <x:xf numFmtId="221" fontId="4" fillId="0" borderId="0" xfId="0" applyNumberFormat="1" applyFont="1" applyFill="1" applyBorder="1" applyAlignment="1">
      <x:alignment wrapText="1"/>
    </x:xf>
    <x:xf numFmtId="0" fontId="0" fillId="109" borderId="0" xfId="0" applyNumberFormat="1" applyFont="1" applyFill="1" applyBorder="1" applyAlignment="1">
      <x:alignment wrapText="1"/>
    </x:xf>
    <x:xf numFmtId="221" fontId="4" fillId="109" borderId="0" xfId="0" applyNumberFormat="1" applyFont="1" applyFill="1" applyBorder="1" applyAlignment="1">
      <x:alignment wrapText="1"/>
    </x:xf>
    <x:xf numFmtId="0" fontId="0" fillId="110" borderId="0" xfId="0" applyNumberFormat="1" applyFont="1" applyFill="1" applyBorder="1" applyAlignment="1">
      <x:alignment wrapText="1"/>
    </x:xf>
    <x:xf numFmtId="221" fontId="4" fillId="110" borderId="0" xfId="0" applyNumberFormat="1" applyFont="1" applyFill="1" applyBorder="1" applyAlignment="1">
      <x:alignment wrapText="1"/>
    </x:xf>
    <x:xf numFmtId="0" fontId="3" fillId="106" borderId="0" xfId="0" applyNumberFormat="1" applyFont="1" applyFill="1" applyBorder="1"/>
    <x:xf numFmtId="0" fontId="3" fillId="106" borderId="0" xfId="0" applyNumberFormat="1" applyFont="1" applyFill="1" applyBorder="1" applyAlignment="1">
      <x:alignment vertical="center"/>
    </x:xf>
    <x:xf numFmtId="0" fontId="0" fillId="111" borderId="0" xfId="0" applyNumberFormat="1" applyFont="1" applyFill="1" applyBorder="1" applyAlignment="1">
      <x:alignment wrapText="1"/>
    </x:xf>
    <x:xf numFmtId="0" fontId="0" fillId="109" borderId="0" xfId="0" applyNumberFormat="1" applyFont="1" applyFill="1" applyBorder="1"/>
    <x:xf numFmtId="221" fontId="4" fillId="12" borderId="0" xfId="0" applyNumberFormat="1" applyFont="1" applyFill="1" applyBorder="1" applyAlignment="1">
      <x:alignment wrapText="1"/>
    </x:xf>
    <x:xf numFmtId="221" fontId="4" fillId="5" borderId="0" xfId="0" applyNumberFormat="1" applyFont="1" applyFill="1" applyBorder="1" applyAlignment="1">
      <x:alignment wrapText="1"/>
    </x:xf>
    <x:xf numFmtId="0" fontId="0" fillId="112" borderId="0" xfId="0" applyNumberFormat="1" applyFont="1" applyFill="1" applyBorder="1"/>
    <x:xf numFmtId="0" fontId="1" fillId="112" borderId="0" xfId="0" applyNumberFormat="1" applyFont="1" applyFill="1" applyBorder="1"/>
    <x:xf numFmtId="0" fontId="1" fillId="112" borderId="0" xfId="0" applyNumberFormat="1" applyFont="1" applyFill="1" applyBorder="1" applyAlignment="1">
      <x:alignment vertical="center"/>
    </x:xf>
    <x:xf numFmtId="0" fontId="0" fillId="113" borderId="0" xfId="0" applyNumberFormat="1" applyFont="1" applyFill="1" applyBorder="1"/>
    <x:xf numFmtId="0" fontId="18" fillId="113" borderId="0" xfId="0" applyNumberFormat="1" applyFont="1" applyFill="1" applyBorder="1"/>
    <x:xf numFmtId="0" fontId="18" fillId="113" borderId="0" xfId="0" applyNumberFormat="1" applyFont="1" applyFill="1" applyBorder="1" applyAlignment="1">
      <x:alignment wrapText="1"/>
    </x:xf>
    <x:xf numFmtId="0" fontId="18" fillId="113" borderId="0" xfId="0" applyNumberFormat="1" applyFont="1" applyFill="1" applyBorder="1" applyAlignment="1">
      <x:alignment vertical="center" wrapText="1"/>
    </x:xf>
    <x:xf numFmtId="0" fontId="3" fillId="112" borderId="0" xfId="0" applyNumberFormat="1" applyFont="1" applyFill="1" applyBorder="1"/>
    <x:xf numFmtId="0" fontId="3" fillId="112" borderId="0" xfId="0" applyNumberFormat="1" applyFont="1" applyFill="1" applyBorder="1" applyAlignment="1">
      <x:alignment vertical="center"/>
    </x:xf>
    <x:xf numFmtId="0" fontId="0" fillId="114" borderId="0" xfId="0" applyNumberFormat="1" applyFont="1" applyFill="1" applyBorder="1"/>
    <x:xf numFmtId="0" fontId="41" fillId="114" borderId="0" xfId="0" applyNumberFormat="1" applyFont="1" applyFill="1" applyBorder="1"/>
    <x:xf numFmtId="0" fontId="41" fillId="114" borderId="0" xfId="0" applyNumberFormat="1" applyFont="1" applyFill="1" applyBorder="1" applyAlignment="1">
      <x:alignment wrapText="1"/>
    </x:xf>
    <x:xf numFmtId="0" fontId="41" fillId="114" borderId="0" xfId="0" applyNumberFormat="1" applyFont="1" applyFill="1" applyBorder="1" applyAlignment="1">
      <x:alignment vertical="center" wrapText="1"/>
    </x:xf>
    <x:xf numFmtId="0" fontId="0" fillId="115" borderId="0" xfId="0" applyNumberFormat="1" applyFont="1" applyFill="1" applyBorder="1"/>
    <x:xf numFmtId="0" fontId="3" fillId="115" borderId="0" xfId="0" applyNumberFormat="1" applyFont="1" applyFill="1" applyBorder="1"/>
    <x:xf numFmtId="0" fontId="3" fillId="115" borderId="176" xfId="0" applyNumberFormat="1" applyFont="1" applyFill="1" applyBorder="1"/>
    <x:xf numFmtId="0" fontId="3" fillId="115" borderId="177" xfId="0" applyNumberFormat="1" applyFont="1" applyFill="1" applyBorder="1"/>
    <x:xf numFmtId="0" fontId="3" fillId="115" borderId="178" xfId="0" applyNumberFormat="1" applyFont="1" applyFill="1" applyBorder="1"/>
    <x:xf numFmtId="0" fontId="3" fillId="115" borderId="176" xfId="0" applyNumberFormat="1" applyFont="1" applyFill="1" applyBorder="1" applyAlignment="1">
      <x:alignment wrapText="1"/>
    </x:xf>
    <x:xf numFmtId="0" fontId="3" fillId="115" borderId="177" xfId="0" applyNumberFormat="1" applyFont="1" applyFill="1" applyBorder="1" applyAlignment="1">
      <x:alignment wrapText="1"/>
    </x:xf>
    <x:xf numFmtId="0" fontId="3" fillId="115" borderId="178" xfId="0" applyNumberFormat="1" applyFont="1" applyFill="1" applyBorder="1" applyAlignment="1">
      <x:alignment wrapText="1"/>
    </x:xf>
    <x:xf numFmtId="0" fontId="3" fillId="115" borderId="176" xfId="0" applyNumberFormat="1" applyFont="1" applyFill="1" applyBorder="1" applyAlignment="1">
      <x:alignment horizontal="center" wrapText="1"/>
    </x:xf>
    <x:xf numFmtId="0" fontId="3" fillId="115" borderId="177" xfId="0" applyNumberFormat="1" applyFont="1" applyFill="1" applyBorder="1" applyAlignment="1">
      <x:alignment horizontal="center" wrapText="1"/>
    </x:xf>
    <x:xf numFmtId="0" fontId="3" fillId="115" borderId="178" xfId="0" applyNumberFormat="1" applyFont="1" applyFill="1" applyBorder="1" applyAlignment="1">
      <x:alignment horizontal="center" wrapText="1"/>
    </x:xf>
    <x:xf numFmtId="0" fontId="3" fillId="115" borderId="176" xfId="0" applyNumberFormat="1" applyFont="1" applyFill="1" applyBorder="1" applyAlignment="1">
      <x:alignment horizontal="center" vertical="center" wrapText="1"/>
    </x:xf>
    <x:xf numFmtId="0" fontId="3" fillId="115" borderId="177" xfId="0" applyNumberFormat="1" applyFont="1" applyFill="1" applyBorder="1" applyAlignment="1">
      <x:alignment horizontal="center" vertical="center" wrapText="1"/>
    </x:xf>
    <x:xf numFmtId="0" fontId="3" fillId="115" borderId="178" xfId="0" applyNumberFormat="1" applyFont="1" applyFill="1" applyBorder="1" applyAlignment="1">
      <x:alignment horizontal="center" vertical="center" wrapText="1"/>
    </x:xf>
    <x:xf numFmtId="0" fontId="32" fillId="0" xfId="0" applyNumberFormat="1" applyFont="1" applyFill="1" applyBorder="0"/>
    <x:xf numFmtId="0" fontId="32" fillId="0" borderId="179" xfId="0" applyNumberFormat="1" applyFont="1" applyFill="1" applyBorder="1"/>
    <x:xf numFmtId="0" fontId="32" fillId="0" xfId="0" applyNumberFormat="1" applyFont="1" applyFill="1" applyBorder="0" applyAlignment="1">
      <x:alignment wrapText="1"/>
    </x:xf>
    <x:xf numFmtId="0" fontId="32" fillId="0" borderId="179" xfId="0" applyNumberFormat="1" applyFont="1" applyFill="1" applyBorder="1" applyAlignment="1">
      <x:alignment wrapText="1"/>
    </x:xf>
    <x:xf numFmtId="0" fontId="32" fillId="0" xfId="0" applyNumberFormat="1" applyFont="1" applyFill="1" applyBorder="0" applyAlignment="1">
      <x:alignment vertical="top" wrapText="1"/>
    </x:xf>
    <x:xf numFmtId="0" fontId="32" fillId="0" borderId="179" xfId="0" applyNumberFormat="1" applyFont="1" applyFill="1" applyBorder="1" applyAlignment="1">
      <x:alignment vertical="top" wrapText="1"/>
    </x:xf>
    <x:xf numFmtId="0" fontId="0" fillId="116" borderId="0" xfId="0" applyNumberFormat="1" applyFont="1" applyFill="1" applyBorder="1"/>
    <x:xf numFmtId="0" fontId="36" fillId="116" borderId="0" xfId="0" applyNumberFormat="1" applyFont="1" applyFill="1" applyBorder="1"/>
    <x:xf numFmtId="0" fontId="36" fillId="116" borderId="0" xfId="0" applyNumberFormat="1" applyFont="1" applyFill="1" applyBorder="1" applyAlignment="1">
      <x:alignment wrapText="1"/>
    </x:xf>
    <x:xf numFmtId="0" fontId="36" fillId="116" borderId="0" xfId="0" applyNumberFormat="1" applyFont="1" applyFill="1" applyBorder="1" applyAlignment="1">
      <x:alignment vertical="center" wrapText="1"/>
    </x:xf>
    <x:xf numFmtId="0" fontId="0" fillId="117" borderId="0" xfId="0" applyNumberFormat="1" applyFont="1" applyFill="1" applyBorder="1"/>
    <x:xf numFmtId="0" fontId="33" fillId="117" borderId="0" xfId="0" applyNumberFormat="1" applyFont="1" applyFill="1" applyBorder="1"/>
    <x:xf numFmtId="0" fontId="33" fillId="117" borderId="0" xfId="0" applyNumberFormat="1" applyFont="1" applyFill="1" applyBorder="1" applyAlignment="1">
      <x:alignment wrapText="1"/>
    </x:xf>
    <x:xf numFmtId="0" fontId="33" fillId="117" borderId="0" xfId="0" applyNumberFormat="1" applyFont="1" applyFill="1" applyBorder="1" applyAlignment="1">
      <x:alignment vertical="center" wrapText="1"/>
    </x:xf>
  </x:cellXfs>
  <x:cellStyles count="1">
    <x:cellStyle name="Normal" xfId="0"/>
  </x:cellStyles>
  <x:dxfs count="49">
    <x:dxf>
      <x:font>
        <x:b/>
      </x:font>
      <x:fill>
        <x:patternFill>
          <x:bgColor rgb="FFC6E0B4"/>
        </x:patternFill>
      </x:fill>
    </x:dxf>
    <x:dxf>
      <x:font>
        <x:b/>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1F4E78"/>
      </x:font>
      <x:fill>
        <x:patternFill>
          <x:bgColor rgb="FFDDEBF7"/>
        </x:patternFill>
      </x:fill>
    </x:dxf>
    <x:dxf>
      <x:font>
        <x:b/>
        <x:color rgb="FF9C0006"/>
      </x:font>
      <x:fill>
        <x:patternFill>
          <x:bgColor rgb="FFFCE4D6"/>
        </x:patternFill>
      </x:fill>
    </x:dxf>
    <x:dxf>
      <x:font>
        <x:b/>
        <x:color rgb="FF375623"/>
      </x:font>
      <x:fill>
        <x:patternFill>
          <x:bgColor rgb="FFC6E0B4"/>
        </x:patternFill>
      </x:fill>
    </x:dxf>
    <x:dxf>
      <x:font>
        <x:b/>
        <x:color rgb="FF9C0006"/>
      </x:font>
      <x:fill>
        <x:patternFill>
          <x:bgColor rgb="FFFCE4D6"/>
        </x:patternFill>
      </x:fill>
    </x:dxf>
    <x:dxf>
      <x:font>
        <x:b/>
        <x:color rgb="FF7F6000"/>
      </x:font>
      <x:fill>
        <x:patternFill>
          <x:bgColor rgb="FFFFF2CC"/>
        </x:patternFill>
      </x:fill>
    </x:dxf>
    <x:dxf>
      <x:font>
        <x:b/>
        <x:color rgb="FF7F6000"/>
      </x:font>
      <x:fill>
        <x:patternFill>
          <x:bgColor rgb="FFFFF2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9C0006"/>
      </x:font>
      <x:fill>
        <x:patternFill>
          <x:bgColor rgb="FFFCE4D6"/>
        </x:patternFill>
      </x:fill>
    </x:dxf>
    <x:dxf>
      <x:font>
        <x:b/>
        <x:color rgb="FFFF0000"/>
      </x:font>
      <x:fill>
        <x:patternFill>
          <x:bgColor rgb="FFF4CCCC"/>
        </x:patternFill>
      </x:fill>
    </x:dxf>
    <x:dxf>
      <x:font>
        <x:b/>
      </x:font>
      <x:fill>
        <x:patternFill>
          <x:bgColor rgb="FFFFF2CC"/>
        </x:patternFill>
      </x:fill>
    </x:dxf>
    <x:dxf>
      <x:font>
        <x:color rgb="FFFF0000"/>
      </x:font>
      <x:fill>
        <x:patternFill>
          <x:bgColor rgb="FFF4CCCC"/>
        </x:patternFill>
      </x:fill>
    </x:dxf>
    <x:dxf>
      <x:font>
        <x:b/>
        <x:color rgb="FF006100"/>
      </x:font>
      <x:fill>
        <x:patternFill>
          <x:bgColor rgb="FFE2F0D9"/>
        </x:patternFill>
      </x:fill>
    </x:dxf>
    <x:dxf>
      <x:font>
        <x:b/>
        <x:color rgb="FF9C6500"/>
      </x:font>
      <x:fill>
        <x:patternFill>
          <x:bgColor rgb="FFFFF2CC"/>
        </x:patternFill>
      </x:fill>
    </x:dxf>
    <x:dxf>
      <x:font>
        <x:b/>
        <x:color rgb="FFFF0000"/>
      </x:font>
      <x:fill>
        <x:patternFill>
          <x:bgColor rgb="FFF4CCCC"/>
        </x:patternFill>
      </x:fill>
    </x:dxf>
    <x:dxf>
      <x:font>
        <x:b/>
        <x:color rgb="FF006100"/>
      </x:font>
      <x:fill>
        <x:patternFill>
          <x:bgColor rgb="FFE2F0D9"/>
        </x:patternFill>
      </x:fill>
    </x:dxf>
    <x:dxf>
      <x:font>
        <x:b/>
        <x:color rgb="FFFF0000"/>
      </x:font>
      <x:fill>
        <x:patternFill>
          <x:bgColor rgb="FFF4CCCC"/>
        </x:patternFill>
      </x:fill>
    </x:dxf>
    <x:dxf>
      <x:font>
        <x:b/>
        <x:color rgb="FF006100"/>
      </x:font>
      <x:fill>
        <x:patternFill>
          <x:bgColor rgb="FFE2F0D9"/>
        </x:patternFill>
      </x:fill>
    </x:dxf>
    <x:dxf>
      <x:font>
        <x:b/>
        <x:color rgb="FF9C6500"/>
      </x:font>
      <x:fill>
        <x:patternFill>
          <x:bgColor rgb="FFFFF2CC"/>
        </x:patternFill>
      </x:fill>
    </x:dxf>
    <x:dxf>
      <x:font>
        <x:b/>
        <x:color rgb="FFFF0000"/>
      </x:font>
      <x:fill>
        <x:patternFill>
          <x:bgColor rgb="FFF4CCCC"/>
        </x:patternFill>
      </x:fill>
    </x:dxf>
    <x:dxf>
      <x:font>
        <x:b/>
        <x:color rgb="FFFF0000"/>
      </x:font>
      <x:fill>
        <x:patternFill>
          <x:bgColor rgb="FFF4CCCC"/>
        </x:patternFill>
      </x:fill>
    </x:dxf>
    <x:dxf>
      <x:font>
        <x:b/>
        <x:color rgb="FF9C0006"/>
      </x:font>
      <x:fill>
        <x:patternFill>
          <x:bgColor rgb="FFF4CCCC"/>
        </x:patternFill>
      </x:fill>
    </x:dxf>
    <x:dxf>
      <x:font>
        <x:b/>
        <x:color rgb="FF274E13"/>
      </x:font>
      <x:fill>
        <x:patternFill>
          <x:bgColor rgb="FFD9EAD3"/>
        </x:patternFill>
      </x:fill>
    </x:dxf>
    <x:dxf>
      <x:font>
        <x:b/>
        <x:color rgb="FFB45F06"/>
      </x:font>
      <x:fill>
        <x:patternFill>
          <x:bgColor rgb="FFFCE5CD"/>
        </x:patternFill>
      </x:fill>
    </x:dxf>
    <x:dxf>
      <x:font>
        <x:color rgb="FFC00000"/>
      </x:font>
      <x:fill>
        <x:patternFill>
          <x:bgColor rgb="FFF4CCCC"/>
        </x:patternFill>
      </x:fill>
    </x:dxf>
    <x:dxf>
      <x:font>
        <x:color rgb="FFC00000"/>
      </x:font>
      <x:fill>
        <x:patternFill>
          <x:bgColor rgb="FFF4CCCC"/>
        </x:patternFill>
      </x:fill>
    </x:dxf>
    <x:dxf>
      <x:font>
        <x:color rgb="FFC00000"/>
      </x:font>
      <x:fill>
        <x:patternFill>
          <x:bgColor rgb="FFF4CCCC"/>
        </x:patternFill>
      </x:fill>
    </x:dxf>
    <x:dxf>
      <x:fill>
        <x:patternFill>
          <x:bgColor rgb="FFFFF2CC"/>
        </x:patternFill>
      </x:fill>
    </x:dxf>
    <x:dxf>
      <x:font>
        <x:b/>
      </x:font>
      <x:fill>
        <x:patternFill patternType="solid">
          <x:bgColor rgb="FFFFF2CC"/>
        </x:patternFill>
      </x:fill>
    </x:dxf>
    <x:dxf>
      <x:font>
        <x:b/>
      </x:font>
      <x:fill>
        <x:patternFill patternType="solid">
          <x:bgColor rgb="FFE2F0D9"/>
        </x:patternFill>
      </x:fill>
    </x:dxf>
    <x:dxf>
      <x:font>
        <x:b/>
      </x:font>
      <x:fill>
        <x:patternFill patternType="solid">
          <x:bgColor rgb="FFFFF2CC"/>
        </x:patternFill>
      </x:fill>
    </x:dxf>
    <x:dxf>
      <x:font>
        <x:b/>
        <x:color rgb="FFC00000"/>
      </x:font>
      <x:fill>
        <x:patternFill patternType="solid">
          <x:bgColor rgb="FFFCE4D6"/>
        </x:patternFill>
      </x:fill>
    </x:dxf>
    <x:dxf>
      <x:font>
        <x:b/>
        <x:color rgb="FF7F6000"/>
      </x:font>
      <x:fill>
        <x:patternFill patternType="solid">
          <x:bgColor rgb="FFFFF2CC"/>
        </x:patternFill>
      </x:fill>
    </x:dxf>
    <x:dxf>
      <x:font>
        <x:b/>
      </x:font>
      <x:fill>
        <x:patternFill patternType="solid">
          <x:bgColor rgb="FFFFF2CC"/>
        </x:patternFill>
      </x:fill>
    </x:dxf>
    <x:dxf>
      <x:font>
        <x:b/>
        <x:color rgb="FFC00000"/>
      </x:font>
      <x:fill>
        <x:patternFill patternType="solid">
          <x:bgColor rgb="FFFCE4D6"/>
        </x:patternFill>
      </x:fill>
    </x:dxf>
    <x:dxf>
      <x:font>
        <x:b/>
      </x:font>
      <x:fill>
        <x:patternFill patternType="solid">
          <x:bgColor rgb="FFEAF2F8"/>
        </x:patternFill>
      </x:fill>
    </x:dxf>
    <x:dxf>
      <x:font>
        <x:b/>
      </x:font>
      <x:fill>
        <x:patternFill patternType="solid">
          <x:bgColor rgb="FFE2F0D9"/>
        </x:patternFill>
      </x:fill>
    </x:dxf>
    <x:dxf>
      <x:font>
        <x:b/>
      </x:font>
      <x:fill>
        <x:patternFill patternType="solid">
          <x:bgColor rgb="FFFFF2CC"/>
        </x:patternFill>
      </x:fill>
    </x:dxf>
    <x:dxf>
      <x:font>
        <x:b/>
        <x:color rgb="FFC00000"/>
      </x:font>
      <x:fill>
        <x:patternFill patternType="solid">
          <x:bgColor rgb="FFFCE4D6"/>
        </x:patternFill>
      </x:fill>
    </x:dxf>
    <x:dxf>
      <x:font>
        <x:b/>
      </x:font>
      <x:fill>
        <x:patternFill patternType="solid">
          <x:bgColor rgb="FFE2F0D9"/>
        </x:patternFill>
      </x:fill>
    </x:dxf>
    <x:dxf>
      <x:font>
        <x:b/>
        <x:color rgb="FFC00000"/>
      </x:font>
      <x:fill>
        <x:patternFill patternType="solid">
          <x:bgColor rgb="FFFCE4D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41ba1dea80433b" /><Relationship Type="http://schemas.openxmlformats.org/officeDocument/2006/relationships/theme" Target="/xl/theme/theme1.xml" Id="R12b1b2838a814cd5" /><Relationship Type="http://schemas.openxmlformats.org/officeDocument/2006/relationships/sharedStrings" Target="/xl/sharedStrings.xml" Id="R203a8cf581754e23" /><Relationship Type="http://schemas.openxmlformats.org/officeDocument/2006/relationships/worksheet" Target="/xl/worksheets/sheet1.xml" Id="R8f6e2e21bc9749ac" /><Relationship Type="http://schemas.openxmlformats.org/officeDocument/2006/relationships/worksheet" Target="/xl/worksheets/sheet2.xml" Id="Rbfadc839f6054454" /><Relationship Type="http://schemas.openxmlformats.org/officeDocument/2006/relationships/worksheet" Target="/xl/worksheets/sheet3.xml" Id="Ra7205277def2499a" /><Relationship Type="http://schemas.openxmlformats.org/officeDocument/2006/relationships/worksheet" Target="/xl/worksheets/sheet4.xml" Id="R7d7ccd63b89e4152" /><Relationship Type="http://schemas.openxmlformats.org/officeDocument/2006/relationships/worksheet" Target="/xl/worksheets/sheet5.xml" Id="R8c0dec1ac2184d52" /><Relationship Type="http://schemas.openxmlformats.org/officeDocument/2006/relationships/worksheet" Target="/xl/worksheets/sheet6.xml" Id="R84a141e80e5e41f5" /><Relationship Type="http://schemas.openxmlformats.org/officeDocument/2006/relationships/worksheet" Target="/xl/worksheets/sheet7.xml" Id="R7f9b29fe989e4821" /><Relationship Type="http://schemas.openxmlformats.org/officeDocument/2006/relationships/worksheet" Target="/xl/worksheets/sheet8.xml" Id="R64c22eeb54ca4841" /><Relationship Type="http://schemas.openxmlformats.org/officeDocument/2006/relationships/worksheet" Target="/xl/worksheets/sheet9.xml" Id="R22480ae6af394aa5" /><Relationship Type="http://schemas.openxmlformats.org/officeDocument/2006/relationships/worksheet" Target="/xl/worksheets/sheet10.xml" Id="R0526025332134e54" /><Relationship Type="http://schemas.openxmlformats.org/officeDocument/2006/relationships/worksheet" Target="/xl/worksheets/sheet11.xml" Id="Re06499a83bfb4b9d" /><Relationship Type="http://schemas.openxmlformats.org/officeDocument/2006/relationships/worksheet" Target="/xl/worksheets/sheet12.xml" Id="R3c490557011e44ae" /><Relationship Type="http://schemas.openxmlformats.org/officeDocument/2006/relationships/worksheet" Target="/xl/worksheets/sheet13.xml" Id="R03c046bb77eb4d11" /><Relationship Type="http://schemas.openxmlformats.org/officeDocument/2006/relationships/worksheet" Target="/xl/worksheets/sheet14.xml" Id="R5b1d2f6babf2409f" /><Relationship Type="http://schemas.openxmlformats.org/officeDocument/2006/relationships/worksheet" Target="/xl/worksheets/sheet15.xml" Id="R8fa646cb3da24cf8" /><Relationship Type="http://schemas.openxmlformats.org/officeDocument/2006/relationships/worksheet" Target="/xl/worksheets/sheet16.xml" Id="R63c384436fc24c37" /><Relationship Type="http://schemas.openxmlformats.org/officeDocument/2006/relationships/worksheet" Target="/xl/worksheets/sheet17.xml" Id="R085b39ff79244baa" /><Relationship Type="http://schemas.openxmlformats.org/officeDocument/2006/relationships/worksheet" Target="/xl/worksheets/sheet18.xml" Id="Rdbc7098ad8d44676" /><Relationship Type="http://schemas.openxmlformats.org/officeDocument/2006/relationships/worksheet" Target="/xl/worksheets/sheet19.xml" Id="Raa0762d161b24e83" /><Relationship Type="http://schemas.openxmlformats.org/officeDocument/2006/relationships/worksheet" Target="/xl/worksheets/sheet20.xml" Id="Rf55303da229f4eaf" /><Relationship Type="http://schemas.openxmlformats.org/officeDocument/2006/relationships/worksheet" Target="/xl/worksheets/sheet21.xml" Id="R4920c7c022bc4abe" /><Relationship Type="http://schemas.openxmlformats.org/officeDocument/2006/relationships/worksheet" Target="/xl/worksheets/sheet22.xml" Id="R8276bcf62ea84c9e" /><Relationship Type="http://schemas.openxmlformats.org/officeDocument/2006/relationships/worksheet" Target="/xl/worksheets/sheet23.xml" Id="Rd68c5c1423a84ebe" /><Relationship Type="http://schemas.openxmlformats.org/officeDocument/2006/relationships/worksheet" Target="/xl/worksheets/sheet24.xml" Id="R0af0a5133f414870" /><Relationship Type="http://schemas.openxmlformats.org/officeDocument/2006/relationships/worksheet" Target="/xl/worksheets/sheet25.xml" Id="R4b1b64129875413f" /><Relationship Type="http://schemas.openxmlformats.org/officeDocument/2006/relationships/worksheet" Target="/xl/worksheets/sheet26.xml" Id="R0b7d58710d7946f9" /><Relationship Type="http://schemas.openxmlformats.org/officeDocument/2006/relationships/worksheet" Target="/xl/worksheets/sheet27.xml" Id="Rcfe9d6b970ef42ad" /><Relationship Type="http://schemas.openxmlformats.org/officeDocument/2006/relationships/worksheet" Target="/xl/worksheets/sheet28.xml" Id="Rf7443ce19a0e4156" /><Relationship Type="http://schemas.openxmlformats.org/officeDocument/2006/relationships/worksheet" Target="/xl/worksheets/sheet29.xml" Id="Rbd7139aa86954bd3" /><Relationship Type="http://schemas.openxmlformats.org/officeDocument/2006/relationships/worksheet" Target="/xl/worksheets/sheet30.xml" Id="Re1f80d550e75424d" /><Relationship Type="http://schemas.openxmlformats.org/officeDocument/2006/relationships/worksheet" Target="/xl/worksheets/sheet31.xml" Id="R109add6b8ee24850" /><Relationship Type="http://schemas.openxmlformats.org/officeDocument/2006/relationships/worksheet" Target="/xl/worksheets/sheet32.xml" Id="Rabb4dcd841c14212" /><Relationship Type="http://schemas.openxmlformats.org/officeDocument/2006/relationships/worksheet" Target="/xl/worksheets/sheet33.xml" Id="R46c43cd49720410f" /><Relationship Type="http://schemas.openxmlformats.org/officeDocument/2006/relationships/worksheet" Target="/xl/worksheets/sheet34.xml" Id="R0156f4a77205491c" /><Relationship Type="http://schemas.openxmlformats.org/officeDocument/2006/relationships/worksheet" Target="/xl/worksheets/sheet35.xml" Id="R9838beeeb2264898" /><Relationship Type="http://schemas.openxmlformats.org/officeDocument/2006/relationships/worksheet" Target="/xl/worksheets/sheet36.xml" Id="R15fd3d365ba24666" /><Relationship Type="http://schemas.openxmlformats.org/officeDocument/2006/relationships/worksheet" Target="/xl/worksheets/sheet37.xml" Id="R0d193d62903c4f16" /><Relationship Type="http://schemas.openxmlformats.org/officeDocument/2006/relationships/worksheet" Target="/xl/worksheets/sheet38.xml" Id="Rc59807e3511042a4" /><Relationship Type="http://schemas.openxmlformats.org/officeDocument/2006/relationships/worksheet" Target="/xl/worksheets/sheet39.xml" Id="R0212d2fe3c1b426c" /><Relationship Type="http://schemas.openxmlformats.org/officeDocument/2006/relationships/worksheet" Target="/xl/worksheets/sheet40.xml" Id="R1a2b32a106cb44a5" /><Relationship Type="http://schemas.openxmlformats.org/officeDocument/2006/relationships/worksheet" Target="/xl/worksheets/sheet41.xml" Id="R915b3e68eae043f6" /><Relationship Type="http://schemas.openxmlformats.org/officeDocument/2006/relationships/worksheet" Target="/xl/worksheets/sheet42.xml" Id="R9f8146da86b04219" /><Relationship Type="http://schemas.openxmlformats.org/officeDocument/2006/relationships/worksheet" Target="/xl/worksheets/sheet43.xml" Id="R6ff14b64aee94a75" /><Relationship Type="http://schemas.openxmlformats.org/officeDocument/2006/relationships/worksheet" Target="/xl/worksheets/sheet44.xml" Id="Rd24b53771e1c4668" /><Relationship Type="http://schemas.openxmlformats.org/officeDocument/2006/relationships/worksheet" Target="/xl/worksheets/sheet45.xml" Id="Rd8a2abd4f8ba4e77" /><Relationship Type="http://schemas.openxmlformats.org/officeDocument/2006/relationships/worksheet" Target="/xl/worksheets/sheet46.xml" Id="R0ee447f2cd1045fa" /><Relationship Type="http://schemas.openxmlformats.org/officeDocument/2006/relationships/worksheet" Target="/xl/worksheets/sheet47.xml" Id="R8d684e71d9284384" /><Relationship Type="http://schemas.openxmlformats.org/officeDocument/2006/relationships/worksheet" Target="/xl/worksheets/sheet48.xml" Id="R4844e7805fd64390" /><Relationship Type="http://schemas.openxmlformats.org/officeDocument/2006/relationships/worksheet" Target="/xl/worksheets/sheet49.xml" Id="Rccf5a389d8fa4571" /><Relationship Type="http://schemas.openxmlformats.org/officeDocument/2006/relationships/worksheet" Target="/xl/worksheets/sheet50.xml" Id="R40b8726f0ca344e9" /><Relationship Type="http://schemas.openxmlformats.org/officeDocument/2006/relationships/worksheet" Target="/xl/worksheets/sheet51.xml" Id="Rcbabf863d2f8477c" /><Relationship Type="http://schemas.openxmlformats.org/officeDocument/2006/relationships/worksheet" Target="/xl/worksheets/sheet52.xml" Id="Rb89e358937834faa" /><Relationship Type="http://schemas.openxmlformats.org/officeDocument/2006/relationships/worksheet" Target="/xl/worksheets/sheet53.xml" Id="Ra92d61fb9ea04a5b" /><Relationship Type="http://schemas.openxmlformats.org/officeDocument/2006/relationships/worksheet" Target="/xl/worksheets/sheet54.xml" Id="R29318305b0b14d29" /><Relationship Type="http://schemas.openxmlformats.org/officeDocument/2006/relationships/worksheet" Target="/xl/worksheets/sheet55.xml" Id="Rd755323873fa4685" /><Relationship Type="http://schemas.openxmlformats.org/officeDocument/2006/relationships/worksheet" Target="/xl/worksheets/sheet56.xml" Id="R0d42e4e6e5fa4164" /><Relationship Type="http://schemas.openxmlformats.org/officeDocument/2006/relationships/worksheet" Target="/xl/worksheets/sheet57.xml" Id="R8444a45721f949fa" /><Relationship Type="http://schemas.openxmlformats.org/officeDocument/2006/relationships/worksheet" Target="/xl/worksheets/sheet58.xml" Id="Re3310ffe415a4bb1" /><Relationship Type="http://schemas.openxmlformats.org/officeDocument/2006/relationships/worksheet" Target="/xl/worksheets/sheet59.xml" Id="R5f87db05544f4a57" /><Relationship Type="http://schemas.openxmlformats.org/officeDocument/2006/relationships/worksheet" Target="/xl/worksheets/sheet60.xml" Id="R927d87fa83044f2d" /><Relationship Type="http://schemas.openxmlformats.org/officeDocument/2006/relationships/worksheet" Target="/xl/worksheets/sheet61.xml" Id="Rba608b594cc9481b" /><Relationship Type="http://schemas.openxmlformats.org/officeDocument/2006/relationships/worksheet" Target="/xl/worksheets/sheet62.xml" Id="Rcdeaa5d705ff4ffb" /><Relationship Type="http://schemas.openxmlformats.org/officeDocument/2006/relationships/worksheet" Target="/xl/worksheets/sheet63.xml" Id="R3df446a8b65a4ec1" /><Relationship Type="http://schemas.openxmlformats.org/officeDocument/2006/relationships/worksheet" Target="/xl/worksheets/sheet64.xml" Id="R729b02e1c07b4b83" /><Relationship Type="http://schemas.openxmlformats.org/officeDocument/2006/relationships/worksheet" Target="/xl/worksheets/sheet65.xml" Id="Rd0bbd1c33ca64d66" /><Relationship Type="http://schemas.openxmlformats.org/officeDocument/2006/relationships/worksheet" Target="/xl/worksheets/sheet66.xml" Id="Rff9ed7ffb96147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59c8eae17759479a" /></Relationships>
</file>

<file path=xl/drawings/_rels/drawing2.xml.rels>&#65279;<?xml version="1.0" encoding="utf-8"?><Relationships xmlns="http://schemas.openxmlformats.org/package/2006/relationships"><Relationship Type="http://schemas.openxmlformats.org/officeDocument/2006/relationships/chart" Target="/xl/drawings/charts/chart2.xml" Id="R5d39a85edff14c77" /><Relationship Type="http://schemas.openxmlformats.org/officeDocument/2006/relationships/chart" Target="/xl/drawings/charts/chart3.xml" Id="R842cb380e4154def" /></Relationships>
</file>

<file path=xl/drawings/_rels/drawing3.xml.rels>&#65279;<?xml version="1.0" encoding="utf-8"?><Relationships xmlns="http://schemas.openxmlformats.org/package/2006/relationships"><Relationship Type="http://schemas.openxmlformats.org/officeDocument/2006/relationships/chart" Target="/xl/drawings/charts/chart4.xml" Id="Ra3a8d8f6b8474df5" /></Relationships>
</file>

<file path=xl/drawings/_rels/drawing4.xml.rels>&#65279;<?xml version="1.0" encoding="utf-8"?><Relationships xmlns="http://schemas.openxmlformats.org/package/2006/relationships"><Relationship Type="http://schemas.openxmlformats.org/officeDocument/2006/relationships/chart" Target="/xl/drawings/charts/chart5.xml" Id="R45efe03099aa42b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Federated Public Wealth Fund — Scenario Paths</a:t>
            </a:r>
          </a:p>
        </c:rich>
      </c:tx>
      <c:overlay val="0"/>
    </c:title>
    <c:autoTitleDeleted val="0"/>
    <c:plotArea>
      <c:layout/>
      <c:lineChart>
        <c:grouping val="standard"/>
        <c:varyColors val="0"/>
        <c:ser>
          <c:idx val="0"/>
          <c:order val="0"/>
          <c:tx>
            <c:v>Low opening</c:v>
          </c:tx>
          <c:cat>
            <c:strRef>
              <c:f>'SWF_Scenario'!$A$14:$A$43</c:f>
              <c:strCache>
                <c:ptCount val="0"/>
              </c:strCache>
            </c:strRef>
          </c:cat>
          <c:val>
            <c:numRef>
              <c:f>'SWF_Scenario'!$B$14:$B$43</c:f>
              <c:numCache>
                <c:formatCode>$#,##0.0;[Red]($#,##0.0);-</c:formatCode>
                <c:ptCount val="0"/>
              </c:numCache>
            </c:numRef>
          </c:val>
          <c:smooth val="0"/>
        </c:ser>
        <c:ser>
          <c:idx val="1"/>
          <c:order val="1"/>
          <c:tx>
            <c:v>Low deposits</c:v>
          </c:tx>
          <c:cat>
            <c:strRef>
              <c:f>'SWF_Scenario'!$A$14:$A$43</c:f>
              <c:strCache>
                <c:ptCount val="0"/>
              </c:strCache>
            </c:strRef>
          </c:cat>
          <c:val>
            <c:numRef>
              <c:f>'SWF_Scenario'!$C$14:$C$43</c:f>
              <c:numCache>
                <c:formatCode>$#,##0.0;[Red]($#,##0.0);-</c:formatCode>
                <c:ptCount val="0"/>
              </c:numCache>
            </c:numRef>
          </c:val>
          <c:smooth val="0"/>
        </c:ser>
        <c:ser>
          <c:idx val="2"/>
          <c:order val="2"/>
          <c:tx>
            <c:v>Low return</c:v>
          </c:tx>
          <c:cat>
            <c:strRef>
              <c:f>'SWF_Scenario'!$A$14:$A$43</c:f>
              <c:strCache>
                <c:ptCount val="0"/>
              </c:strCache>
            </c:strRef>
          </c:cat>
          <c:val>
            <c:numRef>
              <c:f>'SWF_Scenario'!$D$14:$D$43</c:f>
              <c:numCache>
                <c:formatCode>$#,##0.0;[Red]($#,##0.0);-</c:formatCode>
                <c:ptCount val="0"/>
              </c:numCache>
            </c:numRef>
          </c:val>
          <c:smooth val="0"/>
        </c:ser>
        <c:ser>
          <c:idx val="3"/>
          <c:order val="3"/>
          <c:tx>
            <c:v>Low closing</c:v>
          </c:tx>
          <c:cat>
            <c:strRef>
              <c:f>'SWF_Scenario'!$A$14:$A$43</c:f>
              <c:strCache>
                <c:ptCount val="0"/>
              </c:strCache>
            </c:strRef>
          </c:cat>
          <c:val>
            <c:numRef>
              <c:f>'SWF_Scenario'!$E$14:$E$43</c:f>
              <c:numCache>
                <c:formatCode>$#,##0.0;[Red]($#,##0.0);-</c:formatCode>
                <c:ptCount val="0"/>
              </c:numCache>
            </c:numRef>
          </c:val>
          <c:smooth val="0"/>
        </c:ser>
        <c:ser>
          <c:idx val="4"/>
          <c:order val="4"/>
          <c:tx>
            <c:v>Base opening</c:v>
          </c:tx>
          <c:cat>
            <c:strRef>
              <c:f>'SWF_Scenario'!$A$14:$A$43</c:f>
              <c:strCache>
                <c:ptCount val="0"/>
              </c:strCache>
            </c:strRef>
          </c:cat>
          <c:val>
            <c:numRef>
              <c:f>'SWF_Scenario'!$F$14:$F$43</c:f>
              <c:numCache>
                <c:formatCode>$#,##0.0;[Red]($#,##0.0);-</c:formatCode>
                <c:ptCount val="0"/>
              </c:numCache>
            </c:numRef>
          </c:val>
          <c:smooth val="0"/>
        </c:ser>
        <c:ser>
          <c:idx val="5"/>
          <c:order val="5"/>
          <c:tx>
            <c:v>Base deposits</c:v>
          </c:tx>
          <c:cat>
            <c:strRef>
              <c:f>'SWF_Scenario'!$A$14:$A$43</c:f>
              <c:strCache>
                <c:ptCount val="0"/>
              </c:strCache>
            </c:strRef>
          </c:cat>
          <c:val>
            <c:numRef>
              <c:f>'SWF_Scenario'!$G$14:$G$43</c:f>
              <c:numCache>
                <c:formatCode>$#,##0.0;[Red]($#,##0.0);-</c:formatCode>
                <c:ptCount val="0"/>
              </c:numCache>
            </c:numRef>
          </c:val>
          <c:smooth val="0"/>
        </c:ser>
        <c:ser>
          <c:idx val="6"/>
          <c:order val="6"/>
          <c:tx>
            <c:v>Base return</c:v>
          </c:tx>
          <c:cat>
            <c:strRef>
              <c:f>'SWF_Scenario'!$A$14:$A$43</c:f>
              <c:strCache>
                <c:ptCount val="0"/>
              </c:strCache>
            </c:strRef>
          </c:cat>
          <c:val>
            <c:numRef>
              <c:f>'SWF_Scenario'!$H$14:$H$43</c:f>
              <c:numCache>
                <c:formatCode>$#,##0.0;[Red]($#,##0.0);-</c:formatCode>
                <c:ptCount val="0"/>
              </c:numCache>
            </c:numRef>
          </c:val>
          <c:smooth val="0"/>
        </c:ser>
        <c:ser>
          <c:idx val="7"/>
          <c:order val="7"/>
          <c:tx>
            <c:v>Base closing</c:v>
          </c:tx>
          <c:cat>
            <c:strRef>
              <c:f>'SWF_Scenario'!$A$14:$A$43</c:f>
              <c:strCache>
                <c:ptCount val="0"/>
              </c:strCache>
            </c:strRef>
          </c:cat>
          <c:val>
            <c:numRef>
              <c:f>'SWF_Scenario'!$I$14:$I$43</c:f>
              <c:numCache>
                <c:formatCode>$#,##0.0;[Red]($#,##0.0);-</c:formatCode>
                <c:ptCount val="0"/>
              </c:numCache>
            </c:numRef>
          </c:val>
          <c:smooth val="0"/>
        </c:ser>
        <c:ser>
          <c:idx val="8"/>
          <c:order val="8"/>
          <c:tx>
            <c:v>High closing</c:v>
          </c:tx>
          <c:cat>
            <c:strRef>
              <c:f>'SWF_Scenario'!$A$14:$A$43</c:f>
              <c:strCache>
                <c:ptCount val="0"/>
              </c:strCache>
            </c:strRef>
          </c:cat>
          <c:val>
            <c:numRef>
              <c:f>'SWF_Scenario'!$J$14:$J$43</c:f>
              <c:numCache>
                <c:formatCode>$#,##0.0;[Red]($#,##0.0);-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Resource Rent and Public Capture</a:t>
            </a:r>
          </a:p>
        </c:rich>
      </c:tx>
      <c:overlay val="0"/>
    </c:title>
    <c:autoTitleDeleted val="0"/>
    <c:plotArea>
      <c:layout/>
      <c:barChart>
        <c:barDir val="col"/>
        <c:grouping val="clustered"/>
        <c:varyColors val="0"/>
        <c:ser>
          <c:idx val="0"/>
          <c:order val="0"/>
          <c:tx>
            <c:v>Base ($B)</c:v>
          </c:tx>
          <c:cat>
            <c:strRef>
              <c:f>'Dashboard'!$F$6:$F$8</c:f>
              <c:strCache>
                <c:ptCount val="0"/>
              </c:strCache>
            </c:strRef>
          </c:cat>
          <c:val>
            <c:numRef>
              <c:f>'Dashboard'!$G$6:$G$8</c:f>
              <c:numCache>
                <c:formatCode>$#,##0.0;[Red]($#,##0.0);-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Federated Public Wealth — Low, Base and High</a:t>
            </a:r>
          </a:p>
        </c:rich>
      </c:tx>
      <c:overlay val="0"/>
    </c:title>
    <c:autoTitleDeleted val="0"/>
    <c:plotArea>
      <c:layout/>
      <c:lineChart>
        <c:grouping val="standard"/>
        <c:varyColors val="0"/>
        <c:ser>
          <c:idx val="0"/>
          <c:order val="0"/>
          <c:tx>
            <c:v>Low closing</c:v>
          </c:tx>
          <c:cat>
            <c:strRef>
              <c:f>'SWF_Scenario'!$N$14:$N$43</c:f>
              <c:strCache>
                <c:ptCount val="0"/>
              </c:strCache>
            </c:strRef>
          </c:cat>
          <c:val>
            <c:numRef>
              <c:f>'SWF_Scenario'!$O$14:$O$43</c:f>
              <c:numCache>
                <c:formatCode>$#,##0.0;[Red]($#,##0.0);-</c:formatCode>
                <c:ptCount val="0"/>
              </c:numCache>
            </c:numRef>
          </c:val>
          <c:smooth val="0"/>
        </c:ser>
        <c:ser>
          <c:idx val="1"/>
          <c:order val="1"/>
          <c:tx>
            <c:v>Base closing</c:v>
          </c:tx>
          <c:cat>
            <c:strRef>
              <c:f>'SWF_Scenario'!$N$14:$N$43</c:f>
              <c:strCache>
                <c:ptCount val="0"/>
              </c:strCache>
            </c:strRef>
          </c:cat>
          <c:val>
            <c:numRef>
              <c:f>'SWF_Scenario'!$P$14:$P$43</c:f>
              <c:numCache>
                <c:formatCode>$#,##0.0;[Red]($#,##0.0);-</c:formatCode>
                <c:ptCount val="0"/>
              </c:numCache>
            </c:numRef>
          </c:val>
          <c:smooth val="0"/>
        </c:ser>
        <c:ser>
          <c:idx val="2"/>
          <c:order val="2"/>
          <c:tx>
            <c:v>High closing</c:v>
          </c:tx>
          <c:cat>
            <c:strRef>
              <c:f>'SWF_Scenario'!$N$14:$N$43</c:f>
              <c:strCache>
                <c:ptCount val="0"/>
              </c:strCache>
            </c:strRef>
          </c:cat>
          <c:val>
            <c:numRef>
              <c:f>'SWF_Scenario'!$Q$14:$Q$43</c:f>
              <c:numCache>
                <c:formatCode>$#,##0.0;[Red]($#,##0.0);-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2024 Alberta royalty-account components</a:t>
            </a:r>
          </a:p>
        </c:rich>
      </c:tx>
      <c:overlay val="0"/>
    </c:title>
    <c:autoTitleDeleted val="0"/>
    <c:plotArea>
      <c:layout/>
      <c:barChart>
        <c:barDir val="col"/>
        <c:varyColors val="0"/>
        <c:ser>
          <c:idx val="0"/>
          <c:order val="0"/>
          <c:tx>
            <c:v>Series 1</c:v>
          </c:tx>
          <c:cat>
            <c:strRef>
              <c:f>'AB_OS_Fiscal_Diagnostic'!$A$12:$A$22</c:f>
              <c:strCache>
                <c:ptCount val="0"/>
              </c:strCache>
            </c:strRef>
          </c:cat>
          <c:val>
            <c:numRef>
              <c:f>'AB_OS_Fiscal_Diagnostic'!$B$12:$B$22</c:f>
              <c:numCache>
                <c:formatCode>$0.000;[Red]($0.000);-</c:formatCode>
                <c:ptCount val="0"/>
              </c:numCache>
            </c:numRef>
          </c:val>
        </c:ser>
        <c:ser>
          <c:idx val="1"/>
          <c:order val="1"/>
          <c:tx>
            <c:v>Series 2</c:v>
          </c:tx>
          <c:cat>
            <c:strRef>
              <c:f>'AB_OS_Fiscal_Diagnostic'!$A$12:$A$22</c:f>
              <c:strCache>
                <c:ptCount val="0"/>
              </c:strCache>
            </c:strRef>
          </c:cat>
          <c:val>
            <c:numRef>
              <c:f>'AB_OS_Fiscal_Diagnostic'!$C$12:$C$22</c:f>
              <c:numCache>
                <c:formatCode>$0.000;[Red]($0.000);-</c:formatCode>
                <c:ptCount val="0"/>
              </c:numCache>
            </c:numRef>
          </c:val>
        </c:ser>
        <c:ser>
          <c:idx val="2"/>
          <c:order val="2"/>
          <c:tx>
            <c:v>Series 3</c:v>
          </c:tx>
          <c:cat>
            <c:strRef>
              <c:f>'AB_OS_Fiscal_Diagnostic'!$A$12:$A$22</c:f>
              <c:strCache>
                <c:ptCount val="0"/>
              </c:strCache>
            </c:strRef>
          </c:cat>
          <c:val>
            <c:numRef>
              <c:f>'AB_OS_Fiscal_Diagnostic'!$D$12:$D$22</c:f>
              <c:numCache>
                <c:formatCode>$0.000;[Red]($0.000);-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Selected potash capital-expenditure evidence</a:t>
            </a:r>
          </a:p>
        </c:rich>
      </c:tx>
      <c:overlay val="0"/>
    </c:title>
    <c:autoTitleDeleted val="0"/>
    <c:plotArea>
      <c:layout/>
      <c:lineChart>
        <c:grouping val="standard"/>
        <c:varyColors val="0"/>
        <c:ser>
          <c:idx val="0"/>
          <c:order val="0"/>
          <c:tx>
            <c:v>Selected capex ($M)</c:v>
          </c:tx>
          <c:cat>
            <c:strRef>
              <c:f>'Potash_CAPEX_Vintages'!$K$6:$K$16</c:f>
              <c:strCache>
                <c:ptCount val="0"/>
              </c:strCache>
            </c:strRef>
          </c:cat>
          <c:val>
            <c:numRef>
              <c:f>'Potash_CAPEX_Vintages'!$L$6:$L$16</c:f>
              <c:numCache>
                <c:formatCode>#,##0.0;[Red](#,##0.0);-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3</xdr:row>
      <xdr:rowOff>0</xdr:rowOff>
    </xdr:from>
    <xdr:to>
      <xdr:col>20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c8eae17759479a"/>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9</xdr:row>
      <xdr:rowOff>0</xdr:rowOff>
    </xdr:from>
    <xdr:to>
      <xdr:col>12</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39a85edff14c77"/>
        </a:graphicData>
      </a:graphic>
    </xdr:graphicFrame>
    <xdr:clientData/>
  </xdr:twoCellAnchor>
  <xdr:twoCellAnchor>
    <xdr:from>
      <xdr:col>5</xdr:col>
      <xdr:colOff>0</xdr:colOff>
      <xdr:row>25</xdr:row>
      <xdr:rowOff>0</xdr:rowOff>
    </xdr:from>
    <xdr:to>
      <xdr:col>12</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2cb380e4154def"/>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10</xdr:row>
      <xdr:rowOff>0</xdr:rowOff>
    </xdr:from>
    <xdr:to>
      <xdr:col>17</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a8d8f6b8474df5"/>
        </a:graphicData>
      </a:graphic>
    </xdr:graphicFrame>
    <xdr:clientData/>
  </xdr:twoCellAnchor>
</xdr:wsDr>
</file>

<file path=xl/drawings/drawing4.xml><?xml version="1.0" encoding="utf-8"?>
<xdr:wsDr xmlns:xdr="http://schemas.openxmlformats.org/drawingml/2006/spreadsheetDrawing">
  <xdr:twoCellAnchor>
    <xdr:from>
      <xdr:col>10</xdr:col>
      <xdr:colOff>0</xdr:colOff>
      <xdr:row>17</xdr:row>
      <xdr:rowOff>0</xdr:rowOff>
    </xdr:from>
    <xdr:to>
      <xdr:col>18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efe03099aa42b7"/>
        </a:graphicData>
      </a:graphic>
    </xdr:graphicFrame>
    <xdr:clientData/>
  </xdr:twoCellAnchor>
</xdr:wsDr>
</file>

<file path=xl/tables/table1.xml><?xml version="1.0" encoding="utf-8"?>
<x:table xmlns:x="http://schemas.openxmlformats.org/spreadsheetml/2006/main" id="1" name="ResourceRentTable" displayName="ResourceRentTable" ref="A4:K11" headerRowCount="1">
  <x:tableColumns count="11">
    <x:tableColumn id="1" name="Year"/>
    <x:tableColumn id="2" name="Resource class"/>
    <x:tableColumn id="3" name="Observed asset value ($B)"/>
    <x:tableColumn id="4" name="Rent yield — Low"/>
    <x:tableColumn id="5" name="Rent yield — Base"/>
    <x:tableColumn id="6" name="Rent yield — High"/>
    <x:tableColumn id="7" name="Modelled rent — Low ($B)"/>
    <x:tableColumn id="8" name="Modelled rent — Base ($B)"/>
    <x:tableColumn id="9" name="Modelled rent — High ($B)"/>
    <x:tableColumn id="10" name="Status"/>
    <x:tableColumn id="11" name="Source URL"/>
  </x:tableColumns>
  <x:tableStyleInfo name="TableStyleMedium2" showRowStripes="1"/>
</x:table>
</file>

<file path=xl/tables/table2.xml><?xml version="1.0" encoding="utf-8"?>
<x:table xmlns:x="http://schemas.openxmlformats.org/spreadsheetml/2006/main" id="2" name="RoyaltyCaptureTable" displayName="RoyaltyCaptureTable" ref="A4:K19" headerRowCount="1">
  <x:tableColumns count="11">
    <x:tableColumn id="1" name="Year"/>
    <x:tableColumn id="2" name="Jurisdiction / government"/>
    <x:tableColumn id="3" name="Royalty / resource revenue ($B)"/>
    <x:tableColumn id="4" name="Lease, bonus and licence revenue ($B)"/>
    <x:tableColumn id="5" name="Resource-specific taxes ($B)"/>
    <x:tableColumn id="6" name="Public equity / dividend return ($B)"/>
    <x:tableColumn id="7" name="Total observed capture ($B)"/>
    <x:tableColumn id="8" name="Data status"/>
    <x:tableColumn id="9" name="Source URL"/>
    <x:tableColumn id="10" name="Notes"/>
    <x:tableColumn id="11" name="Include in national total?"/>
  </x:tableColumns>
  <x:tableStyleInfo name="TableStyleMedium2" showRowStripes="1"/>
</x:table>
</file>

<file path=xl/tables/table3.xml><?xml version="1.0" encoding="utf-8"?>
<x:table xmlns:x="http://schemas.openxmlformats.org/spreadsheetml/2006/main" id="3" name="PublicFundsTable" displayName="PublicFundsTable" ref="A4:K9" headerRowCount="1">
  <x:tableColumns count="11">
    <x:tableColumn id="1" name="Fund / institution"/>
    <x:tableColumn id="2" name="Jurisdiction"/>
    <x:tableColumn id="3" name="Reference date"/>
    <x:tableColumn id="4" name="Reported amount ($B)"/>
    <x:tableColumn id="5" name="Amount type"/>
    <x:tableColumn id="6" name="Primary purpose"/>
    <x:tableColumn id="7" name="Permanent principal?"/>
    <x:tableColumn id="8" name="Available for general spending?"/>
    <x:tableColumn id="9" name="Include in SWF starting base?"/>
    <x:tableColumn id="10" name="Status"/>
    <x:tableColumn id="11" name="Source URL"/>
  </x:tableColumns>
  <x:tableStyleInfo name="TableStyleMedium2" showRowStripes="1"/>
</x:table>
</file>

<file path=xl/tables/table4.xml><?xml version="1.0" encoding="utf-8"?>
<x:table xmlns:x="http://schemas.openxmlformats.org/spreadsheetml/2006/main" id="4" name="AlbertaOilSandsRoyalty2024" displayName="AlbertaOilSandsRoyalty2024" ref="A5:AF115" headerRowCount="1">
  <x:tableColumns count="32">
    <x:tableColumn id="1" name="Project"/>
    <x:tableColumn id="2" name="Project name"/>
    <x:tableColumn id="3" name="Operator"/>
    <x:tableColumn id="4" name="Year"/>
    <x:tableColumn id="5" name="Project revenue ($)"/>
    <x:tableColumn id="6" name="Diluent cost ($)"/>
    <x:tableColumn id="7" name="Gross revenue — source ($)"/>
    <x:tableColumn id="8" name="Gross identity diff ($)"/>
    <x:tableColumn id="9" name="Cleaned bitumen (bbl)"/>
    <x:tableColumn id="10" name="Gross revenue/bbl — source ($)"/>
    <x:tableColumn id="11" name="Gross revenue/bbl — calc ($)"/>
    <x:tableColumn id="12" name="Operating costs ($)"/>
    <x:tableColumn id="13" name="Capital costs ($)"/>
    <x:tableColumn id="14" name="Return allowance ($)"/>
    <x:tableColumn id="15" name="Other costs ($)"/>
    <x:tableColumn id="16" name="Other net proceeds ($)"/>
    <x:tableColumn id="17" name="Net revenue — source ($)"/>
    <x:tableColumn id="18" name="Net revenue — calc ($)"/>
    <x:tableColumn id="19" name="NET identity diff ($)"/>
    <x:tableColumn id="20" name="Royalty type"/>
    <x:tableColumn id="21" name="Royalty rate (%)"/>
    <x:tableColumn id="22" name="Royalty payable — source ($)"/>
    <x:tableColumn id="23" name="Royalty payable — calc ($)"/>
    <x:tableColumn id="24" name="Royalty difference ($)"/>
    <x:tableColumn id="25" name="Payout status"/>
    <x:tableColumn id="26" name="Unrecovered balance / net loss EOP ($)"/>
    <x:tableColumn id="27" name="Footnote"/>
    <x:tableColumn id="28" name="Source page"/>
    <x:tableColumn id="29" name="Source URL"/>
    <x:tableColumn id="30" name="Gross check"/>
    <x:tableColumn id="31" name="NET check"/>
    <x:tableColumn id="32" name="Royalty-rate check"/>
  </x:tableColumns>
  <x:tableStyleInfo name="TableStyleMedium2" showRowStripes="1"/>
</x:table>
</file>

<file path=xl/tables/table5.xml><?xml version="1.0" encoding="utf-8"?>
<x:table xmlns:x="http://schemas.openxmlformats.org/spreadsheetml/2006/main" id="5" name="HumanSourceReviewTable" displayName="HumanSourceReviewTable" ref="A4:T32" headerRowCount="1">
  <x:tableColumns count="20">
    <x:tableColumn id="1" name="Priority"/>
    <x:tableColumn id="2" name="Lineage ID"/>
    <x:tableColumn id="3" name="Target cell / range"/>
    <x:tableColumn id="4" name="Claim / measure"/>
    <x:tableColumn id="5" name="Workbook value / formula"/>
    <x:tableColumn id="6" name="Official source / table"/>
    <x:tableColumn id="7" name="Source URL"/>
    <x:tableColumn id="8" name="Reference period"/>
    <x:tableColumn id="9" name="Units"/>
    <x:tableColumn id="10" name="Source opens?"/>
    <x:tableColumn id="11" name="Claim found?"/>
    <x:tableColumn id="12" name="Period matches?"/>
    <x:tableColumn id="13" name="Units match?"/>
    <x:tableColumn id="14" name="Boundary matches?"/>
    <x:tableColumn id="15" name="Transformation correct?"/>
    <x:tableColumn id="16" name="Reviewer decision"/>
    <x:tableColumn id="17" name="Confidence"/>
    <x:tableColumn id="18" name="Exact source location / page / row"/>
    <x:tableColumn id="19" name="Reviewer notes"/>
    <x:tableColumn id="20" name="Escalation question"/>
  </x:tableColumns>
  <x:tableStyleInfo name="TableStyleMedium2" showRowStripes="1"/>
</x:table>
</file>

<file path=xl/tables/table6.xml><?xml version="1.0" encoding="utf-8"?>
<x:table xmlns:x="http://schemas.openxmlformats.org/spreadsheetml/2006/main" id="6" name="ThresholdApprovalTable" displayName="ThresholdApprovalTable" ref="A4:N21" headerRowCount="1">
  <x:tableColumns count="14">
    <x:tableColumn id="1" name="Parameter ID"/>
    <x:tableColumn id="2" name="Current value"/>
    <x:tableColumn id="3" name="Units"/>
    <x:tableColumn id="4" name="Class"/>
    <x:tableColumn id="5" name="Purpose"/>
    <x:tableColumn id="6" name="Plain-English meaning"/>
    <x:tableColumn id="7" name="Can you approve it alone?"/>
    <x:tableColumn id="8" name="Recommended treatment"/>
    <x:tableColumn id="9" name="Evidence/source"/>
    <x:tableColumn id="10" name="Reviewer decision"/>
    <x:tableColumn id="11" name="Reason for decision"/>
    <x:tableColumn id="12" name="Specialist type"/>
    <x:tableColumn id="13" name="Publication consequence"/>
    <x:tableColumn id="14" name="Status"/>
  </x:tableColumns>
  <x:tableStyleInfo name="TableStyleMedium2" showRowStripes="1"/>
</x:table>
</file>

<file path=xl/tables/table7.xml><?xml version="1.0" encoding="utf-8"?>
<x:table xmlns:x="http://schemas.openxmlformats.org/spreadsheetml/2006/main" id="7" name="RequiredReviewWalkthroughTable" displayName="RequiredReviewWalkthroughTable" ref="A4:M18" headerRowCount="1">
  <x:tableColumns count="13">
    <x:tableColumn id="1" name="Order"/>
    <x:tableColumn id="2" name="Lineage ID"/>
    <x:tableColumn id="3" name="Source / table"/>
    <x:tableColumn id="4" name="Source URL"/>
    <x:tableColumn id="5" name="Search for"/>
    <x:tableColumn id="6" name="Workbook claim"/>
    <x:tableColumn id="7" name="Simple review action"/>
    <x:tableColumn id="8" name="Expected result"/>
    <x:tableColumn id="9" name="Boundary warning"/>
    <x:tableColumn id="10" name="Suggested decision"/>
    <x:tableColumn id="11" name="Your decision"/>
    <x:tableColumn id="12" name="Exact location / note"/>
    <x:tableColumn id="13" name="Escalation ques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b803e7989fc48b1" /></Relationships>
</file>

<file path=xl/worksheets/_rels/sheet4.xml.rels>&#65279;<?xml version="1.0" encoding="utf-8"?><Relationships xmlns="http://schemas.openxmlformats.org/package/2006/relationships"><Relationship Type="http://schemas.openxmlformats.org/officeDocument/2006/relationships/table" Target="/xl/tables/table2.xml" Id="R17b3f81f87b141d2" /></Relationships>
</file>

<file path=xl/worksheets/_rels/sheet8.xml.rels>&#65279;<?xml version="1.0" encoding="utf-8"?><Relationships xmlns="http://schemas.openxmlformats.org/package/2006/relationships"><Relationship Type="http://schemas.openxmlformats.org/officeDocument/2006/relationships/table" Target="/xl/tables/table3.xml" Id="Rcb76c942a3ec4293" /></Relationships>
</file>

<file path=xl/worksheets/_rels/sheet9.xml.rels>&#65279;<?xml version="1.0" encoding="utf-8"?><Relationships xmlns="http://schemas.openxmlformats.org/package/2006/relationships"><Relationship Type="http://schemas.openxmlformats.org/officeDocument/2006/relationships/drawing" Target="/xl/drawings/drawing1.xml" Id="R3de8b9b9d611423b" /></Relationships>
</file>

<file path=xl/worksheets/_rels/sheet11.xml.rels>&#65279;<?xml version="1.0" encoding="utf-8"?><Relationships xmlns="http://schemas.openxmlformats.org/package/2006/relationships"><Relationship Type="http://schemas.openxmlformats.org/officeDocument/2006/relationships/drawing" Target="/xl/drawings/drawing2.xml" Id="R5b43ab42248f40ec" /></Relationships>
</file>

<file path=xl/worksheets/_rels/sheet48.xml.rels>&#65279;<?xml version="1.0" encoding="utf-8"?><Relationships xmlns="http://schemas.openxmlformats.org/package/2006/relationships"><Relationship Type="http://schemas.openxmlformats.org/officeDocument/2006/relationships/table" Target="/xl/tables/table4.xml" Id="R5be5cf5192b44528" /></Relationships>
</file>

<file path=xl/worksheets/_rels/sheet49.xml.rels>&#65279;<?xml version="1.0" encoding="utf-8"?><Relationships xmlns="http://schemas.openxmlformats.org/package/2006/relationships"><Relationship Type="http://schemas.openxmlformats.org/officeDocument/2006/relationships/drawing" Target="/xl/drawings/drawing3.xml" Id="R39e3cf3dce0c4167" /></Relationships>
</file>

<file path=xl/worksheets/_rels/sheet50.xml.rels>&#65279;<?xml version="1.0" encoding="utf-8"?><Relationships xmlns="http://schemas.openxmlformats.org/package/2006/relationships"><Relationship Type="http://schemas.openxmlformats.org/officeDocument/2006/relationships/drawing" Target="/xl/drawings/drawing4.xml" Id="Ra578d97fc6c44cbe" /></Relationships>
</file>

<file path=xl/worksheets/_rels/sheet63.xml.rels>&#65279;<?xml version="1.0" encoding="utf-8"?><Relationships xmlns="http://schemas.openxmlformats.org/package/2006/relationships"><Relationship Type="http://schemas.openxmlformats.org/officeDocument/2006/relationships/table" Target="/xl/tables/table5.xml" Id="R47713ffc26344d75" /></Relationships>
</file>

<file path=xl/worksheets/_rels/sheet64.xml.rels>&#65279;<?xml version="1.0" encoding="utf-8"?><Relationships xmlns="http://schemas.openxmlformats.org/package/2006/relationships"><Relationship Type="http://schemas.openxmlformats.org/officeDocument/2006/relationships/table" Target="/xl/tables/table6.xml" Id="R80f18e82ce0544cc" /></Relationships>
</file>

<file path=xl/worksheets/_rels/sheet66.xml.rels>&#65279;<?xml version="1.0" encoding="utf-8"?><Relationships xmlns="http://schemas.openxmlformats.org/package/2006/relationships"><Relationship Type="http://schemas.openxmlformats.org/officeDocument/2006/relationships/table" Target="/xl/tables/table7.xml" Id="Ra4d38f7ef0ab434c" /></Relationships>
</file>

<file path=xl/worksheets/sheet1.xml><?xml version="1.0" encoding="utf-8"?>
<x:worksheet xmlns:x="http://schemas.openxmlformats.org/spreadsheetml/2006/main">
  <x:sheetFormatPr defaultRowHeight="15"/>
  <x:cols>
    <x:col min="1" max="1" width="26" hidden="0" customWidth="1"/>
    <x:col min="2" max="2" width="80" hidden="0" customWidth="1"/>
    <x:col min="3" max="3" width="22" hidden="0" customWidth="1"/>
    <x:col min="4" max="4" width="22" hidden="0" customWidth="1"/>
    <x:col min="5" max="5" width="22" hidden="0" customWidth="1"/>
  </x:cols>
  <x:sheetData>
    <x:row r="1" ht="28" customHeight="1">
      <x:c r="A1" s="5" t="str">
        <x:v>Canadian Rent Model Workbook</x:v>
      </x:c>
      <x:c r="B1" s="5"/>
      <x:c r="C1" s="5"/>
      <x:c r="D1" s="5"/>
      <x:c r="E1" s="5"/>
      <x:c r="F1" s="5"/>
      <x:c r="G1" s="5"/>
      <x:c r="H1" s="5"/>
    </x:row>
    <x:row r="2" ht="34" customHeight="1">
      <x:c r="A2" s="14" t="str">
        <x:v>Prototype 0.18 — Alberta’s complete 2024 project-level oil-sands royalty accounts and a potash CAPEX revision-vintage ledger are added. The royalty dataset supports a fiscal diagnostic only; potash historical flows remain insufficient for produced-capital stock or CFC. Commodity economic rent and the national capture percentage remain locked.</x:v>
      </x:c>
      <x:c r="B2" s="14"/>
      <x:c r="C2" s="14"/>
      <x:c r="D2" s="14"/>
      <x:c r="E2" s="14"/>
      <x:c r="F2" s="14"/>
      <x:c r="G2" s="14"/>
      <x:c r="H2" s="14"/>
    </x:row>
    <x:row r="4" ht="22" customHeight="1">
      <x:c r="A4" s="22" t="str">
        <x:v>Purpose</x:v>
      </x:c>
      <x:c r="B4" s="22"/>
      <x:c r="C4" s="22"/>
      <x:c r="D4" s="22"/>
      <x:c r="E4" s="22"/>
      <x:c r="F4" s="22"/>
      <x:c r="G4" s="22"/>
      <x:c r="H4" s="22"/>
    </x:row>
    <x:row r="5" ht="28" customHeight="1">
      <x:c r="A5" s="26" t="str">
        <x:v>This workbook estimates how land, natural-resource, infrastructure and monopoly rents could be measured and converted into durable public wealth.</x:v>
      </x:c>
      <x:c r="B5" s="26"/>
      <x:c r="C5" s="26"/>
      <x:c r="D5" s="26"/>
      <x:c r="E5" s="26"/>
      <x:c r="F5" s="26"/>
      <x:c r="G5" s="26"/>
      <x:c r="H5" s="26"/>
    </x:row>
    <x:row r="6" ht="28" customHeight="1">
      <x:c r="A6" s="26" t="str">
        <x:v>It is a model, not an official national rent account. Blue values are hardcoded inputs. Yellow cells are assumptions. Green values link to another worksheet. Black values are formulas.</x:v>
      </x:c>
      <x:c r="B6" s="26"/>
      <x:c r="C6" s="26"/>
      <x:c r="D6" s="26"/>
      <x:c r="E6" s="26"/>
      <x:c r="F6" s="26"/>
      <x:c r="G6" s="26"/>
      <x:c r="H6" s="26"/>
    </x:row>
    <x:row r="7" ht="28" customHeight="1">
      <x:c r="A7" s="26" t="str">
        <x:v>The workbook must not be used to publish a national 'rent leakage' total until the Data needed fields are replaced with verified annual inputs.</x:v>
      </x:c>
      <x:c r="B7" s="26"/>
      <x:c r="C7" s="26"/>
      <x:c r="D7" s="26"/>
      <x:c r="E7" s="26"/>
      <x:c r="F7" s="26"/>
      <x:c r="G7" s="26"/>
      <x:c r="H7" s="26"/>
    </x:row>
    <x:row r="8" ht="28" customHeight="1">
      <x:c r="A8" s="26" t="str">
        <x:v>All monetary values are Canadian dollars in billions unless a column states otherwise.</x:v>
      </x:c>
      <x:c r="B8" s="26"/>
      <x:c r="C8" s="26"/>
      <x:c r="D8" s="26"/>
      <x:c r="E8" s="26"/>
      <x:c r="F8" s="26"/>
      <x:c r="G8" s="26"/>
      <x:c r="H8" s="26"/>
    </x:row>
    <x:row r="10" ht="22" customHeight="1">
      <x:c r="A10" s="22" t="str">
        <x:v>Model architecture</x:v>
      </x:c>
      <x:c r="B10" s="22"/>
      <x:c r="C10" s="22"/>
      <x:c r="D10" s="22"/>
      <x:c r="E10" s="22"/>
      <x:c r="F10" s="22"/>
      <x:c r="G10" s="22"/>
      <x:c r="H10" s="22"/>
    </x:row>
    <x:row r="11" ht="30" customHeight="1">
      <x:c r="A11" s="32" t="str">
        <x:v>Sheet</x:v>
      </x:c>
      <x:c r="B11" s="32" t="str">
        <x:v>Purpose</x:v>
      </x:c>
      <x:c r="C11" s="32" t="str">
        <x:v>Observed or modelled?</x:v>
      </x:c>
      <x:c r="D11" s="32" t="str">
        <x:v>Update frequency</x:v>
      </x:c>
      <x:c r="E11" s="32" t="str">
        <x:v>Primary limitation</x:v>
      </x:c>
      <x:c r="F11" t="str"/>
      <x:c r="G11" t="str"/>
      <x:c r="H11" t="str"/>
    </x:row>
    <x:row r="12">
      <x:c r="A12" s="26" t="str">
        <x:v>Dashboard</x:v>
      </x:c>
      <x:c r="B12" s="26" t="str">
        <x:v>Executive KPIs and charts</x:v>
      </x:c>
      <x:c r="C12" s="26" t="str">
        <x:v>Mixed</x:v>
      </x:c>
      <x:c r="D12" s="26" t="str">
        <x:v>Annual</x:v>
      </x:c>
      <x:c r="E12" s="26" t="str">
        <x:v>Depends on source sheets</x:v>
      </x:c>
      <x:c r="F12" t="str"/>
      <x:c r="G12" t="str"/>
      <x:c r="H12" t="str"/>
    </x:row>
    <x:row r="13">
      <x:c r="A13" s="26" t="str">
        <x:v>Assumptions</x:v>
      </x:c>
      <x:c r="B13" s="26" t="str">
        <x:v>Scenario choices and policy parameters</x:v>
      </x:c>
      <x:c r="C13" s="26" t="str">
        <x:v>Modelled</x:v>
      </x:c>
      <x:c r="D13" s="26" t="str">
        <x:v>As required</x:v>
      </x:c>
      <x:c r="E13" s="26" t="str">
        <x:v>Not evidence</x:v>
      </x:c>
      <x:c r="F13" t="str"/>
      <x:c r="G13" t="str"/>
      <x:c r="H13" t="str"/>
    </x:row>
    <x:row r="14">
      <x:c r="A14" s="26" t="str">
        <x:v>Resource_Rent</x:v>
      </x:c>
      <x:c r="B14" s="26" t="str">
        <x:v>Natural-resource assets and implied annual rent</x:v>
      </x:c>
      <x:c r="C14" s="26" t="str">
        <x:v>Observed assets; modelled rent</x:v>
      </x:c>
      <x:c r="D14" s="26" t="str">
        <x:v>Annual</x:v>
      </x:c>
      <x:c r="E14" s="26" t="str">
        <x:v>Annual rent series is not consolidated</x:v>
      </x:c>
      <x:c r="F14" t="str"/>
      <x:c r="G14" t="str"/>
      <x:c r="H14" t="str"/>
    </x:row>
    <x:row r="15">
      <x:c r="A15" s="26" t="str">
        <x:v>Royalty_Capture</x:v>
      </x:c>
      <x:c r="B15" s="26" t="str">
        <x:v>Royalties, fees and resource-tax capture by jurisdiction</x:v>
      </x:c>
      <x:c r="C15" s="26" t="str">
        <x:v>Input table</x:v>
      </x:c>
      <x:c r="D15" s="26" t="str">
        <x:v>Annual</x:v>
      </x:c>
      <x:c r="E15" s="26" t="str">
        <x:v>Requires provincial public accounts</x:v>
      </x:c>
      <x:c r="F15" t="str"/>
      <x:c r="G15" t="str"/>
      <x:c r="H15" t="str"/>
    </x:row>
    <x:row r="16">
      <x:c r="A16" s="26" t="str">
        <x:v>Land_Property</x:v>
      </x:c>
      <x:c r="B16" s="26" t="str">
        <x:v>Land-value and property-tax model</x:v>
      </x:c>
      <x:c r="C16" s="26" t="str">
        <x:v>Mixed</x:v>
      </x:c>
      <x:c r="D16" s="26" t="str">
        <x:v>Annual</x:v>
      </x:c>
      <x:c r="E16" s="26" t="str">
        <x:v>National land-rent series is unavailable</x:v>
      </x:c>
      <x:c r="F16" t="str"/>
      <x:c r="G16" t="str"/>
      <x:c r="H16" t="str"/>
    </x:row>
    <x:row r="17">
      <x:c r="A17" s="26" t="str">
        <x:v>Infrastructure_Gains</x:v>
      </x:c>
      <x:c r="B17" s="26" t="str">
        <x:v>Project-level land-value uplift and capture</x:v>
      </x:c>
      <x:c r="C17" s="26" t="str">
        <x:v>Modelled/case data</x:v>
      </x:c>
      <x:c r="D17" s="26" t="str">
        <x:v>Per project</x:v>
      </x:c>
      <x:c r="E17" s="26" t="str">
        <x:v>No consolidated national dataset</x:v>
      </x:c>
      <x:c r="F17" t="str"/>
      <x:c r="G17" t="str"/>
      <x:c r="H17" t="str"/>
    </x:row>
    <x:row r="18">
      <x:c r="A18" s="26" t="str">
        <x:v>Concentration</x:v>
      </x:c>
      <x:c r="B18" s="26" t="str">
        <x:v>HHI, CR3/CR10 and competition indicators</x:v>
      </x:c>
      <x:c r="C18" s="26" t="str">
        <x:v>Observed benchmarks + calculator</x:v>
      </x:c>
      <x:c r="D18" s="26" t="str">
        <x:v>Annual/case</x:v>
      </x:c>
      <x:c r="E18" s="26" t="str">
        <x:v>Industry markets require definition</x:v>
      </x:c>
      <x:c r="F18" t="str"/>
      <x:c r="G18" t="str"/>
      <x:c r="H18" t="str"/>
    </x:row>
    <x:row r="19">
      <x:c r="A19" s="26" t="str">
        <x:v>Public_Funds</x:v>
      </x:c>
      <x:c r="B19" s="26" t="str">
        <x:v>Existing permanent or strategic public funds</x:v>
      </x:c>
      <x:c r="C19" s="26" t="str">
        <x:v>Observed</x:v>
      </x:c>
      <x:c r="D19" s="26" t="str">
        <x:v>Quarterly/annual</x:v>
      </x:c>
      <x:c r="E19" s="26" t="str">
        <x:v>Funds have different mandates</x:v>
      </x:c>
      <x:c r="F19" t="str"/>
      <x:c r="G19" t="str"/>
      <x:c r="H19" t="str"/>
    </x:row>
    <x:row r="20">
      <x:c r="A20" s="26" t="str">
        <x:v>SWF_Scenario</x:v>
      </x:c>
      <x:c r="B20" s="26" t="str">
        <x:v>30-year federated wealth-fund scenarios</x:v>
      </x:c>
      <x:c r="C20" s="26" t="str">
        <x:v>Modelled</x:v>
      </x:c>
      <x:c r="D20" s="26" t="str">
        <x:v>Annual</x:v>
      </x:c>
      <x:c r="E20" s="26" t="str">
        <x:v>Not a forecast</x:v>
      </x:c>
      <x:c r="F20" t="str"/>
      <x:c r="G20" t="str"/>
      <x:c r="H20" t="str"/>
    </x:row>
    <x:row r="21">
      <x:c r="A21" t="str">
        <x:v>Discovery_Log</x:v>
      </x:c>
      <x:c r="B21" t="str">
        <x:v>Research findings, corrections and modelling consequences</x:v>
      </x:c>
      <x:c r="C21" t="str">
        <x:v>Observed research log</x:v>
      </x:c>
      <x:c r="D21" t="str">
        <x:v>Continuous</x:v>
      </x:c>
      <x:c r="E21" t="str">
        <x:v>Findings may require replacement with complete national datasets</x:v>
      </x:c>
    </x:row>
    <x:row r="22" ht="22" customHeight="1">
      <x:c r="A22" s="22" t="str">
        <x:v>Definitions</x:v>
      </x:c>
      <x:c r="B22" s="22"/>
      <x:c r="C22" s="22"/>
      <x:c r="D22" s="22"/>
      <x:c r="E22" s="22"/>
      <x:c r="F22" s="22"/>
      <x:c r="G22" s="22"/>
      <x:c r="H22" s="22"/>
    </x:row>
    <x:row r="23" ht="30" customHeight="1">
      <x:c r="A23" s="32" t="str">
        <x:v>Term</x:v>
      </x:c>
      <x:c r="B23" s="32" t="str">
        <x:v>Working definition</x:v>
      </x:c>
      <x:c r="C23" t="str"/>
      <x:c r="D23" t="str"/>
      <x:c r="E23" t="str"/>
      <x:c r="F23" t="str"/>
      <x:c r="G23" t="str"/>
      <x:c r="H23" t="str"/>
    </x:row>
    <x:row r="24">
      <x:c r="A24" s="26" t="str">
        <x:v>Economic rent</x:v>
      </x:c>
      <x:c r="B24" s="26" t="str">
        <x:v>Income above the amount required to keep labour, capital or an asset in its current use.</x:v>
      </x:c>
      <x:c r="C24" t="str"/>
      <x:c r="D24" t="str"/>
      <x:c r="E24" t="str"/>
      <x:c r="F24" t="str"/>
      <x:c r="G24" t="str"/>
      <x:c r="H24" t="str"/>
    </x:row>
    <x:row r="25">
      <x:c r="A25" s="26" t="str">
        <x:v>Resource rent</x:v>
      </x:c>
      <x:c r="B25" s="26" t="str">
        <x:v>Revenue from extraction less operating inputs, labour, depreciation and a normal return on produced capital.</x:v>
      </x:c>
      <x:c r="C25" t="str"/>
      <x:c r="D25" t="str"/>
      <x:c r="E25" t="str"/>
      <x:c r="F25" t="str"/>
      <x:c r="G25" t="str"/>
      <x:c r="H25" t="str"/>
    </x:row>
    <x:row r="26">
      <x:c r="A26" s="26" t="str">
        <x:v>Land rent</x:v>
      </x:c>
      <x:c r="B26" s="26" t="str">
        <x:v>Income or value attributable to the site and location rather than buildings or improvements.</x:v>
      </x:c>
      <x:c r="C26" t="str"/>
      <x:c r="D26" t="str"/>
      <x:c r="E26" t="str"/>
      <x:c r="F26" t="str"/>
      <x:c r="G26" t="str"/>
      <x:c r="H26" t="str"/>
    </x:row>
    <x:row r="27">
      <x:c r="A27" s="26" t="str">
        <x:v>Infrastructure-created gain</x:v>
      </x:c>
      <x:c r="B27" s="26" t="str">
        <x:v>Land-value uplift attributable to public infrastructure, rezoning or service access.</x:v>
      </x:c>
      <x:c r="C27" t="str"/>
      <x:c r="D27" t="str"/>
      <x:c r="E27" t="str"/>
      <x:c r="F27" t="str"/>
      <x:c r="G27" t="str"/>
      <x:c r="H27" t="str"/>
    </x:row>
    <x:row r="28">
      <x:c r="A28" s="26" t="str">
        <x:v>Monopoly rent</x:v>
      </x:c>
      <x:c r="B28" s="26" t="str">
        <x:v>Return associated with market power or protected scarcity rather than normal competitive return.</x:v>
      </x:c>
      <x:c r="C28" t="str"/>
      <x:c r="D28" t="str"/>
      <x:c r="E28" t="str"/>
      <x:c r="F28" t="str"/>
      <x:c r="G28" t="str"/>
      <x:c r="H28" t="str"/>
    </x:row>
    <x:row r="29">
      <x:c r="A29" s="26" t="str">
        <x:v>Capture rate</x:v>
      </x:c>
      <x:c r="B29" s="26" t="str">
        <x:v>Public revenue or ownership return divided by the modelled economic rent or gain.</x:v>
      </x:c>
      <x:c r="C29" t="str"/>
      <x:c r="D29" t="str"/>
      <x:c r="E29" t="str"/>
      <x:c r="F29" t="str"/>
      <x:c r="G29" t="str"/>
      <x:c r="H29" t="str"/>
    </x:row>
    <x:row r="30">
      <x:c r="A30" s="192" t="str">
        <x:v>New in Version 0.3</x:v>
      </x:c>
      <x:c r="B30" s="192"/>
      <x:c r="C30" s="192"/>
      <x:c r="D30" s="192"/>
      <x:c r="E30" s="192"/>
    </x:row>
    <x:row r="31">
      <x:c r="A31" s="213" t="str">
        <x:v>Rent_Flow_Method</x:v>
      </x:c>
      <x:c r="B31" s="214" t="str">
        <x:v>Separates NPV asset stocks, annual rent, annual public revenue and liabilities</x:v>
      </x:c>
      <x:c r="C31" s="214" t="str">
        <x:v>Mixed</x:v>
      </x:c>
      <x:c r="D31" s="214" t="str">
        <x:v>Annual</x:v>
      </x:c>
      <x:c r="E31" s="215" t="str">
        <x:v>Annual economic-rent series remains incomplete</x:v>
      </x:c>
    </x:row>
    <x:row r="32">
      <x:c r="A32" s="216" t="str">
        <x:v>Liability_Ledger</x:v>
      </x:c>
      <x:c r="B32" s="153" t="str">
        <x:v>Recognized remediation obligations and verified financial security</x:v>
      </x:c>
      <x:c r="C32" s="153" t="str">
        <x:v>Observed + gaps</x:v>
      </x:c>
      <x:c r="D32" s="153" t="str">
        <x:v>Annual</x:v>
      </x:c>
      <x:c r="E32" s="217" t="str">
        <x:v>Accounting liabilities do not capture all ecological damage</x:v>
      </x:c>
    </x:row>
    <x:row r="33">
      <x:c r="A33" s="216" t="str">
        <x:v>Indigenous_Models</x:v>
      </x:c>
      <x:c r="B33" s="153" t="str">
        <x:v>Treaty, revenue-sharing, equity and loan-guarantee structures</x:v>
      </x:c>
      <x:c r="C33" s="153" t="str">
        <x:v>Observed structures</x:v>
      </x:c>
      <x:c r="D33" s="153" t="str">
        <x:v>Continuous</x:v>
      </x:c>
      <x:c r="E33" s="217" t="str">
        <x:v>Nation- and agreement-specific</x:v>
      </x:c>
    </x:row>
    <x:row r="34">
      <x:c r="A34" s="216" t="str">
        <x:v>Constitution_Map</x:v>
      </x:c>
      <x:c r="B34" s="153" t="str">
        <x:v>Jurisdictional starting points for land, resources and taxation</x:v>
      </x:c>
      <x:c r="C34" s="153" t="str">
        <x:v>Legal research map</x:v>
      </x:c>
      <x:c r="D34" s="153" t="str">
        <x:v>As law changes</x:v>
      </x:c>
      <x:c r="E34" s="217" t="str">
        <x:v>Requires final Canadian legal review</x:v>
      </x:c>
    </x:row>
    <x:row r="35">
      <x:c r="A35" s="218" t="str">
        <x:v>Sector_Tests</x:v>
      </x:c>
      <x:c r="B35" s="219" t="str">
        <x:v>Concentration, entry and excess-return screens</x:v>
      </x:c>
      <x:c r="C35" s="219" t="str">
        <x:v>Observed screens + method</x:v>
      </x:c>
      <x:c r="D35" s="219" t="str">
        <x:v>Annual/case</x:v>
      </x:c>
      <x:c r="E35" s="220" t="str">
        <x:v>Concentration is not proof of rent</x:v>
      </x:c>
    </x:row>
    <x:row r="36">
      <x:c r="A36" s="279" t="str">
        <x:v>New in Version 0.4</x:v>
      </x:c>
      <x:c r="B36" s="279"/>
      <x:c r="C36" s="279"/>
      <x:c r="D36" s="279"/>
      <x:c r="E36" s="279"/>
    </x:row>
    <x:row r="37">
      <x:c r="A37" s="300" t="str">
        <x:v>Closure_Security</x:v>
      </x:c>
      <x:c r="B37" s="301" t="str">
        <x:v>Separates liability, security, quota, levy and annual closure spending</x:v>
      </x:c>
      <x:c r="C37" s="301" t="str">
        <x:v>Observed + gaps</x:v>
      </x:c>
      <x:c r="D37" s="301" t="str">
        <x:v>Annual</x:v>
      </x:c>
      <x:c r="E37" s="302" t="str">
        <x:v>National security held remains unavailable</x:v>
      </x:c>
    </x:row>
    <x:row r="38">
      <x:c r="A38" s="303" t="str">
        <x:v>Commodity_Rent_Bridge</x:v>
      </x:c>
      <x:c r="B38" s="153" t="str">
        <x:v>Builds annual rent and public/private allocation by commodity</x:v>
      </x:c>
      <x:c r="C38" s="153" t="str">
        <x:v>Formula framework</x:v>
      </x:c>
      <x:c r="D38" s="153" t="str">
        <x:v>Annual</x:v>
      </x:c>
      <x:c r="E38" s="304" t="str">
        <x:v>Sales and cost inputs remain incomplete</x:v>
      </x:c>
    </x:row>
    <x:row r="39">
      <x:c r="A39" s="305" t="str">
        <x:v>Jurisdiction_Queue</x:v>
      </x:c>
      <x:c r="B39" s="306" t="str">
        <x:v>Tracks remaining provincial, territorial, federal and Indigenous extraction</x:v>
      </x:c>
      <x:c r="C39" s="306" t="str">
        <x:v>Research queue</x:v>
      </x:c>
      <x:c r="D39" s="306" t="str">
        <x:v>Continuous</x:v>
      </x:c>
      <x:c r="E39" s="307" t="str">
        <x:v>Source discovery is not value verification</x:v>
      </x:c>
    </x:row>
    <x:row r="40">
      <x:c r="A40" s="342" t="str">
        <x:v>New in Version 0.5</x:v>
      </x:c>
      <x:c r="B40" s="342"/>
      <x:c r="C40" s="342"/>
      <x:c r="D40" s="342"/>
      <x:c r="E40" s="342"/>
    </x:row>
    <x:row r="41">
      <x:c r="A41" s="363" t="str">
        <x:v>StatsCan_Vector_Map</x:v>
      </x:c>
      <x:c r="B41" s="364" t="str">
        <x:v>Exact standardized rent/property-tax vector IDs and reconciliation controls</x:v>
      </x:c>
      <x:c r="C41" s="364" t="str">
        <x:v>Official metadata + pending values</x:v>
      </x:c>
      <x:c r="D41" s="364" t="str">
        <x:v>Annual</x:v>
      </x:c>
      <x:c r="E41" s="365" t="str">
        <x:v>WDS values not extracted in this environment</x:v>
      </x:c>
    </x:row>
    <x:row r="42">
      <x:c r="A42" s="366" t="str">
        <x:v>Revenue_Use</x:v>
      </x:c>
      <x:c r="B42" s="153" t="str">
        <x:v>Classifies direct saving, transfers, remediation, investment and fungible residuals</x:v>
      </x:c>
      <x:c r="C42" s="153" t="str">
        <x:v>Observed + gaps</x:v>
      </x:c>
      <x:c r="D42" s="153" t="str">
        <x:v>Annual</x:v>
      </x:c>
      <x:c r="E42" s="367" t="str">
        <x:v>Revenue is not dollar-for-dollar traceable without earmarking</x:v>
      </x:c>
    </x:row>
    <x:row r="43">
      <x:c r="A43" s="368" t="str">
        <x:v>Closure_Security expansion</x:v>
      </x:c>
      <x:c r="B43" s="369" t="str">
        <x:v>Transfer-related security and outstanding security owed</x:v>
      </x:c>
      <x:c r="C43" s="369" t="str">
        <x:v>Observed</x:v>
      </x:c>
      <x:c r="D43" s="369" t="str">
        <x:v>Annual</x:v>
      </x:c>
      <x:c r="E43" s="370" t="str">
        <x:v>Still not total security held</x:v>
      </x:c>
    </x:row>
    <x:row r="44">
      <x:c r="A44" s="465" t="str">
        <x:v>New in Version 0.6</x:v>
      </x:c>
      <x:c r="B44" s="465"/>
      <x:c r="C44" s="465"/>
      <x:c r="D44" s="465"/>
      <x:c r="E44" s="465"/>
    </x:row>
    <x:row r="45">
      <x:c r="A45" s="427" t="str">
        <x:v>Public_Account_Recon</x:v>
      </x:c>
      <x:c r="B45" s="428" t="str">
        <x:v>Preserves public-account and standardized CGFS measurements</x:v>
      </x:c>
      <x:c r="C45" s="428" t="str">
        <x:v>Observed + pending standardized values</x:v>
      </x:c>
      <x:c r="D45" s="428" t="str">
        <x:v>Annual</x:v>
      </x:c>
      <x:c r="E45" s="432" t="str">
        <x:v>Fiscal/calendar and classification differences</x:v>
      </x:c>
    </x:row>
    <x:row r="46">
      <x:c r="A46" s="433" t="str">
        <x:v>Rent_Component_Vectors</x:v>
      </x:c>
      <x:c r="B46" s="153" t="str">
        <x:v>Maps oil/gas, forestry, mineral, water and other rent vectors</x:v>
      </x:c>
      <x:c r="C46" s="153" t="str">
        <x:v>Official metadata</x:v>
      </x:c>
      <x:c r="D46" s="153" t="str">
        <x:v>Annual</x:v>
      </x:c>
      <x:c r="E46" s="436" t="str">
        <x:v>Observation payload still pending</x:v>
      </x:c>
    </x:row>
    <x:row r="47">
      <x:c r="A47" s="437" t="str">
        <x:v>Commodity_Data_Map</x:v>
      </x:c>
      <x:c r="B47" s="438" t="str">
        <x:v>Maps official sources for sales, inputs, labour, depreciation and capital</x:v>
      </x:c>
      <x:c r="C47" s="438" t="str">
        <x:v>Source architecture</x:v>
      </x:c>
      <x:c r="D47" s="438" t="str">
        <x:v>Annual</x:v>
      </x:c>
      <x:c r="E47" s="442" t="str">
        <x:v>Commodity allocation remains unbuilt</x:v>
      </x:c>
    </x:row>
    <x:row r="48">
      <x:c r="A48" s="505" t="str">
        <x:v>New in Version 0.7</x:v>
      </x:c>
      <x:c r="B48" s="505"/>
      <x:c r="C48" s="505"/>
      <x:c r="D48" s="505"/>
      <x:c r="E48" s="505"/>
    </x:row>
    <x:row r="49">
      <x:c r="A49" s="514" t="str">
        <x:v>CGFS_Extraction</x:v>
      </x:c>
      <x:c r="B49" s="515" t="str">
        <x:v>Exact request URLs, scaling fields, validation and full-table fallback</x:v>
      </x:c>
      <x:c r="C49" s="515" t="str">
        <x:v>Official protocol + blocked payload</x:v>
      </x:c>
      <x:c r="D49" s="515" t="str">
        <x:v>Annual</x:v>
      </x:c>
      <x:c r="E49" s="516" t="str">
        <x:v>Live payload unavailable in current environment</x:v>
      </x:c>
    </x:row>
    <x:row r="50">
      <x:c r="A50" s="517" t="str">
        <x:v>Commodity_Diagnostics</x:v>
      </x:c>
      <x:c r="B50" s="153" t="str">
        <x:v>Official accounting controls kept separate from economic rent</x:v>
      </x:c>
      <x:c r="C50" s="153" t="str">
        <x:v>Observed diagnostic + gaps</x:v>
      </x:c>
      <x:c r="D50" s="153" t="str">
        <x:v>Annual</x:v>
      </x:c>
      <x:c r="E50" s="518" t="str">
        <x:v>Accounting profit is not resource rent</x:v>
      </x:c>
    </x:row>
    <x:row r="51">
      <x:c r="A51" s="519" t="str">
        <x:v>Dashboard suppression</x:v>
      </x:c>
      <x:c r="B51" s="520" t="str">
        <x:v>Prevents scenario comparator from being reported as a capture rate</x:v>
      </x:c>
      <x:c r="C51" s="520" t="str">
        <x:v>Governance control</x:v>
      </x:c>
      <x:c r="D51" s="520" t="str">
        <x:v>Continuous</x:v>
      </x:c>
      <x:c r="E51" s="521" t="str">
        <x:v>Remains locked until CGFS and rent rows complete</x:v>
      </x:c>
    </x:row>
    <x:row r="52">
      <x:c r="A52" s="599" t="str">
        <x:v>New in Version 0.8</x:v>
      </x:c>
      <x:c r="B52" s="599"/>
      <x:c r="C52" s="599"/>
      <x:c r="D52" s="599"/>
      <x:c r="E52" s="599"/>
    </x:row>
    <x:row r="53">
      <x:c r="A53" s="620" t="str">
        <x:v>CGFS_Imported_2024</x:v>
      </x:c>
      <x:c r="B53" s="621" t="str">
        <x:v>All 28 receipt-validated rent and property-tax observations</x:v>
      </x:c>
      <x:c r="C53" s="621" t="str">
        <x:v>Official imported data</x:v>
      </x:c>
      <x:c r="D53" s="621" t="str">
        <x:v>Annual</x:v>
      </x:c>
      <x:c r="E53" s="622" t="str">
        <x:v>All 2024 values are preliminary</x:v>
      </x:c>
    </x:row>
    <x:row r="54">
      <x:c r="A54" s="625" t="str">
        <x:v>CGFS_Import_Receipt</x:v>
      </x:c>
      <x:c r="B54" s="626" t="str">
        <x:v>Hashes, counts, validations and import controls</x:v>
      </x:c>
      <x:c r="C54" s="626" t="str">
        <x:v>Audit evidence</x:v>
      </x:c>
      <x:c r="D54" s="626" t="str">
        <x:v>Per extraction</x:v>
      </x:c>
      <x:c r="E54" s="627" t="str">
        <x:v>Does not replace public-account reconciliation</x:v>
      </x:c>
    </x:row>
    <x:row r="55">
      <x:c r="A55" s="656" t="str">
        <x:v>New in Version 0.9</x:v>
      </x:c>
      <x:c r="B55" s="656"/>
      <x:c r="C55" s="656"/>
      <x:c r="D55" s="656"/>
      <x:c r="E55" s="656"/>
    </x:row>
    <x:row r="56">
      <x:c r="A56" s="677" t="str">
        <x:v>Jurisdiction_Reconciliation</x:v>
      </x:c>
      <x:c r="B56" s="678" t="str">
        <x:v>Quantifies known adjustments and unresolved CGFS/public-account residuals</x:v>
      </x:c>
      <x:c r="C56" s="678" t="str">
        <x:v>Observed + provisional explanation</x:v>
      </x:c>
      <x:c r="D56" s="678" t="str">
        <x:v>Annual</x:v>
      </x:c>
      <x:c r="E56" s="679" t="str">
        <x:v>Component vectors still required</x:v>
      </x:c>
    </x:row>
    <x:row r="57">
      <x:c r="A57" s="680" t="str">
        <x:v>Commodity_Output_Crosswalk</x:v>
      </x:c>
      <x:c r="B57" s="153" t="str">
        <x:v>Compares official NRSA commodity output with IO industry supply</x:v>
      </x:c>
      <x:c r="C57" s="153" t="str">
        <x:v>Observed controls</x:v>
      </x:c>
      <x:c r="D57" s="153" t="str">
        <x:v>Annual</x:v>
      </x:c>
      <x:c r="E57" s="681" t="str">
        <x:v>Boundaries are not automatically comparable</x:v>
      </x:c>
    </x:row>
    <x:row r="58">
      <x:c r="A58" s="680" t="str">
        <x:v>CGFS_Rent_Components</x:v>
      </x:c>
      <x:c r="B58" s="153" t="str">
        <x:v>Staging for 84 total/component rent observations</x:v>
      </x:c>
      <x:c r="C58" s="153" t="str">
        <x:v>Import staging</x:v>
      </x:c>
      <x:c r="D58" s="153" t="str">
        <x:v>Annual</x:v>
      </x:c>
      <x:c r="E58" s="681" t="str">
        <x:v>Awaiting local extractor</x:v>
      </x:c>
    </x:row>
    <x:row r="59">
      <x:c r="A59" s="682" t="str">
        <x:v>Commodity_Input_Staging</x:v>
      </x:c>
      <x:c r="B59" s="683" t="str">
        <x:v>Staging for output, labour, depreciation, capital and normal return</x:v>
      </x:c>
      <x:c r="C59" s="683" t="str">
        <x:v>Import staging</x:v>
      </x:c>
      <x:c r="D59" s="683" t="str">
        <x:v>Annual</x:v>
      </x:c>
      <x:c r="E59" s="684" t="str">
        <x:v>No economic-rent row complete</x:v>
      </x:c>
    </x:row>
    <x:row r="60">
      <x:c r="A60" s="719" t="str">
        <x:v>New in Version 0.10</x:v>
      </x:c>
      <x:c r="B60" s="719"/>
      <x:c r="C60" s="719"/>
      <x:c r="D60" s="719"/>
      <x:c r="E60" s="719"/>
    </x:row>
    <x:row r="61">
      <x:c r="A61" s="740" t="str">
        <x:v>Extractor_Errata</x:v>
      </x:c>
      <x:c r="B61" s="741" t="str">
        <x:v>Corrects federal vector sequence and labour-source failure</x:v>
      </x:c>
      <x:c r="C61" s="741" t="str">
        <x:v>Audit correction</x:v>
      </x:c>
      <x:c r="D61" s="741" t="str">
        <x:v>Per extraction</x:v>
      </x:c>
      <x:c r="E61" s="742" t="str">
        <x:v>v0.2 receipt preserved</x:v>
      </x:c>
    </x:row>
    <x:row r="62">
      <x:c r="A62" s="743" t="str">
        <x:v>Rent_Evidence_Receipt</x:v>
      </x:c>
      <x:c r="B62" s="153" t="str">
        <x:v>Reviews original receipt and corrected import metrics</x:v>
      </x:c>
      <x:c r="C62" s="153" t="str">
        <x:v>Audit evidence</x:v>
      </x:c>
      <x:c r="D62" s="153" t="str">
        <x:v>Per extraction</x:v>
      </x:c>
      <x:c r="E62" s="744" t="str">
        <x:v>PASS_WITH_CORRECTIONS</x:v>
      </x:c>
    </x:row>
    <x:row r="63">
      <x:c r="A63" s="743" t="str">
        <x:v>Industry_Input_Summary</x:v>
      </x:c>
      <x:c r="B63" s="153" t="str">
        <x:v>Official IO and geometric capital controls by extraction industry</x:v>
      </x:c>
      <x:c r="C63" s="153" t="str">
        <x:v>Observed controls</x:v>
      </x:c>
      <x:c r="D63" s="153" t="str">
        <x:v>Annual</x:v>
      </x:c>
      <x:c r="E63" s="744" t="str">
        <x:v>Not commodity economic rent</x:v>
      </x:c>
    </x:row>
    <x:row r="64">
      <x:c r="A64" s="745" t="str">
        <x:v>CGFS_Rent_Components</x:v>
      </x:c>
      <x:c r="B64" s="746" t="str">
        <x:v>82 valid observations and 14 balanced jurisdictions</x:v>
      </x:c>
      <x:c r="C64" s="746" t="str">
        <x:v>Official imported data</x:v>
      </x:c>
      <x:c r="D64" s="746" t="str">
        <x:v>Annual</x:v>
      </x:c>
      <x:c r="E64" s="747" t="str">
        <x:v>All values preliminary</x:v>
      </x:c>
    </x:row>
    <x:row r="65">
      <x:c r="A65" s="792" t="str">
        <x:v>New in Version 0.11</x:v>
      </x:c>
      <x:c r="B65" s="792"/>
      <x:c r="C65" s="792"/>
      <x:c r="D65" s="792"/>
      <x:c r="E65" s="792"/>
    </x:row>
    <x:row r="66">
      <x:c r="A66" s="813" t="str">
        <x:v>Labour_Benchmark_2024</x:v>
      </x:c>
      <x:c r="B66" s="814" t="str">
        <x:v>Compares IO employee compensation with total compensation for all jobs</x:v>
      </x:c>
      <x:c r="C66" s="814" t="str">
        <x:v>Official observed benchmarks</x:v>
      </x:c>
      <x:c r="D66" s="814" t="str">
        <x:v>2024</x:v>
      </x:c>
      <x:c r="E66" s="815" t="str">
        <x:v>Concepts differ; no automatic replacement</x:v>
      </x:c>
    </x:row>
    <x:row r="67">
      <x:c r="A67" s="816" t="str">
        <x:v>Extractor_Errata</x:v>
      </x:c>
      <x:c r="B67" s="153" t="str">
        <x:v>Corrects the historical labour table error</x:v>
      </x:c>
      <x:c r="C67" s="153" t="str">
        <x:v>Audit correction</x:v>
      </x:c>
      <x:c r="D67" s="153" t="str">
        <x:v>Per extraction</x:v>
      </x:c>
      <x:c r="E67" s="817" t="str">
        <x:v>v0.2.2 required for local archive</x:v>
      </x:c>
    </x:row>
    <x:row r="68">
      <x:c r="A68" s="818" t="str">
        <x:v>Rent_Evidence_Receipt</x:v>
      </x:c>
      <x:c r="B68" s="819" t="str">
        <x:v>Records 82 observations and 14 balanced jurisdictions</x:v>
      </x:c>
      <x:c r="C68" s="819" t="str">
        <x:v>Audit evidence</x:v>
      </x:c>
      <x:c r="D68" s="819" t="str">
        <x:v>Per extraction</x:v>
      </x:c>
      <x:c r="E68" s="820" t="str">
        <x:v>PASS_WITH_DISCLOSED_LIMITS</x:v>
      </x:c>
    </x:row>
    <x:row r="69">
      <x:c r="A69" s="905" t="str">
        <x:v>New in Version 0.12</x:v>
      </x:c>
      <x:c r="B69" s="905"/>
      <x:c r="C69" s="905"/>
      <x:c r="D69" s="905"/>
      <x:c r="E69" s="905"/>
    </x:row>
    <x:row r="70">
      <x:c r="A70" s="926" t="str">
        <x:v>Labour_Scaling_Audit</x:v>
      </x:c>
      <x:c r="B70" s="927" t="str">
        <x:v>Compares raw values, faulty manifest values and corrected billions</x:v>
      </x:c>
      <x:c r="C70" s="927" t="str">
        <x:v>Audit correction</x:v>
      </x:c>
      <x:c r="D70" s="927" t="str">
        <x:v>2024</x:v>
      </x:c>
      <x:c r="E70" s="928" t="str">
        <x:v>All ten labour values corrected by ×1,000</x:v>
      </x:c>
    </x:row>
    <x:row r="71">
      <x:c r="A71" s="929" t="str">
        <x:v>Capital_Boundary_Map</x:v>
      </x:c>
      <x:c r="B71" s="153" t="str">
        <x:v>Separates direct, aggregate, residual and support capital controls</x:v>
      </x:c>
      <x:c r="C71" s="153" t="str">
        <x:v>Observed + derived controls</x:v>
      </x:c>
      <x:c r="D71" s="153" t="str">
        <x:v>2024</x:v>
      </x:c>
      <x:c r="E71" s="930" t="str">
        <x:v>Commodity allocation remains prohibited</x:v>
      </x:c>
    </x:row>
    <x:row r="72">
      <x:c r="A72" s="929" t="str">
        <x:v>Rent_Evidence_Receipt</x:v>
      </x:c>
      <x:c r="B72" s="153" t="str">
        <x:v>Records selective import of v0.2.3 evidence</x:v>
      </x:c>
      <x:c r="C72" s="153" t="str">
        <x:v>Audit evidence</x:v>
      </x:c>
      <x:c r="D72" s="153" t="str">
        <x:v>Per extraction</x:v>
      </x:c>
      <x:c r="E72" s="930" t="str">
        <x:v>PASS_WITH_DISCLOSED_LIMITS</x:v>
      </x:c>
    </x:row>
    <x:row r="73">
      <x:c r="A73" s="931" t="str">
        <x:v>Extractor v0.2.3</x:v>
      </x:c>
      <x:c r="B73" s="932" t="str">
        <x:v>Applies monetary UOM and scalar metadata together</x:v>
      </x:c>
      <x:c r="C73" s="932" t="str">
        <x:v>Code correction</x:v>
      </x:c>
      <x:c r="D73" s="932" t="str">
        <x:v>Current evidence package</x:v>
      </x:c>
      <x:c r="E73" s="933" t="str">
        <x:v>Targets v0.12 source workbook; v0.13 adds a controlled allocation layer</x:v>
      </x:c>
    </x:row>
    <x:row r="74">
      <x:c r="A74" s="1076" t="str">
        <x:v>New in Version 0.13</x:v>
      </x:c>
      <x:c r="B74" s="1076"/>
      <x:c r="C74" s="1076"/>
      <x:c r="D74" s="1076"/>
      <x:c r="E74" s="1076"/>
    </x:row>
    <x:row r="75">
      <x:c r="A75" s="108" t="str">
        <x:v>Capital_Allocation_2024</x:v>
      </x:c>
      <x:c r="B75" s="26" t="str">
        <x:v>Reconciles residual CFC and net stock using disclosed 2024 tangible-CAPEX proxy shares</x:v>
      </x:c>
      <x:c r="C75" s="26" t="str">
        <x:v>Observed controls + provisional allocation</x:v>
      </x:c>
      <x:c r="D75" s="26" t="str">
        <x:v>2024</x:v>
      </x:c>
      <x:c r="E75" s="26" t="str">
        <x:v>Not an observed commodity-capital account</x:v>
      </x:c>
    </x:row>
    <x:row r="76">
      <x:c r="A76" s="108" t="str">
        <x:v>Assumptions normal-return block</x:v>
      </x:c>
      <x:c r="B76" s="26" t="str">
        <x:v>Calculates 5-year bond yield less annual-average CPI</x:v>
      </x:c>
      <x:c r="C76" s="26" t="str">
        <x:v>Observed benchmark + formula</x:v>
      </x:c>
      <x:c r="D76" s="26" t="str">
        <x:v>2024</x:v>
      </x:c>
      <x:c r="E76" s="26" t="str">
        <x:v>Monthly yield average is a calculated benchmark</x:v>
      </x:c>
    </x:row>
    <x:row r="77">
      <x:c r="A77" s="108" t="str">
        <x:v>Industry_Input_Summary extension</x:v>
      </x:c>
      <x:c r="B77" s="26" t="str">
        <x:v>Adds normal return and post-capital operating-surplus controls</x:v>
      </x:c>
      <x:c r="C77" s="26" t="str">
        <x:v>Observed + provisional proxy</x:v>
      </x:c>
      <x:c r="D77" s="26" t="str">
        <x:v>2024</x:v>
      </x:c>
      <x:c r="E77" s="26" t="str">
        <x:v>Commodity boundaries remain unresolved</x:v>
      </x:c>
    </x:row>
    <x:row r="78">
      <x:c r="A78" s="108" t="str">
        <x:v>Commodity_Input_Staging lock</x:v>
      </x:c>
      <x:c r="B78" s="26" t="str">
        <x:v>Stages only compatible proxy controls and suppresses rent until every readiness field passes</x:v>
      </x:c>
      <x:c r="C78" s="26" t="str">
        <x:v>Governance formula</x:v>
      </x:c>
      <x:c r="D78" s="26" t="str">
        <x:v>Continuous</x:v>
      </x:c>
      <x:c r="E78" s="26" t="str">
        <x:v>No commodity economic-rent claim authorized</x:v>
      </x:c>
    </x:row>
    <x:row r="79">
      <x:c r="A79" t="str">
        <x:v>New in Version 0.14</x:v>
      </x:c>
      <x:c r="B79"/>
      <x:c r="C79"/>
      <x:c r="D79"/>
      <x:c r="E79"/>
    </x:row>
    <x:row r="80">
      <x:c r="A80" t="str">
        <x:v>Oil_Sands_Bridge_2024</x:v>
      </x:c>
      <x:c r="B80" t="str">
        <x:v>Reconciles the 2024 oil-sands industry production account, labour check, capital allocation and normal return</x:v>
      </x:c>
      <x:c r="C80" t="str">
        <x:v>Observed industry controls + provisional capital proxy</x:v>
      </x:c>
      <x:c r="D80" t="str">
        <x:v>2024</x:v>
      </x:c>
      <x:c r="E80" t="str">
        <x:v>Industry bridge passes; crude-bitumen commodity rent remains locked</x:v>
      </x:c>
    </x:row>
    <x:row r="81">
      <x:c r="A81" t="str">
        <x:v>Commodity_Rent_Bridge lock</x:v>
      </x:c>
      <x:c r="B81" t="str">
        <x:v>Records the passed industry diagnostic without transferring incompatible costs or capital into the crude-bitumen row</x:v>
      </x:c>
      <x:c r="C81" t="str">
        <x:v>Governance control</x:v>
      </x:c>
      <x:c r="D81" t="str">
        <x:v>2024</x:v>
      </x:c>
      <x:c r="E81" t="str">
        <x:v>No commodity economic-rent claim authorized</x:v>
      </x:c>
    </x:row>
    <x:row r="82">
      <x:c r="A82" t="str">
        <x:v>Oil-sands bridge receipt</x:v>
      </x:c>
      <x:c r="B82" t="str">
        <x:v>Records source hashes, vectors, calculations and terminal gates</x:v>
      </x:c>
      <x:c r="C82" t="str">
        <x:v>Audit evidence</x:v>
      </x:c>
      <x:c r="D82" t="str">
        <x:v>Per build</x:v>
      </x:c>
      <x:c r="E82" t="str">
        <x:v>Core SHA-256 67d5d27c2115c208771bad4d5a142898addfd6d1fb177d0b653fd2a49992871a</x:v>
      </x:c>
    </x:row>
    <x:row r="83">
      <x:c r="A83" s="1340" t="str">
        <x:v>New in Version 0.15</x:v>
      </x:c>
      <x:c r="B83" s="1340"/>
      <x:c r="C83" s="1340"/>
      <x:c r="D83" s="1340"/>
      <x:c r="E83" s="1340"/>
    </x:row>
    <x:row r="84">
      <x:c r="A84" s="26" t="str">
        <x:v>Capital_Proxy_Stress_Test</x:v>
      </x:c>
      <x:c r="B84" s="26" t="str">
        <x:v>Compares CAPEX-share and output-share allocations while holding official aggregate CFC, net stock and normal-return rate fixed</x:v>
      </x:c>
      <x:c r="C84" s="26" t="str">
        <x:v>Sensitivity / falsification control</x:v>
      </x:c>
      <x:c r="D84" s="26" t="str">
        <x:v>2024</x:v>
      </x:c>
      <x:c r="E84" s="26" t="str">
        <x:v>Rejects one-year CAPEX shares as point estimates</x:v>
      </x:c>
    </x:row>
    <x:row r="85">
      <x:c r="A85" s="26" t="str">
        <x:v>Potash_Bridge_2024</x:v>
      </x:c>
      <x:c r="B85" s="26" t="str">
        <x:v>Reconciles the potash industry production account and tests labour, commodity-output and produced-capital gates</x:v>
      </x:c>
      <x:c r="C85" s="26" t="str">
        <x:v>Observed industry controls + capital sensitivities</x:v>
      </x:c>
      <x:c r="D85" s="26" t="str">
        <x:v>2024</x:v>
      </x:c>
      <x:c r="E85" s="26" t="str">
        <x:v>Industry bridge passes; commodity rent remains locked</x:v>
      </x:c>
    </x:row>
    <x:row r="86">
      <x:c r="A86" s="26" t="str">
        <x:v>Potash bridge receipt</x:v>
      </x:c>
      <x:c r="B86" s="26" t="str">
        <x:v>Records values, allocation scenarios, gates and terminal ruling</x:v>
      </x:c>
      <x:c r="C86" s="26" t="str">
        <x:v>Audit evidence</x:v>
      </x:c>
      <x:c r="D86" s="26" t="str">
        <x:v>Per build</x:v>
      </x:c>
      <x:c r="E86" s="26" t="str">
        <x:v>Core SHA-256 0972dc5b6ee811352815814392b26c21ea0986dd1801f17018e072d022684199</x:v>
      </x:c>
    </x:row>
    <x:row r="87" ht="20" customHeight="1">
      <x:c r="A87" s="1452" t="str">
        <x:v>New in Version 0.16</x:v>
      </x:c>
      <x:c r="B87" s="1452"/>
      <x:c r="C87" s="1452"/>
      <x:c r="D87" s="1452"/>
      <x:c r="E87" s="1452"/>
    </x:row>
    <x:row r="88">
      <x:c r="A88" s="26" t="str">
        <x:v>Historical_Capital_Evidence</x:v>
      </x:c>
      <x:c r="B88" s="26" t="str">
        <x:v>Maps official historical investment, stock, CFC and PIM-method evidence</x:v>
      </x:c>
      <x:c r="C88" s="26" t="str">
        <x:v>Observed source architecture</x:v>
      </x:c>
      <x:c r="D88" s="26" t="str">
        <x:v>Continuous</x:v>
      </x:c>
      <x:c r="E88" s="26" t="str">
        <x:v>Detailed opening stock and potash CFC remain absent</x:v>
      </x:c>
    </x:row>
    <x:row r="89">
      <x:c r="A89" s="26" t="str">
        <x:v>Potash_PIM_Evidence_Gate</x:v>
      </x:c>
      <x:c r="B89" s="26" t="str">
        <x:v>Mechanical requirements before a detailed potash stock, CFC or normal return can be calculated</x:v>
      </x:c>
      <x:c r="C89" s="26" t="str">
        <x:v>Governance formulas + evidence status</x:v>
      </x:c>
      <x:c r="D89" s="26" t="str">
        <x:v>Per evidence update</x:v>
      </x:c>
      <x:c r="E89" s="26" t="str">
        <x:v>PIM remains unauthorized while mandatory inputs are missing</x:v>
      </x:c>
    </x:row>
    <x:row r="90">
      <x:c r="A90" s="26" t="str">
        <x:v>Capital_Data_Request</x:v>
      </x:c>
      <x:c r="B90" s="26" t="str">
        <x:v>Free-first public extraction sequence and exact Statistics Canada custom-data specification</x:v>
      </x:c>
      <x:c r="C90" s="26" t="str">
        <x:v>Acquisition protocol</x:v>
      </x:c>
      <x:c r="D90" s="26" t="str">
        <x:v>One-time then revisions</x:v>
      </x:c>
      <x:c r="E90" s="26" t="str">
        <x:v>Custom extract feasibility, disclosure and possible fee remain external</x:v>
      </x:c>
    </x:row>
    <x:row r="91">
      <x:c r="A91" s="26" t="str">
        <x:v>Potash_Bridge_2024 lock</x:v>
      </x:c>
      <x:c r="B91" s="26" t="str">
        <x:v>Retains passed operating identity while redirecting capital work to the evidence gate</x:v>
      </x:c>
      <x:c r="C91" s="26" t="str">
        <x:v>Governance control</x:v>
      </x:c>
      <x:c r="D91" s="26" t="str">
        <x:v>Continuous</x:v>
      </x:c>
      <x:c r="E91" s="26" t="str">
        <x:v>No commodity economic-rent point estimate authorized</x:v>
      </x:c>
    </x:row>
    <x:row r="93">
      <x:c r="A93" s="1654" t="str">
        <x:v>New in Version 0.19</x:v>
      </x:c>
      <x:c r="B93" s="1654"/>
      <x:c r="C93" s="1654"/>
      <x:c r="D93" s="1654"/>
      <x:c r="E93" s="1654"/>
    </x:row>
    <x:row r="94">
      <x:c r="A94" s="1677" t="str">
        <x:v>Potash_CAPEX_Vintages extension</x:v>
      </x:c>
      <x:c r="B94" s="1622" t="str">
        <x:v>Adds post-2014 public controls, preserves missing years and distinguishes preliminary, revised and intentions vintages</x:v>
      </x:c>
      <x:c r="C94" s="1622" t="str">
        <x:v>Observed public evidence + explicit gaps</x:v>
      </x:c>
      <x:c r="D94" s="1622" t="str">
        <x:v>2015–2026</x:v>
      </x:c>
      <x:c r="E94" s="1622" t="str">
        <x:v>Historical investment remains partial; no stock/CFC inferred</x:v>
      </x:c>
    </x:row>
    <x:row r="95">
      <x:c r="A95" s="1677" t="str">
        <x:v>Potash_Asset_Cube_Audit</x:v>
      </x:c>
      <x:c r="B95" s="1622" t="str">
        <x:v>Tests whether table 34-10-0039-01 authorizes an asset-level potash investment series</x:v>
      </x:c>
      <x:c r="C95" s="1622" t="str">
        <x:v>Source-architecture and suppression gate</x:v>
      </x:c>
      <x:c r="D95" s="1622" t="str">
        <x:v>2006–current</x:v>
      </x:c>
      <x:c r="E95" s="1622" t="str">
        <x:v>Table exists; exact unsuppressed potash rows remain unverified</x:v>
      </x:c>
    </x:row>
    <x:row r="96">
      <x:c r="A96" s="1677" t="str">
        <x:v>AB_Royalty_Reconciliation</x:v>
      </x:c>
      <x:c r="B96" s="1622" t="str">
        <x:v>Bridges project-table, CGFS and public-account royalty totals by scope, period and accounting basis</x:v>
      </x:c>
      <x:c r="C96" s="1622" t="str">
        <x:v>Observed receipt controls + formula diagnostics</x:v>
      </x:c>
      <x:c r="D96" s="1622" t="str">
        <x:v>2024 / FY2023-24 / FY2024-25</x:v>
      </x:c>
      <x:c r="E96" s="1622" t="str">
        <x:v>Receipt boundaries reconcile conceptually; no capture percentage authorized</x:v>
      </x:c>
    </x:row>
    <x:row r="97">
      <x:c r="A97" s="1678" t="str">
        <x:v>v0.19 terminal status</x:v>
      </x:c>
      <x:c r="B97" s="1623" t="str">
        <x:v>Preserves zero authorized commodity economic-rent rows and rejects all further proxy capital allocation</x:v>
      </x:c>
      <x:c r="C97" s="1623" t="str">
        <x:v>Governance control</x:v>
      </x:c>
      <x:c r="D97" s="1623" t="str">
        <x:v>Continuous</x:v>
      </x:c>
      <x:c r="E97" s="1623" t="str">
        <x:v>PASS_WITH_DISCLOSED_LIMITS</x:v>
      </x:c>
    </x:row>
    <x:row r="99">
      <x:c r="A99" s="1731" t="str">
        <x:v>New in Version 0.20</x:v>
      </x:c>
      <x:c r="B99" s="1731"/>
      <x:c r="C99" s="1731"/>
      <x:c r="D99" s="1731"/>
      <x:c r="E99" s="1731"/>
    </x:row>
    <x:row r="100">
      <x:c r="A100" s="1677" t="str">
        <x:v>Potash_Producer_Evidence</x:v>
      </x:c>
      <x:c r="B100" s="1622" t="str">
        <x:v>Maps producer-level 2024 operating, depreciation, tax and boundary disclosures for Nutrien, Mosaic, K+S and BHP</x:v>
      </x:c>
      <x:c r="C100" s="1622" t="str">
        <x:v>Corporate filings + official project records</x:v>
      </x:c>
      <x:c r="D100" s="1622" t="str">
        <x:v>2024 with disclosed historical controls</x:v>
      </x:c>
      <x:c r="E100" s="1622" t="str">
        <x:v>Triangulation only; no complete Canada-only net stock or CFC</x:v>
      </x:c>
    </x:row>
    <x:row r="101">
      <x:c r="A101" s="1677" t="str">
        <x:v>Potash_CIP_Productive_Bridge</x:v>
      </x:c>
      <x:c r="B101" s="1622" t="str">
        <x:v>Separates producing capital from construction-in-progress and commissioning transitions</x:v>
      </x:c>
      <x:c r="C101" s="1622" t="str">
        <x:v>Project-stage evidence and governance tests</x:v>
      </x:c>
      <x:c r="D101" s="1622" t="str">
        <x:v>2024</x:v>
      </x:c>
      <x:c r="E101" s="1622" t="str">
        <x:v>Jansen excluded; K3 and Bethune require cohort/in-service detail</x:v>
      </x:c>
    </x:row>
    <x:row r="102">
      <x:c r="A102" s="1677" t="str">
        <x:v>Potash_PIM_Evidence_Gate update</x:v>
      </x:c>
      <x:c r="B102" s="1622" t="str">
        <x:v>Recognizes partial producer D&amp;A and CWIP evidence without weakening the opening-stock, CFC or reconciliation gates</x:v>
      </x:c>
      <x:c r="C102" s="1622" t="str">
        <x:v>Mechanical authorization control</x:v>
      </x:c>
      <x:c r="D102" s="1622" t="str">
        <x:v>Per evidence update</x:v>
      </x:c>
      <x:c r="E102" s="1622" t="str">
        <x:v>PIM, normal return and commodity rent remain locked</x:v>
      </x:c>
    </x:row>
    <x:row r="103">
      <x:c r="A103" s="1775" t="str">
        <x:v>v0.20 terminal status</x:v>
      </x:c>
      <x:c r="B103" s="1750" t="str">
        <x:v>Producer and project evidence improved; no proxy capital allocation added</x:v>
      </x:c>
      <x:c r="C103" s="1750" t="str">
        <x:v>Governance control</x:v>
      </x:c>
      <x:c r="D103" s="1750" t="str">
        <x:v>Continuous</x:v>
      </x:c>
      <x:c r="E103" s="1750" t="str">
        <x:v>PASS_WITH_DISCLOSED_LIMITS</x:v>
      </x:c>
    </x:row>
    <x:row r="105">
      <x:c r="A105" s="1832" t="str">
        <x:v>New in Version 0.22</x:v>
      </x:c>
      <x:c r="B105" s="1832"/>
      <x:c r="C105" s="1832"/>
      <x:c r="D105" s="1832"/>
      <x:c r="E105" s="1832"/>
    </x:row>
    <x:row r="106">
      <x:c r="A106" s="26" t="str">
        <x:v>Evidence_Dashboard</x:v>
      </x:c>
      <x:c r="B106" s="26" t="str">
        <x:v>Observed controls and publication gates only; no scenario outputs</x:v>
      </x:c>
      <x:c r="C106" s="26" t="str">
        <x:v>Governance dashboard</x:v>
      </x:c>
      <x:c r="D106" s="26" t="str">
        <x:v>Current</x:v>
      </x:c>
      <x:c r="E106" s="26" t="str">
        <x:v>Use this sheet for external evidence-status reporting</x:v>
      </x:c>
    </x:row>
    <x:row r="107">
      <x:c r="A107" s="26" t="str">
        <x:v>Governance_Remediation</x:v>
      </x:c>
      <x:c r="B107" s="26" t="str">
        <x:v>Records post-audit corrections and the corrected v0.21 false positive</x:v>
      </x:c>
      <x:c r="C107" s="26" t="str">
        <x:v>Remediation ledger</x:v>
      </x:c>
      <x:c r="D107" s="26" t="str">
        <x:v>Per release</x:v>
      </x:c>
      <x:c r="E107" s="26" t="str">
        <x:v>Seven remediation decisions</x:v>
      </x:c>
    </x:row>
    <x:row r="108">
      <x:c r="A108" s="26" t="str">
        <x:v>Commodity_Rent_Bridge correction</x:v>
      </x:c>
      <x:c r="B108" s="26" t="str">
        <x:v>Missing inputs are blank and calculations remain blank until complete</x:v>
      </x:c>
      <x:c r="C108" s="26" t="str">
        <x:v>Publication firewall</x:v>
      </x:c>
      <x:c r="D108" s="26" t="str">
        <x:v>2024</x:v>
      </x:c>
      <x:c r="E108" s="26" t="str">
        <x:v>No false zero rent</x:v>
      </x:c>
    </x:row>
    <x:row r="109">
      <x:c r="A109" s="26" t="str">
        <x:v>Receipt and land-revenue correction</x:v>
      </x:c>
      <x:c r="B109" s="26" t="str">
        <x:v>Unknown jurisdiction/category values are blank rather than zero</x:v>
      </x:c>
      <x:c r="C109" s="26" t="str">
        <x:v>Evidence hygiene</x:v>
      </x:c>
      <x:c r="D109" s="26" t="str">
        <x:v>2024 / fiscal comparators</x:v>
      </x:c>
      <x:c r="E109" s="26" t="str">
        <x:v>Lower bounds remain visibly incomplete</x:v>
      </x:c>
    </x:row>
    <x:row r="110">
      <x:c r="A110" s="26" t="str">
        <x:v>Scenario separation</x:v>
      </x:c>
      <x:c r="B110" s="26" t="str">
        <x:v>Resource, land, infrastructure and wealth outputs are explicitly scenarios</x:v>
      </x:c>
      <x:c r="C110" s="26" t="str">
        <x:v>Presentation control</x:v>
      </x:c>
      <x:c r="D110" s="26" t="str">
        <x:v>Continuous</x:v>
      </x:c>
      <x:c r="E110" s="26" t="str">
        <x:v>Not empirical findings</x:v>
      </x:c>
    </x:row>
    <x:row r="111">
      <x:c r="A111" s="26" t="str">
        <x:v>v0.22 terminal status</x:v>
      </x:c>
      <x:c r="B111" s="26" t="str">
        <x:v>Governance remediation passed; research gates remain unchanged</x:v>
      </x:c>
      <x:c r="C111" s="26" t="str">
        <x:v>Governance control</x:v>
      </x:c>
      <x:c r="D111" s="26" t="str">
        <x:v>Continuous</x:v>
      </x:c>
      <x:c r="E111" s="26" t="str">
        <x:v>PASS_WITH_DISCLOSED_LIMITS — NOT PUBLICATION READY</x:v>
      </x:c>
    </x:row>
    <x:row r="113">
      <x:c r="A113" s="1908" t="str">
        <x:v>New in Version 0.23</x:v>
      </x:c>
      <x:c r="B113" s="1908"/>
      <x:c r="C113" s="1908"/>
      <x:c r="D113" s="1908"/>
      <x:c r="E113" s="1908"/>
    </x:row>
    <x:row r="114">
      <x:c r="A114" s="26" t="str">
        <x:v>Model_Parameters</x:v>
      </x:c>
      <x:c r="B114" s="26" t="str">
        <x:v>Central material assumptions, validation thresholds and Canadian legal-screen parameters</x:v>
      </x:c>
      <x:c r="C114" s="26" t="str">
        <x:v>Governance input</x:v>
      </x:c>
      <x:c r="D114" s="26" t="str">
        <x:v>Current</x:v>
      </x:c>
      <x:c r="E114" s="26" t="str">
        <x:v>Technical constants are no longer hidden in formulas</x:v>
      </x:c>
    </x:row>
    <x:row r="115">
      <x:c r="A115" s="26" t="str">
        <x:v>Source_Lineage_Register</x:v>
      </x:c>
      <x:c r="B115" s="26" t="str">
        <x:v>Direct source-to-cell lineage for material claimed observations</x:v>
      </x:c>
      <x:c r="C115" s="26" t="str">
        <x:v>Evidence lineage</x:v>
      </x:c>
      <x:c r="D115" s="26" t="str">
        <x:v>28 records</x:v>
      </x:c>
      <x:c r="E115" s="26" t="str">
        <x:v>Includes URLs, periods, units, transformations and receipts</x:v>
      </x:c>
    </x:row>
    <x:row r="116">
      <x:c r="A116" s="26" t="str">
        <x:v>Formula_Constants_Review</x:v>
      </x:c>
      <x:c r="B116" s="26" t="str">
        <x:v>Summary and detailed review of all v0.21 formula cells with embedded constants</x:v>
      </x:c>
      <x:c r="C116" s="26" t="str">
        <x:v>Formula governance</x:v>
      </x:c>
      <x:c r="D116" s="26" t="str">
        <x:v>653 baseline formulas</x:v>
      </x:c>
      <x:c r="E116" s="26" t="str">
        <x:v>Material constants centralized or retired</x:v>
      </x:c>
    </x:row>
    <x:row r="117">
      <x:c r="A117" s="26" t="str">
        <x:v>Assumption_Register</x:v>
      </x:c>
      <x:c r="B117" s="26" t="str">
        <x:v>Disposition of all cells classified as assumptions in the v0.21 audit</x:v>
      </x:c>
      <x:c r="C117" s="26" t="str">
        <x:v>Assumption governance</x:v>
      </x:c>
      <x:c r="D117" s="26" t="str">
        <x:v>134 baseline cells</x:v>
      </x:c>
      <x:c r="E117" s="26" t="str">
        <x:v>True assumptions separated from metadata, observations and missing zeros</x:v>
      </x:c>
    </x:row>
    <x:row r="118">
      <x:c r="A118" s="26" t="str">
        <x:v>Governance_Remediation_v023</x:v>
      </x:c>
      <x:c r="B118" s="26" t="str">
        <x:v>Records the v0.23 changes and remaining gates</x:v>
      </x:c>
      <x:c r="C118" s="26" t="str">
        <x:v>Remediation ledger</x:v>
      </x:c>
      <x:c r="D118" s="26" t="str">
        <x:v>Per release</x:v>
      </x:c>
      <x:c r="E118" s="26" t="str">
        <x:v>No new rent or capture estimate</x:v>
      </x:c>
    </x:row>
    <x:row r="119">
      <x:c r="A119" s="26" t="str">
        <x:v>Concentration correction</x:v>
      </x:c>
      <x:c r="B119" s="26" t="str">
        <x:v>Legacy 1,500/2,500 labels retired; Canadian HHI 1,800 and delta 100 documented</x:v>
      </x:c>
      <x:c r="C119" s="26" t="str">
        <x:v>Official source</x:v>
      </x:c>
      <x:c r="D119" s="26" t="str">
        <x:v>Current Canadian law/guidance</x:v>
      </x:c>
      <x:c r="E119" s="26" t="str">
        <x:v>Screening only; not a legal finding</x:v>
      </x:c>
    </x:row>
    <x:row r="120">
      <x:c r="A120" s="26" t="str">
        <x:v>v0.23 terminal status</x:v>
      </x:c>
      <x:c r="B120" s="26" t="str">
        <x:v>Lineage and parameter governance improved; commodity capital and economic-rent gates unchanged</x:v>
      </x:c>
      <x:c r="C120" s="26" t="str">
        <x:v>Governance control</x:v>
      </x:c>
      <x:c r="D120" s="26" t="str">
        <x:v>Continuous</x:v>
      </x:c>
      <x:c r="E120" s="26" t="str">
        <x:v>PASS_WITH_DISCLOSED_LIMITS — NOT PUBLICATION READY</x:v>
      </x:c>
    </x:row>
    <x:row r="122">
      <x:c r="A122" s="1921" t="str">
        <x:v>New in Version 0.24</x:v>
      </x:c>
      <x:c r="B122" s="1921"/>
      <x:c r="C122" s="1921"/>
      <x:c r="D122" s="1921"/>
      <x:c r="E122" s="1921"/>
    </x:row>
    <x:row r="123">
      <x:c r="A123" s="26" t="str">
        <x:v>Human_Review_Start_Here</x:v>
      </x:c>
      <x:c r="B123" s="26" t="str">
        <x:v>Plain-language review instructions and decision rules</x:v>
      </x:c>
      <x:c r="C123" s="26" t="str">
        <x:v>Human review guide</x:v>
      </x:c>
      <x:c r="D123" s="26" t="str">
        <x:v>Current</x:v>
      </x:c>
      <x:c r="E123" s="26" t="str">
        <x:v>No specialist knowledge required for source matching</x:v>
      </x:c>
    </x:row>
    <x:row r="124">
      <x:c r="A124" s="26" t="str">
        <x:v>Human_Source_Checklist</x:v>
      </x:c>
      <x:c r="B124" s="26" t="str">
        <x:v>Dropdown-based checklist for all 28 lineage records; 14-row required sample</x:v>
      </x:c>
      <x:c r="C124" s="26" t="str">
        <x:v>Source spot-check</x:v>
      </x:c>
      <x:c r="D124" s="26" t="str">
        <x:v>Not yet completed</x:v>
      </x:c>
      <x:c r="E124" s="26" t="str">
        <x:v>Records exact source locations and escalation questions</x:v>
      </x:c>
    </x:row>
    <x:row r="125">
      <x:c r="A125" s="26" t="str">
        <x:v>Threshold_Approval</x:v>
      </x:c>
      <x:c r="B125" s="26" t="str">
        <x:v>Separates source verification, scenario conventions and specialist technical thresholds</x:v>
      </x:c>
      <x:c r="C125" s="26" t="str">
        <x:v>Threshold review</x:v>
      </x:c>
      <x:c r="D125" s="26" t="str">
        <x:v>Not yet completed</x:v>
      </x:c>
      <x:c r="E125" s="26" t="str">
        <x:v>User is not expected to approve specialist items</x:v>
      </x:c>
    </x:row>
    <x:row r="126">
      <x:c r="A126" s="26" t="str">
        <x:v>Review_Summary</x:v>
      </x:c>
      <x:c r="B126" s="26" t="str">
        <x:v>Mechanical progress and review gate</x:v>
      </x:c>
      <x:c r="C126" s="26" t="str">
        <x:v>Governance control</x:v>
      </x:c>
      <x:c r="D126" s="26" t="str">
        <x:v>Current</x:v>
      </x:c>
      <x:c r="E126" s="26" t="str">
        <x:v>Human review kit prepared; review not performed</x:v>
      </x:c>
    </x:row>
    <x:row r="127">
      <x:c r="A127" s="26" t="str">
        <x:v>v0.24 terminal status</x:v>
      </x:c>
      <x:c r="B127" s="26" t="str">
        <x:v>Review packet created without altering rent/capture publication gates</x:v>
      </x:c>
      <x:c r="C127" s="26" t="str">
        <x:v>Governance control</x:v>
      </x:c>
      <x:c r="D127" s="26" t="str">
        <x:v>Continuous</x:v>
      </x:c>
      <x:c r="E127" s="26" t="str">
        <x:v>HUMAN_REVIEW_PREPARED — NOT REVIEWED</x:v>
      </x:c>
    </x:row>
    <x:row r="128">
      <x:c r="A128" t="str">
        <x:v>Required_Review_Walkthrough</x:v>
      </x:c>
      <x:c r="B128" t="str">
        <x:v>Step-by-step instructions for the 14 required source checks, including search terms, expected findings and escalation triggers</x:v>
      </x:c>
      <x:c r="C128" t="str">
        <x:v>Human review aid</x:v>
      </x:c>
      <x:c r="D128" t="str">
        <x:v>Not yet completed</x:v>
      </x:c>
      <x:c r="E128" t="str">
        <x:v>Use before the full checklist</x:v>
      </x:c>
    </x:row>
  </x:sheetData>
  <x:mergeCells>
    <x:mergeCell ref="A1:H1"/>
    <x:mergeCell ref="A2:H2"/>
    <x:mergeCell ref="A4:H4"/>
    <x:mergeCell ref="A5:H5"/>
    <x:mergeCell ref="A6:H6"/>
    <x:mergeCell ref="A7:H7"/>
    <x:mergeCell ref="A8:H8"/>
    <x:mergeCell ref="A10:H10"/>
    <x:mergeCell ref="A22:H22"/>
    <x:mergeCell ref="A2:E2"/>
    <x:mergeCell ref="A74:E74"/>
    <x:mergeCell ref="A87:E87"/>
  </x:mergeCells>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14" hidden="0" customWidth="1"/>
    <x:col min="3" max="3" width="14" hidden="0" customWidth="1"/>
    <x:col min="4" max="4" width="14" hidden="0" customWidth="1"/>
    <x:col min="5" max="5" width="20" hidden="0" customWidth="1"/>
    <x:col min="6" max="6" width="42" hidden="0" customWidth="1"/>
    <x:col min="7" max="7" width="35" hidden="0" customWidth="1"/>
  </x:cols>
  <x:sheetData>
    <x:row r="1" ht="28" customHeight="1">
      <x:c r="A1" s="5" t="str">
        <x:v>Assumptions and Policy Parameters</x:v>
      </x:c>
      <x:c r="B1" s="5"/>
      <x:c r="C1" s="5"/>
      <x:c r="D1" s="5"/>
      <x:c r="E1" s="5"/>
      <x:c r="F1" s="5"/>
    </x:row>
    <x:row r="2" ht="34" customHeight="1">
      <x:c r="A2" s="14" t="str">
        <x:v>Editable scenario inputs. These cells are not observed facts.</x:v>
      </x:c>
      <x:c r="B2" s="14"/>
      <x:c r="C2" s="14"/>
      <x:c r="D2" s="14"/>
      <x:c r="E2" s="14"/>
      <x:c r="F2" s="14"/>
    </x:row>
    <x:row r="4" ht="30" customHeight="1">
      <x:c r="A4" s="32" t="str">
        <x:v>Parameter</x:v>
      </x:c>
      <x:c r="B4" s="32" t="str">
        <x:v>Base</x:v>
      </x:c>
      <x:c r="C4" s="32" t="str">
        <x:v>Low</x:v>
      </x:c>
      <x:c r="D4" s="32" t="str">
        <x:v>High</x:v>
      </x:c>
      <x:c r="E4" s="32" t="str">
        <x:v>Units</x:v>
      </x:c>
      <x:c r="F4" s="32" t="str">
        <x:v>Purpose</x:v>
      </x:c>
    </x:row>
    <x:row r="5">
      <x:c r="A5" s="26" t="str">
        <x:v>Selected model year</x:v>
      </x:c>
      <x:c r="B5" s="48" t="n">
        <x:v>2024</x:v>
      </x:c>
      <x:c r="C5" s="48" t="n">
        <x:v>2024</x:v>
      </x:c>
      <x:c r="D5" s="48" t="n">
        <x:v>2024</x:v>
      </x:c>
      <x:c r="E5" s="26" t="str">
        <x:v>year</x:v>
      </x:c>
      <x:c r="F5" s="26" t="str">
        <x:v>Dashboard reference year</x:v>
      </x:c>
    </x:row>
    <x:row r="6">
      <x:c r="A6" s="26" t="str">
        <x:v>Energy rent yield</x:v>
      </x:c>
      <x:c r="B6" s="49" t="n">
        <x:v>0.08</x:v>
      </x:c>
      <x:c r="C6" s="49" t="n">
        <x:v>0.05</x:v>
      </x:c>
      <x:c r="D6" s="49" t="n">
        <x:v>0.12</x:v>
      </x:c>
      <x:c r="E6" s="26" t="str">
        <x:v>% of asset value</x:v>
      </x:c>
      <x:c r="F6" s="26" t="str">
        <x:v>Implied annual resource rent</x:v>
      </x:c>
    </x:row>
    <x:row r="7">
      <x:c r="A7" s="26" t="str">
        <x:v>Mineral rent yield</x:v>
      </x:c>
      <x:c r="B7" s="49" t="n">
        <x:v>0.06</x:v>
      </x:c>
      <x:c r="C7" s="49" t="n">
        <x:v>0.035</x:v>
      </x:c>
      <x:c r="D7" s="49" t="n">
        <x:v>0.1</x:v>
      </x:c>
      <x:c r="E7" s="26" t="str">
        <x:v>% of asset value</x:v>
      </x:c>
      <x:c r="F7" s="26" t="str">
        <x:v>Implied annual resource rent</x:v>
      </x:c>
    </x:row>
    <x:row r="8">
      <x:c r="A8" s="26" t="str">
        <x:v>Timber rent yield</x:v>
      </x:c>
      <x:c r="B8" s="49" t="n">
        <x:v>0.04</x:v>
      </x:c>
      <x:c r="C8" s="49" t="n">
        <x:v>0.02</x:v>
      </x:c>
      <x:c r="D8" s="49" t="n">
        <x:v>0.07</x:v>
      </x:c>
      <x:c r="E8" s="26" t="str">
        <x:v>% of asset value</x:v>
      </x:c>
      <x:c r="F8" s="26" t="str">
        <x:v>Implied annual resource rent</x:v>
      </x:c>
    </x:row>
    <x:row r="9">
      <x:c r="A9" s="26" t="str">
        <x:v>Fallback current resource capture rate</x:v>
      </x:c>
      <x:c r="B9" s="49" t="n">
        <x:v>0.3</x:v>
      </x:c>
      <x:c r="C9" s="49" t="n">
        <x:v>0.2</x:v>
      </x:c>
      <x:c r="D9" s="49" t="n">
        <x:v>0.4</x:v>
      </x:c>
      <x:c r="E9" s="26" t="str">
        <x:v>% of resource rent</x:v>
      </x:c>
      <x:c r="F9" s="26" t="str">
        <x:v>Used only when observed royalty inputs are absent</x:v>
      </x:c>
    </x:row>
    <x:row r="10">
      <x:c r="A10" s="26" t="str">
        <x:v>Residential land share of housing assets</x:v>
      </x:c>
      <x:c r="B10" s="49" t="n">
        <x:v>0.4</x:v>
      </x:c>
      <x:c r="C10" s="49" t="n">
        <x:v>0.3</x:v>
      </x:c>
      <x:c r="D10" s="49" t="n">
        <x:v>0.5</x:v>
      </x:c>
      <x:c r="E10" s="26" t="str">
        <x:v>% of housing assets</x:v>
      </x:c>
      <x:c r="F10" s="26" t="str">
        <x:v>Estimates land separately from structures</x:v>
      </x:c>
    </x:row>
    <x:row r="11">
      <x:c r="A11" s="26" t="str">
        <x:v>Commercial/industrial land uplift factor</x:v>
      </x:c>
      <x:c r="B11" s="49" t="n">
        <x:v>0.2</x:v>
      </x:c>
      <x:c r="C11" s="49" t="n">
        <x:v>0.1</x:v>
      </x:c>
      <x:c r="D11" s="49" t="n">
        <x:v>0.3</x:v>
      </x:c>
      <x:c r="E11" s="26" t="str">
        <x:v>% of residential land</x:v>
      </x:c>
      <x:c r="F11" s="26" t="str">
        <x:v>Proxy where official land series unavailable</x:v>
      </x:c>
    </x:row>
    <x:row r="12">
      <x:c r="A12" s="26" t="str">
        <x:v>Effective recurring land/property tax rate</x:v>
      </x:c>
      <x:c r="B12" s="49" t="n">
        <x:v>0.01</x:v>
      </x:c>
      <x:c r="C12" s="49" t="n">
        <x:v>0.0075</x:v>
      </x:c>
      <x:c r="D12" s="49" t="n">
        <x:v>0.0125</x:v>
      </x:c>
      <x:c r="E12" s="26" t="str">
        <x:v>% of modelled taxable land value</x:v>
      </x:c>
      <x:c r="F12" s="26" t="str">
        <x:v>Scenario only</x:v>
      </x:c>
    </x:row>
    <x:row r="13">
      <x:c r="A13" s="26" t="str">
        <x:v>Infrastructure value-capture rate</x:v>
      </x:c>
      <x:c r="B13" s="49" t="n">
        <x:v>0.2</x:v>
      </x:c>
      <x:c r="C13" s="49" t="n">
        <x:v>0.1</x:v>
      </x:c>
      <x:c r="D13" s="49" t="n">
        <x:v>0.35</x:v>
      </x:c>
      <x:c r="E13" s="26" t="str">
        <x:v>% of attributable uplift</x:v>
      </x:c>
      <x:c r="F13" s="26" t="str">
        <x:v>Scenario only</x:v>
      </x:c>
    </x:row>
    <x:row r="14">
      <x:c r="A14" s="26" t="str">
        <x:v>Resource depletion deposit share</x:v>
      </x:c>
      <x:c r="B14" s="49" t="n">
        <x:v>0.5</x:v>
      </x:c>
      <x:c r="C14" s="49" t="n">
        <x:v>0.25</x:v>
      </x:c>
      <x:c r="D14" s="49" t="n">
        <x:v>0.75</x:v>
      </x:c>
      <x:c r="E14" s="26" t="str">
        <x:v>% of net public resource revenue</x:v>
      </x:c>
      <x:c r="F14" s="26" t="str">
        <x:v>Annual wealth-fund deposit rule</x:v>
      </x:c>
    </x:row>
    <x:row r="15">
      <x:c r="A15" s="26" t="str">
        <x:v>Infrastructure-gain deposit share</x:v>
      </x:c>
      <x:c r="B15" s="49" t="n">
        <x:v>0.5</x:v>
      </x:c>
      <x:c r="C15" s="49" t="n">
        <x:v>0.25</x:v>
      </x:c>
      <x:c r="D15" s="49" t="n">
        <x:v>0.75</x:v>
      </x:c>
      <x:c r="E15" s="26" t="str">
        <x:v>% of captured gain</x:v>
      </x:c>
      <x:c r="F15" s="26" t="str">
        <x:v>Annual wealth-fund deposit rule</x:v>
      </x:c>
    </x:row>
    <x:row r="16">
      <x:c r="A16" s="26" t="str">
        <x:v>Industrial public-return deposits</x:v>
      </x:c>
      <x:c r="B16" s="50" t="n">
        <x:v>1</x:v>
      </x:c>
      <x:c r="C16" s="50" t="n">
        <x:v>0.25</x:v>
      </x:c>
      <x:c r="D16" s="50" t="n">
        <x:v>2</x:v>
      </x:c>
      <x:c r="E16" s="26" t="str">
        <x:v>$B/year</x:v>
      </x:c>
      <x:c r="F16" s="26" t="str">
        <x:v>Returns from equity, royalties and convertible debt</x:v>
      </x:c>
    </x:row>
    <x:row r="17">
      <x:c r="A17" s="26" t="str">
        <x:v>Nominal fund return</x:v>
      </x:c>
      <x:c r="B17" s="49" t="n">
        <x:v>0.055</x:v>
      </x:c>
      <x:c r="C17" s="49" t="n">
        <x:v>0.035</x:v>
      </x:c>
      <x:c r="D17" s="49" t="n">
        <x:v>0.075</x:v>
      </x:c>
      <x:c r="E17" s="26" t="str">
        <x:v>%/year</x:v>
      </x:c>
      <x:c r="F17" s="26" t="str">
        <x:v>Portfolio return</x:v>
      </x:c>
    </x:row>
    <x:row r="18">
      <x:c r="A18" s="26" t="str">
        <x:v>Inflation</x:v>
      </x:c>
      <x:c r="B18" s="49" t="n">
        <x:v>0.02</x:v>
      </x:c>
      <x:c r="C18" s="49" t="n">
        <x:v>0.015</x:v>
      </x:c>
      <x:c r="D18" s="49" t="n">
        <x:v>0.03</x:v>
      </x:c>
      <x:c r="E18" s="26" t="str">
        <x:v>%/year</x:v>
      </x:c>
      <x:c r="F18" s="26" t="str">
        <x:v>Real-return calculation</x:v>
      </x:c>
    </x:row>
    <x:row r="19">
      <x:c r="A19" s="26" t="str">
        <x:v>Distribution share of real return</x:v>
      </x:c>
      <x:c r="B19" s="49" t="n">
        <x:v>0.5</x:v>
      </x:c>
      <x:c r="C19" s="49" t="n">
        <x:v>0.25</x:v>
      </x:c>
      <x:c r="D19" s="49" t="n">
        <x:v>0.75</x:v>
      </x:c>
      <x:c r="E19" s="26" t="str">
        <x:v>%</x:v>
      </x:c>
      <x:c r="F19" s="26" t="str">
        <x:v>Dividend/debt-reduction rule</x:v>
      </x:c>
    </x:row>
    <x:row r="20">
      <x:c r="A20" s="26" t="str">
        <x:v>Projection years</x:v>
      </x:c>
      <x:c r="B20" s="48" t="n">
        <x:v>30</x:v>
      </x:c>
      <x:c r="C20" s="48" t="n">
        <x:v>20</x:v>
      </x:c>
      <x:c r="D20" s="48" t="n">
        <x:v>40</x:v>
      </x:c>
      <x:c r="E20" s="26" t="str">
        <x:v>years</x:v>
      </x:c>
      <x:c r="F20" s="26" t="str">
        <x:v>Scenario horizon</x:v>
      </x:c>
    </x:row>
    <x:row r="22">
      <x:c r="A22" s="1076" t="str">
        <x:v>Observed 2024 normal-return benchmark</x:v>
      </x:c>
      <x:c r="B22" s="1076"/>
      <x:c r="C22" s="1076"/>
      <x:c r="D22" s="1076"/>
      <x:c r="E22" s="1076"/>
      <x:c r="F22" s="1076"/>
      <x:c r="G22" s="1076"/>
    </x:row>
    <x:row r="23">
      <x:c r="A23" s="1074" t="str">
        <x:v>Parameter</x:v>
      </x:c>
      <x:c r="B23" s="1074" t="str">
        <x:v>Base</x:v>
      </x:c>
      <x:c r="C23" s="1074" t="str">
        <x:v>Low</x:v>
      </x:c>
      <x:c r="D23" s="1074" t="str">
        <x:v>High</x:v>
      </x:c>
      <x:c r="E23" s="1074" t="str">
        <x:v>Units</x:v>
      </x:c>
      <x:c r="F23" s="1074" t="str">
        <x:v>Purpose</x:v>
      </x:c>
      <x:c r="G23" s="1074" t="str">
        <x:v>Source</x:v>
      </x:c>
    </x:row>
    <x:row r="24">
      <x:c r="A24" s="26" t="str">
        <x:v>5-year GoC benchmark yield — 12-month average</x:v>
      </x:c>
      <x:c r="B24" s="1077" t="n">
        <x:f>'Capital_Allocation_2024'!$B$18</x:f>
        <x:v>0.033091666666666665</x:v>
      </x:c>
      <x:c r="C24" s="26"/>
      <x:c r="D24" s="26"/>
      <x:c r="E24" s="26" t="str">
        <x:v>%/year</x:v>
      </x:c>
      <x:c r="F24" s="26" t="str">
        <x:v>Observed normal-return benchmark</x:v>
      </x:c>
      <x:c r="G24" s="26" t="str">
        <x:v>Bank of Canada V122540</x:v>
      </x:c>
    </x:row>
    <x:row r="25">
      <x:c r="A25" s="26" t="str">
        <x:v>2024 annual-average CPI inflation</x:v>
      </x:c>
      <x:c r="B25" s="1078" t="n">
        <x:v>0.024</x:v>
      </x:c>
      <x:c r="C25" s="26"/>
      <x:c r="D25" s="26"/>
      <x:c r="E25" s="26" t="str">
        <x:v>%/year</x:v>
      </x:c>
      <x:c r="F25" s="26" t="str">
        <x:v>Inflation adjustment</x:v>
      </x:c>
      <x:c r="G25" s="26" t="str">
        <x:v>Statistics Canada 18-10-0005-01</x:v>
      </x:c>
    </x:row>
    <x:row r="26">
      <x:c r="A26" s="1026" t="str">
        <x:v>2024 real normal-return rate</x:v>
      </x:c>
      <x:c r="B26" s="1079" t="n">
        <x:f>B24-B25</x:f>
        <x:v>0.009091666666666665</x:v>
      </x:c>
      <x:c r="C26" s="1026"/>
      <x:c r="D26" s="1026"/>
      <x:c r="E26" s="1026" t="str">
        <x:v>%/year</x:v>
      </x:c>
      <x:c r="F26" s="1026" t="str">
        <x:v>Net capital stock × real bond rate</x:v>
      </x:c>
      <x:c r="G26" s="1026" t="str">
        <x:v>Statistics Canada resource-wealth method</x:v>
      </x:c>
    </x:row>
    <x:row r="27">
      <x:c r="A27" s="26" t="str">
        <x:v>Capital-allocation method</x:v>
      </x:c>
      <x:c r="B27" s="1817" t="str">
        <x:v>REJECTED — 2024 tangible-CAPEX sensitivity only</x:v>
      </x:c>
      <x:c r="C27" s="26"/>
      <x:c r="D27" s="26"/>
      <x:c r="E27" s="26" t="str">
        <x:v>method</x:v>
      </x:c>
      <x:c r="F27" s="26" t="str">
        <x:v>Sensitivity and falsification control only; never a commodity capital estimate</x:v>
      </x:c>
      <x:c r="G27" s="26" t="str">
        <x:v>Capital_Allocation_2024</x:v>
      </x:c>
    </x:row>
  </x:sheetData>
  <x:mergeCells>
    <x:mergeCell ref="A1:F1"/>
    <x:mergeCell ref="A2:F2"/>
    <x:mergeCell ref="A22:G22"/>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6" hidden="0" customWidth="1"/>
    <x:col min="3" max="3" width="18" hidden="0" customWidth="1"/>
    <x:col min="4" max="4" width="14" hidden="0" customWidth="1"/>
    <x:col min="5" max="5" width="14" hidden="0" customWidth="1"/>
    <x:col min="6" max="6" width="14" hidden="0" customWidth="1"/>
    <x:col min="7" max="7" width="18" hidden="0" customWidth="1"/>
    <x:col min="8" max="8" width="18" hidden="0" customWidth="1"/>
    <x:col min="9" max="9" width="18" hidden="0" customWidth="1"/>
    <x:col min="10" max="10" width="14" hidden="0" customWidth="1"/>
    <x:col min="11" max="11" width="55" hidden="0" customWidth="1"/>
  </x:cols>
  <x:sheetData>
    <x:row r="1" ht="28" customHeight="1">
      <x:c r="A1" s="5" t="str">
        <x:v>Natural-Resource Asset-Yield Scenario — Not Economic Rent</x:v>
      </x:c>
      <x:c r="B1" s="5"/>
      <x:c r="C1" s="5"/>
      <x:c r="D1" s="5"/>
      <x:c r="E1" s="5"/>
      <x:c r="F1" s="5"/>
      <x:c r="G1" s="5"/>
      <x:c r="H1" s="5"/>
      <x:c r="I1" s="5"/>
      <x:c r="J1" s="5"/>
      <x:c r="K1" s="5"/>
    </x:row>
    <x:row r="2" ht="34" customHeight="1">
      <x:c r="A2" s="14" t="str">
        <x:v>Official asset values are multiplied by explicit assumed yields. The resulting values are scenarios, not observed annual economic rent and not a denominator for a public capture rate.</x:v>
      </x:c>
      <x:c r="B2" s="14"/>
      <x:c r="C2" s="14"/>
      <x:c r="D2" s="14"/>
      <x:c r="E2" s="14"/>
      <x:c r="F2" s="14"/>
      <x:c r="G2" s="14"/>
      <x:c r="H2" s="14"/>
      <x:c r="I2" s="14"/>
      <x:c r="J2" s="14"/>
      <x:c r="K2" s="14"/>
    </x:row>
    <x:row r="4" ht="30" customHeight="1">
      <x:c r="A4" s="32" t="str">
        <x:v>Year</x:v>
      </x:c>
      <x:c r="B4" s="32" t="str">
        <x:v>Resource class</x:v>
      </x:c>
      <x:c r="C4" s="32" t="str">
        <x:v>Observed asset value ($B)</x:v>
      </x:c>
      <x:c r="D4" s="32" t="str">
        <x:v>Rent yield — Low</x:v>
      </x:c>
      <x:c r="E4" s="32" t="str">
        <x:v>Rent yield — Base</x:v>
      </x:c>
      <x:c r="F4" s="32" t="str">
        <x:v>Rent yield — High</x:v>
      </x:c>
      <x:c r="G4" s="32" t="str">
        <x:v>Modelled rent — Low ($B)</x:v>
      </x:c>
      <x:c r="H4" s="32" t="str">
        <x:v>Modelled rent — Base ($B)</x:v>
      </x:c>
      <x:c r="I4" s="32" t="str">
        <x:v>Modelled rent — High ($B)</x:v>
      </x:c>
      <x:c r="J4" s="32" t="str">
        <x:v>Status</x:v>
      </x:c>
      <x:c r="K4" s="32" t="str">
        <x:v>Source URL</x:v>
      </x:c>
    </x:row>
    <x:row r="5">
      <x:c r="A5" s="26" t="n">
        <x:v>2023</x:v>
      </x:c>
      <x:c r="B5" s="26" t="str">
        <x:v>All selected resources</x:v>
      </x:c>
      <x:c r="C5" s="74" t="n">
        <x:v>1520</x:v>
      </x:c>
      <x:c r="D5" s="1806"/>
      <x:c r="E5" s="1806"/>
      <x:c r="F5" s="1806"/>
      <x:c r="G5" s="1807"/>
      <x:c r="H5" s="1807"/>
      <x:c r="I5" s="1807"/>
      <x:c r="J5" s="26" t="str">
        <x:v>OBSERVED ASSET VALUE</x:v>
      </x:c>
      <x:c r="K5" s="26" t="str">
        <x:v>https://www150.statcan.gc.ca/n1/daily-quotidien/251120/dq251120d-eng.htm</x:v>
      </x:c>
    </x:row>
    <x:row r="6">
      <x:c r="A6" s="26" t="n">
        <x:v>2024</x:v>
      </x:c>
      <x:c r="B6" s="26" t="str">
        <x:v>Energy resources</x:v>
      </x:c>
      <x:c r="C6" s="74" t="n">
        <x:v>831</x:v>
      </x:c>
      <x:c r="D6" s="1808" t="n">
        <x:f>Assumptions!C6</x:f>
        <x:v>0.05</x:v>
      </x:c>
      <x:c r="E6" s="1808" t="n">
        <x:f>Assumptions!B6</x:f>
        <x:v>0.08</x:v>
      </x:c>
      <x:c r="F6" s="1808" t="n">
        <x:f>Assumptions!D6</x:f>
        <x:v>0.12</x:v>
      </x:c>
      <x:c r="G6" s="1807" t="n">
        <x:f>C6*D6</x:f>
        <x:v>41.550000000000004</x:v>
      </x:c>
      <x:c r="H6" s="1807" t="n">
        <x:f>C6*E6</x:f>
        <x:v>66.48</x:v>
      </x:c>
      <x:c r="I6" s="1807" t="n">
        <x:f>C6*F6</x:f>
        <x:v>99.72</x:v>
      </x:c>
      <x:c r="J6" s="26" t="str">
        <x:v>OBSERVED VALUE + ASSUMED YIELD</x:v>
      </x:c>
      <x:c r="K6" s="26" t="str">
        <x:v>https://www150.statcan.gc.ca/n1/daily-quotidien/251120/dq251120d-eng.htm</x:v>
      </x:c>
    </x:row>
    <x:row r="7">
      <x:c r="A7" s="26" t="n">
        <x:v>2024</x:v>
      </x:c>
      <x:c r="B7" s="26" t="str">
        <x:v>Mineral resources</x:v>
      </x:c>
      <x:c r="C7" s="74" t="n">
        <x:v>381</x:v>
      </x:c>
      <x:c r="D7" s="1808" t="n">
        <x:f>Assumptions!C7</x:f>
        <x:v>0.035</x:v>
      </x:c>
      <x:c r="E7" s="1808" t="n">
        <x:f>Assumptions!B7</x:f>
        <x:v>0.06</x:v>
      </x:c>
      <x:c r="F7" s="1808" t="n">
        <x:f>Assumptions!D7</x:f>
        <x:v>0.1</x:v>
      </x:c>
      <x:c r="G7" s="1807" t="n">
        <x:f>C7*D7</x:f>
        <x:v>13.335</x:v>
      </x:c>
      <x:c r="H7" s="1807" t="n">
        <x:f>C7*E7</x:f>
        <x:v>22.86</x:v>
      </x:c>
      <x:c r="I7" s="1807" t="n">
        <x:f>C7*F7</x:f>
        <x:v>38.1</x:v>
      </x:c>
      <x:c r="J7" s="26" t="str">
        <x:v>OBSERVED VALUE + ASSUMED YIELD</x:v>
      </x:c>
      <x:c r="K7" s="26" t="str">
        <x:v>https://www150.statcan.gc.ca/n1/daily-quotidien/251120/dq251120d-eng.htm</x:v>
      </x:c>
    </x:row>
    <x:row r="8">
      <x:c r="A8" s="26" t="n">
        <x:v>2024</x:v>
      </x:c>
      <x:c r="B8" s="26" t="str">
        <x:v>Timber</x:v>
      </x:c>
      <x:c r="C8" s="74" t="n">
        <x:v>146</x:v>
      </x:c>
      <x:c r="D8" s="1808" t="n">
        <x:f>Assumptions!C8</x:f>
        <x:v>0.02</x:v>
      </x:c>
      <x:c r="E8" s="1808" t="n">
        <x:f>Assumptions!B8</x:f>
        <x:v>0.04</x:v>
      </x:c>
      <x:c r="F8" s="1808" t="n">
        <x:f>Assumptions!D8</x:f>
        <x:v>0.07</x:v>
      </x:c>
      <x:c r="G8" s="1807" t="n">
        <x:f>C8*D8</x:f>
        <x:v>2.92</x:v>
      </x:c>
      <x:c r="H8" s="1807" t="n">
        <x:f>C8*E8</x:f>
        <x:v>5.84</x:v>
      </x:c>
      <x:c r="I8" s="1807" t="n">
        <x:f>C8*F8</x:f>
        <x:v>10.22</x:v>
      </x:c>
      <x:c r="J8" s="26" t="str">
        <x:v>OBSERVED VALUE + ASSUMED YIELD</x:v>
      </x:c>
      <x:c r="K8" s="26" t="str">
        <x:v>https://www150.statcan.gc.ca/n1/daily-quotidien/251120/dq251120d-eng.htm</x:v>
      </x:c>
    </x:row>
    <x:row r="9">
      <x:c r="A9" s="26" t="n">
        <x:v>2024</x:v>
      </x:c>
      <x:c r="B9" s="26" t="str">
        <x:v>Rounding / other selected</x:v>
      </x:c>
      <x:c r="C9" s="74" t="n">
        <x:v>4</x:v>
      </x:c>
      <x:c r="D9" s="1813" t="n">
        <x:f>0</x:f>
        <x:v>0</x:v>
      </x:c>
      <x:c r="E9" s="1813" t="n">
        <x:f>0</x:f>
        <x:v>0</x:v>
      </x:c>
      <x:c r="F9" s="1813" t="n">
        <x:f>0</x:f>
        <x:v>0</x:v>
      </x:c>
      <x:c r="G9" s="1807" t="n">
        <x:f>C9*D9</x:f>
        <x:v>0</x:v>
      </x:c>
      <x:c r="H9" s="1807" t="n">
        <x:f>C9*E9</x:f>
        <x:v>0</x:v>
      </x:c>
      <x:c r="I9" s="1807" t="n">
        <x:f>C9*F9</x:f>
        <x:v>0</x:v>
      </x:c>
      <x:c r="J9" s="26" t="str">
        <x:v>PROVISIONAL / ROUNDING CONTROL</x:v>
      </x:c>
      <x:c r="K9" s="26" t="str">
        <x:v>https://www150.statcan.gc.ca/n1/daily-quotidien/251120/dq251120d-eng.htm</x:v>
      </x:c>
    </x:row>
    <x:row r="10">
      <x:c r="A10" s="26"/>
      <x:c r="B10" s="26"/>
      <x:c r="C10" s="76"/>
      <x:c r="D10" s="1806"/>
      <x:c r="E10" s="1806"/>
      <x:c r="F10" s="1806"/>
      <x:c r="G10" s="1807"/>
      <x:c r="H10" s="1807"/>
      <x:c r="I10" s="1807"/>
      <x:c r="J10" s="26"/>
      <x:c r="K10" s="26"/>
    </x:row>
    <x:row r="11">
      <x:c r="A11" s="79" t="str">
        <x:v>2024 total</x:v>
      </x:c>
      <x:c r="B11" s="79" t="str">
        <x:v>Selected resources</x:v>
      </x:c>
      <x:c r="C11" s="80" t="n">
        <x:f>SUM(C6:C9)</x:f>
        <x:v>1362</x:v>
      </x:c>
      <x:c r="D11" s="1814"/>
      <x:c r="E11" s="1814"/>
      <x:c r="F11" s="1814"/>
      <x:c r="G11" s="1815" t="n">
        <x:f>SUM(G6:G9)</x:f>
        <x:v>57.80500000000001</x:v>
      </x:c>
      <x:c r="H11" s="1815" t="n">
        <x:f>SUM(H6:H9)</x:f>
        <x:v>95.18</x:v>
      </x:c>
      <x:c r="I11" s="1815" t="n">
        <x:f>SUM(I6:I9)</x:f>
        <x:v>148.04</x:v>
      </x:c>
      <x:c r="J11" s="26" t="str">
        <x:v>SCENARIO — NOT ECONOMIC RENT</x:v>
      </x:c>
      <x:c r="K11" s="26"/>
    </x:row>
  </x:sheetData>
  <x:mergeCells>
    <x:mergeCell ref="A1:K1"/>
    <x:mergeCell ref="A2:K2"/>
  </x:mergeCells>
  <x:dataValidations count="1">
    <x:dataValidation type="list" sqref="J5:J100">
      <x:formula1>"Verified,Provisional,Modelled,Data needed,Not applicable"</x:formula1>
    </x:dataValidation>
  </x:dataValidations>
  <x:pageMargins left="0.7" right="0.7" top="0.75" bottom="0.75" header="0.3" footer="0.3"/>
  <x:tableParts count="1">
    <x:tablePart xmlns:r="http://schemas.openxmlformats.org/officeDocument/2006/relationships" r:id="R1b803e7989fc48b1"/>
  </x:tableParts>
</x:worksheet>
</file>

<file path=xl/worksheets/sheet4.xml><?xml version="1.0" encoding="utf-8"?>
<x:worksheet xmlns:x="http://schemas.openxmlformats.org/spreadsheetml/2006/main">
  <x:sheetFormatPr defaultRowHeight="15"/>
  <x:cols>
    <x:col min="1" max="1" width="10" hidden="0" customWidth="1"/>
    <x:col min="2" max="2" width="31" hidden="0" customWidth="1"/>
    <x:col min="3" max="3" width="18" hidden="0" customWidth="1"/>
    <x:col min="4" max="4" width="18" hidden="0" customWidth="1"/>
    <x:col min="5" max="5" width="18" hidden="0" customWidth="1"/>
    <x:col min="6" max="6" width="18" hidden="0" customWidth="1"/>
    <x:col min="7" max="7" width="18" hidden="0" customWidth="1"/>
    <x:col min="8" max="8" width="14" hidden="0" customWidth="1"/>
    <x:col min="9" max="9" width="50" hidden="0" customWidth="1"/>
    <x:col min="10" max="10" width="42" hidden="0" customWidth="1"/>
    <x:col min="11" max="11" width="15" hidden="0" customWidth="1"/>
  </x:cols>
  <x:sheetData>
    <x:row r="1" ht="28" customHeight="1">
      <x:c r="A1" s="5" t="str">
        <x:v>Public Resource-Revenue Receipts — Incomplete Lower Bound</x:v>
      </x:c>
      <x:c r="B1" s="5"/>
      <x:c r="C1" s="5"/>
      <x:c r="D1" s="5"/>
      <x:c r="E1" s="5"/>
      <x:c r="F1" s="5"/>
      <x:c r="G1" s="5"/>
      <x:c r="H1" s="5"/>
      <x:c r="I1" s="5"/>
      <x:c r="J1" s="5"/>
      <x:c r="K1" s="5"/>
    </x:row>
    <x:row r="2" ht="34" customHeight="1">
      <x:c r="A2" s="14" t="str">
        <x:v>Observed and partially observed public receipts. This sheet does not measure a rent-capture rate because a compatible commodity economic-rent denominator has not been established.</x:v>
      </x:c>
      <x:c r="B2" s="14"/>
      <x:c r="C2" s="14"/>
      <x:c r="D2" s="14"/>
      <x:c r="E2" s="14"/>
      <x:c r="F2" s="14"/>
      <x:c r="G2" s="14"/>
      <x:c r="H2" s="14"/>
      <x:c r="I2" s="14"/>
      <x:c r="J2" s="14"/>
      <x:c r="K2" s="14"/>
    </x:row>
    <x:row r="4" ht="30" customHeight="1">
      <x:c r="A4" s="32" t="str">
        <x:v>Year</x:v>
      </x:c>
      <x:c r="B4" s="32" t="str">
        <x:v>Jurisdiction / government</x:v>
      </x:c>
      <x:c r="C4" s="32" t="str">
        <x:v>Royalty / resource revenue ($B)</x:v>
      </x:c>
      <x:c r="D4" s="32" t="str">
        <x:v>Lease, bonus and licence revenue ($B)</x:v>
      </x:c>
      <x:c r="E4" s="32" t="str">
        <x:v>Resource-specific taxes ($B)</x:v>
      </x:c>
      <x:c r="F4" s="32" t="str">
        <x:v>Public equity / dividend return ($B)</x:v>
      </x:c>
      <x:c r="G4" s="32" t="str">
        <x:v>Total observed public receipts ($B)</x:v>
      </x:c>
      <x:c r="H4" s="32" t="str">
        <x:v>Data status</x:v>
      </x:c>
      <x:c r="I4" s="32" t="str">
        <x:v>Source URL</x:v>
      </x:c>
      <x:c r="J4" s="32" t="str">
        <x:v>Notes</x:v>
      </x:c>
      <x:c r="K4" s="32" t="str">
        <x:v>Include in national total?</x:v>
      </x:c>
    </x:row>
    <x:row r="5">
      <x:c r="A5" s="26" t="n">
        <x:v>2024</x:v>
      </x:c>
      <x:c r="B5" s="26" t="str">
        <x:v>Federal government</x:v>
      </x:c>
      <x:c r="C5" s="1792"/>
      <x:c r="D5" s="1792"/>
      <x:c r="E5" s="1792"/>
      <x:c r="F5" s="1792"/>
      <x:c r="G5" s="1793" t="str">
        <x:f>IF(COUNT(C5:F5)=0,"",SUM(C5:F5))</x:f>
      </x:c>
      <x:c r="H5" s="26" t="str">
        <x:v>Data needed</x:v>
      </x:c>
      <x:c r="I5" s="26" t="str"/>
      <x:c r="J5" s="26" t="str">
        <x:v>Replace zeros with verified public-account values; avoid double counting taxes and royalties.</x:v>
      </x:c>
      <x:c r="K5" s="26" t="str">
        <x:v>Yes</x:v>
      </x:c>
    </x:row>
    <x:row r="6">
      <x:c r="A6" s="26" t="str">
        <x:v>2024-25</x:v>
      </x:c>
      <x:c r="B6" s="26" t="str">
        <x:v>Newfoundland and Labrador</x:v>
      </x:c>
      <x:c r="C6" s="1791" t="n">
        <x:v>1.20904</x:v>
      </x:c>
      <x:c r="D6" s="1791" t="n">
        <x:v>0</x:v>
      </x:c>
      <x:c r="E6" s="1791" t="n">
        <x:v>0.097532</x:v>
      </x:c>
      <x:c r="F6" s="1791" t="n">
        <x:v>0</x:v>
      </x:c>
      <x:c r="G6" s="1024" t="n">
        <x:f>IF(COUNT(C6:F6)=0,"",SUM(C6:F6))</x:f>
        <x:v>1.3065719999999998</x:v>
      </x:c>
      <x:c r="H6" s="26" t="str">
        <x:v>Verified partial</x:v>
      </x:c>
      <x:c r="I6" s="26" t="str">
        <x:v>https://www.gov.nl.ca/exec/tbs/files/Cash-Statements-2025-with-signed-letter-Final.pdf</x:v>
      </x:c>
      <x:c r="J6" s="26" t="str">
        <x:v>Directly labelled resource rentals and royalties: offshore $1.178061B; statutory oil $0.000211B; water power $0.025311B; forestry $0.001759B; mining leases $0.002012B; quarry royalties $0.001686B. Mining tax and royalties $0.097532B is entered separately. Offshore Revenue Fund, Crown lands, licence fees and permit fees are excluded pending CGFS classification and double-count testing.</x:v>
      </x:c>
      <x:c r="K6" s="26" t="str">
        <x:v>Yes</x:v>
      </x:c>
    </x:row>
    <x:row r="7">
      <x:c r="A7" s="26" t="n">
        <x:v>2024</x:v>
      </x:c>
      <x:c r="B7" s="26" t="str">
        <x:v>Prince Edward Island</x:v>
      </x:c>
      <x:c r="C7" s="1792"/>
      <x:c r="D7" s="1792"/>
      <x:c r="E7" s="1792"/>
      <x:c r="F7" s="1792"/>
      <x:c r="G7" s="1793" t="str">
        <x:f>IF(COUNT(C7:F7)=0,"",SUM(C7:F7))</x:f>
      </x:c>
      <x:c r="H7" s="26" t="str">
        <x:v>Data needed</x:v>
      </x:c>
      <x:c r="I7" s="26" t="str"/>
      <x:c r="J7" s="26" t="str">
        <x:v>Replace zeros with verified public-account values; avoid double counting taxes and royalties.</x:v>
      </x:c>
      <x:c r="K7" s="26" t="str">
        <x:v>Yes</x:v>
      </x:c>
    </x:row>
    <x:row r="8">
      <x:c r="A8" s="26" t="n">
        <x:v>2024</x:v>
      </x:c>
      <x:c r="B8" s="26" t="str">
        <x:v>Nova Scotia</x:v>
      </x:c>
      <x:c r="C8" s="1792"/>
      <x:c r="D8" s="1792"/>
      <x:c r="E8" s="1792"/>
      <x:c r="F8" s="1792"/>
      <x:c r="G8" s="1793" t="str">
        <x:f>IF(COUNT(C8:F8)=0,"",SUM(C8:F8))</x:f>
      </x:c>
      <x:c r="H8" s="26" t="str">
        <x:v>Data needed</x:v>
      </x:c>
      <x:c r="I8" s="26" t="str"/>
      <x:c r="J8" s="26" t="str">
        <x:v>Replace zeros with verified public-account values; avoid double counting taxes and royalties.</x:v>
      </x:c>
      <x:c r="K8" s="26" t="str">
        <x:v>Yes</x:v>
      </x:c>
    </x:row>
    <x:row r="9">
      <x:c r="A9" s="26" t="str">
        <x:v>2024-25</x:v>
      </x:c>
      <x:c r="B9" s="26" t="str">
        <x:v>New Brunswick</x:v>
      </x:c>
      <x:c r="C9" s="1791" t="n">
        <x:v>0.071817</x:v>
      </x:c>
      <x:c r="D9" s="1791" t="n">
        <x:v>0.0004119</x:v>
      </x:c>
      <x:c r="E9" s="1791" t="n">
        <x:v>0</x:v>
      </x:c>
      <x:c r="F9" s="1791" t="n">
        <x:v>0</x:v>
      </x:c>
      <x:c r="G9" s="1024" t="n">
        <x:f>IF(COUNT(C9:F9)=0,"",SUM(C9:F9))</x:f>
        <x:v>0.07222890000000001</x:v>
      </x:c>
      <x:c r="H9" s="26" t="str">
        <x:v>Verified partial</x:v>
      </x:c>
      <x:c r="I9" s="26" t="str">
        <x:v>https://www.gnb.ca/content/dam/GNB3/org/ftb-fct/doc/2025-public-accounts-vol-2-comptes-publics-vol-2.pdf</x:v>
      </x:c>
      <x:c r="J9" s="26" t="str">
        <x:v>Directly labelled royalties total $71.817M, including $3.4889M of First Nations designated timber royalty revenue. Directly labelled resource leases entered here are mining $0.1106M, petroleum/gas $0.0161M, sand/gravel $0.0778M, peat $0.1357M and potash $0.0717M. Timber permits, mineral claims, power leases and unrelated land leases remain excluded pending CGFS classification.</x:v>
      </x:c>
      <x:c r="K9" s="26" t="str">
        <x:v>Yes</x:v>
      </x:c>
    </x:row>
    <x:row r="10">
      <x:c r="A10" s="26" t="str">
        <x:v>2024</x:v>
      </x:c>
      <x:c r="B10" s="26" t="str">
        <x:v>Quebec</x:v>
      </x:c>
      <x:c r="C10" s="1791" t="n">
        <x:v>0.002393797</x:v>
      </x:c>
      <x:c r="D10" s="1791" t="n">
        <x:v>0</x:v>
      </x:c>
      <x:c r="E10" s="1791" t="n">
        <x:v>0.4777</x:v>
      </x:c>
      <x:c r="F10" s="1791" t="n">
        <x:v>0</x:v>
      </x:c>
      <x:c r="G10" s="1024" t="n">
        <x:f>IF(COUNT(C10:F10)=0,"",SUM(C10:F10))</x:f>
        <x:v>0.480093797</x:v>
      </x:c>
      <x:c r="H10" s="26" t="str">
        <x:v>Verified</x:v>
      </x:c>
      <x:c r="I10" s="26" t="str">
        <x:v>https://www.quebec.ca/agriculture-environnement-et-ressources-naturelles/mines/donnees-cartes-minieres/quantites-valeurs-redevances</x:v>
      </x:c>
      <x:c r="J10" s="26" t="str">
        <x:v>Mining duties $477.7M; listed surface-mineral royalties total about $2.394M. Does not include hydroelectric or forestry resource revenue.</x:v>
      </x:c>
      <x:c r="K10" s="26" t="str">
        <x:v>Yes</x:v>
      </x:c>
    </x:row>
    <x:row r="11">
      <x:c r="A11" s="26" t="str">
        <x:v>2024-25</x:v>
      </x:c>
      <x:c r="B11" s="26" t="str">
        <x:v>Ontario</x:v>
      </x:c>
      <x:c r="C11" s="1791" t="n">
        <x:v>0.297</x:v>
      </x:c>
      <x:c r="D11" s="1791" t="n">
        <x:v>0</x:v>
      </x:c>
      <x:c r="E11" s="1791" t="n">
        <x:v>0</x:v>
      </x:c>
      <x:c r="F11" s="1791" t="n">
        <x:v>0</x:v>
      </x:c>
      <x:c r="G11" s="1024" t="n">
        <x:f>IF(COUNT(C11:F11)=0,"",SUM(C11:F11))</x:f>
        <x:v>0.297</x:v>
      </x:c>
      <x:c r="H11" s="26" t="str">
        <x:v>Verified partial</x:v>
      </x:c>
      <x:c r="I11" s="26" t="str">
        <x:v>https://www.ontario.ca/page/public-accounts-2024-25-annual-report</x:v>
      </x:c>
      <x:c r="J11" s="26" t="str">
        <x:v>Ontario Public Accounts royalty line. Includes several resource categories; does not represent a complete rent or ownership account.</x:v>
      </x:c>
      <x:c r="K11" s="26" t="str">
        <x:v>Yes</x:v>
      </x:c>
    </x:row>
    <x:row r="12">
      <x:c r="A12" s="26" t="n">
        <x:v>2024</x:v>
      </x:c>
      <x:c r="B12" s="26" t="str">
        <x:v>Manitoba</x:v>
      </x:c>
      <x:c r="C12" s="1792"/>
      <x:c r="D12" s="1792"/>
      <x:c r="E12" s="1792"/>
      <x:c r="F12" s="1792"/>
      <x:c r="G12" s="1793" t="str">
        <x:f>IF(COUNT(C12:F12)=0,"",SUM(C12:F12))</x:f>
      </x:c>
      <x:c r="H12" s="26" t="str">
        <x:v>Data needed</x:v>
      </x:c>
      <x:c r="I12" s="26" t="str"/>
      <x:c r="J12" s="26" t="str">
        <x:v>Replace zeros with verified public-account values; avoid double counting taxes and royalties.</x:v>
      </x:c>
      <x:c r="K12" s="26" t="str">
        <x:v>Yes</x:v>
      </x:c>
    </x:row>
    <x:row r="13">
      <x:c r="A13" s="26" t="str">
        <x:v>2024-25</x:v>
      </x:c>
      <x:c r="B13" s="26" t="str">
        <x:v>Saskatchewan</x:v>
      </x:c>
      <x:c r="C13" s="1791" t="n">
        <x:v>2.044154</x:v>
      </x:c>
      <x:c r="D13" s="1791" t="n">
        <x:v>0</x:v>
      </x:c>
      <x:c r="E13" s="1791" t="n">
        <x:v>0.529503</x:v>
      </x:c>
      <x:c r="F13" s="1791" t="n">
        <x:v>0</x:v>
      </x:c>
      <x:c r="G13" s="1024" t="n">
        <x:f>IF(COUNT(C13:F13)=0,"",SUM(C13:F13))</x:f>
        <x:v>2.573657</x:v>
      </x:c>
      <x:c r="H13" s="26" t="str">
        <x:v>Verified</x:v>
      </x:c>
      <x:c r="I13" s="26" t="str">
        <x:v>https://www.saskatchewan.ca/-/media/news-release-backgrounders/2025/jun/2024-25-public-accounts-volume-1-4751.pdf</x:v>
      </x:c>
      <x:c r="J13" s="26" t="str">
        <x:v>Oil and natural gas $1.151637B; potash $0.604095B; other $0.288422B; resource surcharge $0.529503B. Total $2.573657B.</x:v>
      </x:c>
      <x:c r="K13" s="26" t="str">
        <x:v>Yes</x:v>
      </x:c>
    </x:row>
    <x:row r="14">
      <x:c r="A14" s="26" t="str">
        <x:v>2024-25</x:v>
      </x:c>
      <x:c r="B14" s="26" t="str">
        <x:v>Alberta</x:v>
      </x:c>
      <x:c r="C14" s="1791" t="n">
        <x:v>21.986</x:v>
      </x:c>
      <x:c r="D14" s="1791" t="n">
        <x:v>0</x:v>
      </x:c>
      <x:c r="E14" s="1791" t="n">
        <x:v>0</x:v>
      </x:c>
      <x:c r="F14" s="1791" t="n">
        <x:v>0</x:v>
      </x:c>
      <x:c r="G14" s="1024" t="n">
        <x:f>IF(COUNT(C14:F14)=0,"",SUM(C14:F14))</x:f>
        <x:v>21.986</x:v>
      </x:c>
      <x:c r="H14" s="26" t="str">
        <x:v>Verified</x:v>
      </x:c>
      <x:c r="I14" s="26" t="str">
        <x:v>https://www.alberta.ca/revenue</x:v>
      </x:c>
      <x:c r="J14" s="26" t="str">
        <x:v>Actual Alberta non-renewable resource revenue. Entered as one total to avoid misclassifying the combined rentals, fees and coal-royalty line.</x:v>
      </x:c>
      <x:c r="K14" s="26" t="str">
        <x:v>Yes</x:v>
      </x:c>
    </x:row>
    <x:row r="15">
      <x:c r="A15" s="26" t="str">
        <x:v>2024-25</x:v>
      </x:c>
      <x:c r="B15" s="26" t="str">
        <x:v>British Columbia</x:v>
      </x:c>
      <x:c r="C15" s="1791" t="n">
        <x:v>2.416</x:v>
      </x:c>
      <x:c r="D15" s="1791" t="n">
        <x:v>0</x:v>
      </x:c>
      <x:c r="E15" s="1791" t="n">
        <x:v>0</x:v>
      </x:c>
      <x:c r="F15" s="1791" t="n">
        <x:v>0</x:v>
      </x:c>
      <x:c r="G15" s="1024" t="n">
        <x:f>IF(COUNT(C15:F15)=0,"",SUM(C15:F15))</x:f>
        <x:v>2.416</x:v>
      </x:c>
      <x:c r="H15" s="26" t="str">
        <x:v>Verified</x:v>
      </x:c>
      <x:c r="I15" s="26" t="str">
        <x:v>https://www2.gov.bc.ca/gov/content/governments/finances/public-accounts</x:v>
      </x:c>
      <x:c r="J15" s="26" t="str">
        <x:v>Public Accounts total natural-resource revenue: petroleum/natural gas/minerals $1.162B; forests $0.514B; water and other $0.740B.</x:v>
      </x:c>
      <x:c r="K15" s="26" t="str">
        <x:v>Yes</x:v>
      </x:c>
    </x:row>
    <x:row r="16">
      <x:c r="A16" s="26" t="n">
        <x:v>2024</x:v>
      </x:c>
      <x:c r="B16" s="26" t="str">
        <x:v>Yukon</x:v>
      </x:c>
      <x:c r="C16" s="1792"/>
      <x:c r="D16" s="1792"/>
      <x:c r="E16" s="1792"/>
      <x:c r="F16" s="1792"/>
      <x:c r="G16" s="1793" t="str">
        <x:f>IF(COUNT(C16:F16)=0,"",SUM(C16:F16))</x:f>
      </x:c>
      <x:c r="H16" s="26" t="str">
        <x:v>Data needed</x:v>
      </x:c>
      <x:c r="I16" s="26" t="str"/>
      <x:c r="J16" s="26" t="str">
        <x:v>Replace zeros with verified public-account values; avoid double counting taxes and royalties.</x:v>
      </x:c>
      <x:c r="K16" s="26" t="str">
        <x:v>Yes</x:v>
      </x:c>
    </x:row>
    <x:row r="17">
      <x:c r="A17" s="26" t="str">
        <x:v>2024-25</x:v>
      </x:c>
      <x:c r="B17" s="26" t="str">
        <x:v>Northwest Territories</x:v>
      </x:c>
      <x:c r="C17" s="1791" t="n">
        <x:v>-0.004492</x:v>
      </x:c>
      <x:c r="D17" s="1791" t="n">
        <x:v>0</x:v>
      </x:c>
      <x:c r="E17" s="1791" t="n">
        <x:v>0</x:v>
      </x:c>
      <x:c r="F17" s="1791" t="n">
        <x:v>0</x:v>
      </x:c>
      <x:c r="G17" s="1024" t="n">
        <x:f>IF(COUNT(C17:F17)=0,"",SUM(C17:F17))</x:f>
        <x:v>-0.004492</x:v>
      </x:c>
      <x:c r="H17" s="26" t="str">
        <x:v>Verified</x:v>
      </x:c>
      <x:c r="I17" s="26" t="str">
        <x:v>https://www.fin.gov.nt.ca/sites/fin/files/resources/2024-2025_public_accounts_section_i_-_consolidated_financial_statements.pdf</x:v>
      </x:c>
      <x:c r="J17" s="26" t="str">
        <x:v>Audited non-renewable resource revenue was negative $4.492M because the prior-year accrual exceeded amounts received and was revised downward. This is an accounting true-up, not a payment to resource companies.</x:v>
      </x:c>
      <x:c r="K17" s="26" t="str">
        <x:v>Yes</x:v>
      </x:c>
    </x:row>
    <x:row r="18">
      <x:c r="A18" s="26" t="n">
        <x:v>2024</x:v>
      </x:c>
      <x:c r="B18" s="26" t="str">
        <x:v>Nunavut</x:v>
      </x:c>
      <x:c r="C18" s="1792"/>
      <x:c r="D18" s="1792"/>
      <x:c r="E18" s="1792"/>
      <x:c r="F18" s="1792"/>
      <x:c r="G18" s="1793" t="str">
        <x:f>IF(COUNT(C18:F18)=0,"",SUM(C18:F18))</x:f>
      </x:c>
      <x:c r="H18" s="26" t="str">
        <x:v>Data needed</x:v>
      </x:c>
      <x:c r="I18" s="26" t="str"/>
      <x:c r="J18" s="26" t="str">
        <x:v>Replace zeros with verified public-account values; avoid double counting taxes and royalties.</x:v>
      </x:c>
      <x:c r="K18" s="26" t="str">
        <x:v>Yes</x:v>
      </x:c>
    </x:row>
    <x:row r="19">
      <x:c r="A19" s="26" t="n">
        <x:v>2024</x:v>
      </x:c>
      <x:c r="B19" s="26" t="str">
        <x:v>Indigenous governments / trusts (non-duplicated)</x:v>
      </x:c>
      <x:c r="C19" s="1792"/>
      <x:c r="D19" s="1792"/>
      <x:c r="E19" s="1792"/>
      <x:c r="F19" s="1792"/>
      <x:c r="G19" s="1793" t="str">
        <x:f>IF(COUNT(C19:F19)=0,"",SUM(C19:F19))</x:f>
      </x:c>
      <x:c r="H19" s="26" t="str">
        <x:v>Data needed</x:v>
      </x:c>
      <x:c r="I19" s="26" t="str"/>
      <x:c r="J19" s="26" t="str">
        <x:v>Replace zeros with verified public-account values; avoid double counting taxes and royalties.</x:v>
      </x:c>
      <x:c r="K19" s="26" t="str">
        <x:v>Yes</x:v>
      </x:c>
    </x:row>
    <x:row r="20">
      <x:c r="A20" s="26"/>
      <x:c r="B20" s="26"/>
      <x:c r="C20" s="26"/>
      <x:c r="D20" s="26"/>
      <x:c r="E20" s="26"/>
      <x:c r="F20" s="26"/>
      <x:c r="G20" s="26"/>
      <x:c r="H20" s="26"/>
      <x:c r="I20" s="26"/>
      <x:c r="J20" s="26"/>
      <x:c r="K20" s="26"/>
    </x:row>
    <x:row r="21">
      <x:c r="A21" s="79" t="str">
        <x:v>Observed public resource-revenue lower bound</x:v>
      </x:c>
      <x:c r="B21" s="79"/>
      <x:c r="C21" s="79"/>
      <x:c r="D21" s="79"/>
      <x:c r="E21" s="79"/>
      <x:c r="F21" s="79"/>
      <x:c r="G21" s="79" t="n">
        <x:f>SUMIF(K5:K19,"Yes",G5:G19)</x:f>
        <x:v>29.127059697000004</x:v>
      </x:c>
      <x:c r="H21" s="26"/>
      <x:c r="I21" s="26"/>
      <x:c r="J21" s="26"/>
      <x:c r="K21" s="26"/>
    </x:row>
    <x:row r="22">
      <x:c r="A22" s="26"/>
      <x:c r="B22" s="26"/>
      <x:c r="C22" s="26"/>
      <x:c r="D22" s="26"/>
      <x:c r="E22" s="26"/>
      <x:c r="F22" s="26"/>
      <x:c r="G22" s="26"/>
      <x:c r="H22" s="26"/>
      <x:c r="I22" s="26"/>
      <x:c r="J22" s="26"/>
      <x:c r="K22" s="26"/>
    </x:row>
    <x:row r="23" ht="22" customHeight="1">
      <x:c r="A23" s="1794" t="str">
        <x:v>Scenario fallback — not a capture-rate estimate</x:v>
      </x:c>
      <x:c r="B23" s="1794"/>
      <x:c r="C23" s="1794"/>
      <x:c r="D23" s="1794"/>
      <x:c r="E23" s="92"/>
      <x:c r="F23" s="92"/>
      <x:c r="G23" s="92"/>
      <x:c r="H23" s="92"/>
      <x:c r="I23" s="92"/>
      <x:c r="J23" s="92"/>
      <x:c r="K23" s="92"/>
    </x:row>
    <x:row r="24" ht="30" customHeight="1">
      <x:c r="A24" s="1795" t="str">
        <x:v>Metric</x:v>
      </x:c>
      <x:c r="B24" s="1795" t="str">
        <x:v>Value ($B)</x:v>
      </x:c>
      <x:c r="C24" s="1795" t="str">
        <x:v>Status</x:v>
      </x:c>
      <x:c r="D24" s="1795" t="str">
        <x:v>Explanation</x:v>
      </x:c>
      <x:c r="E24" s="26"/>
      <x:c r="F24" s="26"/>
      <x:c r="G24" s="26"/>
      <x:c r="H24" s="26"/>
      <x:c r="I24" s="26"/>
      <x:c r="J24" s="26"/>
      <x:c r="K24" s="26"/>
    </x:row>
    <x:row r="25">
      <x:c r="A25" s="1796" t="str">
        <x:v>Modelled base resource rent</x:v>
      </x:c>
      <x:c r="B25" s="1797" t="n">
        <x:f>Resource_Rent!H11</x:f>
        <x:v>95.18</x:v>
      </x:c>
      <x:c r="C25" s="1796" t="str">
        <x:v>Modelled</x:v>
      </x:c>
      <x:c r="D25" s="1796" t="str">
        <x:v>Links to Resource_Rent</x:v>
      </x:c>
      <x:c r="E25" s="26"/>
      <x:c r="F25" s="26"/>
      <x:c r="G25" s="26"/>
      <x:c r="H25" s="26"/>
      <x:c r="I25" s="26"/>
      <x:c r="J25" s="26"/>
      <x:c r="K25" s="26"/>
    </x:row>
    <x:row r="26">
      <x:c r="A26" s="1796" t="str">
        <x:v>Observed public-revenue lower bound</x:v>
      </x:c>
      <x:c r="B26" s="1797" t="n">
        <x:f>G21</x:f>
        <x:v>29.127059697000004</x:v>
      </x:c>
      <x:c r="C26" s="1796" t="str">
        <x:v>INCOMPLETE LOWER BOUND</x:v>
      </x:c>
      <x:c r="D26" s="1796" t="str">
        <x:v>Sum of verified and verified-partial entries above; missing governments remain blank.</x:v>
      </x:c>
      <x:c r="E26" s="26"/>
      <x:c r="F26" s="26"/>
      <x:c r="G26" s="26"/>
      <x:c r="H26" s="26"/>
      <x:c r="I26" s="26"/>
      <x:c r="J26" s="26"/>
      <x:c r="K26" s="26"/>
    </x:row>
    <x:row r="27">
      <x:c r="A27" s="1796" t="str">
        <x:v>Scenario public-revenue input</x:v>
      </x:c>
      <x:c r="B27" s="1797" t="n">
        <x:f>IF(B26&gt;0,B26,B25*Assumptions!B9)</x:f>
        <x:v>29.127059697000004</x:v>
      </x:c>
      <x:c r="C27" s="1796" t="str">
        <x:v>SCENARIO INPUT — NOT A CAPTURE RATE</x:v>
      </x:c>
      <x:c r="D27" s="1796" t="str">
        <x:v>Uses the observed lower bound when positive; otherwise applies the explicit fallback assumption.</x:v>
      </x:c>
      <x:c r="E27" s="26"/>
      <x:c r="F27" s="26"/>
      <x:c r="G27" s="26"/>
      <x:c r="H27" s="26"/>
      <x:c r="I27" s="26"/>
      <x:c r="J27" s="26"/>
      <x:c r="K27" s="26"/>
    </x:row>
  </x:sheetData>
  <x:mergeCells>
    <x:mergeCell ref="A1:K1"/>
    <x:mergeCell ref="A2:K2"/>
    <x:mergeCell ref="A21:F21"/>
    <x:mergeCell ref="A23:K23"/>
  </x:mergeCells>
  <x:dataValidations count="2">
    <x:dataValidation type="list" sqref="H5:H19">
      <x:formula1>"Verified,Provisional,Modelled,Data needed,Not applicable"</x:formula1>
    </x:dataValidation>
    <x:dataValidation type="list" sqref="K5:K19">
      <x:formula1>"Yes,No"</x:formula1>
    </x:dataValidation>
  </x:dataValidations>
  <x:pageMargins left="0.7" right="0.7" top="0.75" bottom="0.75" header="0.3" footer="0.3"/>
  <x:tableParts count="1">
    <x:tablePart xmlns:r="http://schemas.openxmlformats.org/officeDocument/2006/relationships" r:id="R17b3f81f87b141d2"/>
  </x:tableParts>
</x:worksheet>
</file>

<file path=xl/worksheets/sheet5.xml><?xml version="1.0" encoding="utf-8"?>
<x:worksheet xmlns:x="http://schemas.openxmlformats.org/spreadsheetml/2006/main">
  <x:sheetFormatPr defaultRowHeight="15"/>
  <x:cols>
    <x:col min="1" max="1" width="10" hidden="0" customWidth="1"/>
    <x:col min="2" max="2" width="29" hidden="0" customWidth="1"/>
    <x:col min="3" max="3" width="20" hidden="0" customWidth="1"/>
    <x:col min="4" max="4" width="20" hidden="0" customWidth="1"/>
    <x:col min="5" max="5" width="23" hidden="0" customWidth="1"/>
    <x:col min="6" max="6" width="20" hidden="0" customWidth="1"/>
    <x:col min="7" max="7" width="14" hidden="0" customWidth="1"/>
    <x:col min="8" max="8" width="50" hidden="0" customWidth="1"/>
    <x:col min="9" max="9" width="42" hidden="0" customWidth="1"/>
    <x:col min="10" max="10" width="12" hidden="0" customWidth="1"/>
  </x:cols>
  <x:sheetData>
    <x:row r="1" ht="28" customHeight="1">
      <x:c r="A1" s="96" t="str">
        <x:v>Land Value and Property-Revenue Scenario</x:v>
      </x:c>
      <x:c r="B1" s="96"/>
      <x:c r="C1" s="96"/>
      <x:c r="D1" s="96"/>
      <x:c r="E1" s="96"/>
      <x:c r="F1" s="96"/>
      <x:c r="G1" s="96"/>
      <x:c r="H1" s="96"/>
      <x:c r="I1" s="96"/>
      <x:c r="J1" s="96"/>
    </x:row>
    <x:row r="2" ht="34" customHeight="1">
      <x:c r="A2" s="14" t="str">
        <x:v>Observed housing and tax inputs are separated from assumptions. Blank subcomponents are unavailable, not measured zeros. The national stock model is a scenario, not an official land-rent account.</x:v>
      </x:c>
      <x:c r="B2" s="14"/>
      <x:c r="C2" s="14"/>
      <x:c r="D2" s="14"/>
      <x:c r="E2" s="14"/>
      <x:c r="F2" s="14"/>
      <x:c r="G2" s="14"/>
      <x:c r="H2" s="14"/>
      <x:c r="I2" s="14"/>
      <x:c r="J2" s="14"/>
    </x:row>
    <x:row r="3">
      <x:c r="A3" s="26"/>
      <x:c r="B3" s="26"/>
      <x:c r="C3" s="26"/>
      <x:c r="D3" s="26"/>
      <x:c r="E3" s="26"/>
      <x:c r="F3" s="26"/>
      <x:c r="G3" s="26"/>
      <x:c r="H3" s="26"/>
      <x:c r="I3" s="26"/>
      <x:c r="J3" s="26"/>
    </x:row>
    <x:row r="4" ht="22" customHeight="1">
      <x:c r="A4" s="92" t="str">
        <x:v>National stock model</x:v>
      </x:c>
      <x:c r="B4" s="92"/>
      <x:c r="C4" s="92"/>
      <x:c r="D4" s="92"/>
      <x:c r="E4" s="92"/>
      <x:c r="F4" s="92"/>
      <x:c r="G4" s="92"/>
      <x:c r="H4" s="92"/>
      <x:c r="I4" s="92"/>
      <x:c r="J4" s="92"/>
    </x:row>
    <x:row r="5" ht="30" customHeight="1">
      <x:c r="A5" s="32" t="str">
        <x:v>Year</x:v>
      </x:c>
      <x:c r="B5" s="32" t="str">
        <x:v>Observed housing assets ($B)</x:v>
      </x:c>
      <x:c r="C5" s="32" t="str">
        <x:v>Residential land share assumption</x:v>
      </x:c>
      <x:c r="D5" s="32" t="str">
        <x:v>Estimated residential land ($B)</x:v>
      </x:c>
      <x:c r="E5" s="32" t="str">
        <x:v>Commercial / industrial land factor</x:v>
      </x:c>
      <x:c r="F5" s="32" t="str">
        <x:v>Estimated other taxable land ($B)</x:v>
      </x:c>
      <x:c r="G5" s="32" t="str">
        <x:v>Estimated taxable land total ($B)</x:v>
      </x:c>
      <x:c r="H5" s="32" t="str">
        <x:v>Effective tax-rate assumption</x:v>
      </x:c>
      <x:c r="I5" s="32" t="str">
        <x:v>Modelled recurring property/land revenue ($B)</x:v>
      </x:c>
      <x:c r="J5" s="32" t="str">
        <x:v>Source / note</x:v>
      </x:c>
    </x:row>
    <x:row r="6">
      <x:c r="A6" s="26" t="n">
        <x:v>2025</x:v>
      </x:c>
      <x:c r="B6" s="74" t="n">
        <x:v>4400</x:v>
      </x:c>
      <x:c r="C6" s="77" t="n">
        <x:f>Assumptions!B10</x:f>
        <x:v>0.4</x:v>
      </x:c>
      <x:c r="D6" s="93" t="n">
        <x:f>B6*C6</x:f>
        <x:v>1760</x:v>
      </x:c>
      <x:c r="E6" s="93" t="n">
        <x:f>Assumptions!B11</x:f>
        <x:v>0.2</x:v>
      </x:c>
      <x:c r="F6" s="93" t="n">
        <x:f>D6*E6</x:f>
        <x:v>352</x:v>
      </x:c>
      <x:c r="G6" s="93" t="n">
        <x:f>D6+F6</x:f>
        <x:v>2112</x:v>
      </x:c>
      <x:c r="H6" s="77" t="n">
        <x:f>Assumptions!B12</x:f>
        <x:v>0.01</x:v>
      </x:c>
      <x:c r="I6" s="127" t="n">
        <x:f>G6*H6</x:f>
        <x:v>21.12</x:v>
      </x:c>
      <x:c r="J6" s="26" t="str">
        <x:v>Scenario only: 2025 housing assets are observed from Statistics Canada's Housing Economic Account; land shares and the effective rate are assumptions. https://www150.statcan.gc.ca/n1/daily-quotidien/260409/dq260409b-eng.htm</x:v>
      </x:c>
    </x:row>
    <x:row r="7">
      <x:c r="A7" s="26"/>
      <x:c r="B7" s="26"/>
      <x:c r="C7" s="26"/>
      <x:c r="D7" s="26"/>
      <x:c r="E7" s="26"/>
      <x:c r="F7" s="26"/>
      <x:c r="G7" s="26"/>
      <x:c r="H7" s="26"/>
      <x:c r="I7" s="26"/>
      <x:c r="J7" s="26"/>
    </x:row>
    <x:row r="8" ht="22" customHeight="1">
      <x:c r="A8" s="92" t="str">
        <x:v>Observed property-tax inputs</x:v>
      </x:c>
      <x:c r="B8" s="92"/>
      <x:c r="C8" s="92"/>
      <x:c r="D8" s="92"/>
      <x:c r="E8" s="92"/>
      <x:c r="F8" s="92"/>
      <x:c r="G8" s="92"/>
      <x:c r="H8" s="92"/>
      <x:c r="I8" s="92"/>
      <x:c r="J8" s="92"/>
    </x:row>
    <x:row r="9" ht="30" customHeight="1">
      <x:c r="A9" s="32" t="str">
        <x:v>Year</x:v>
      </x:c>
      <x:c r="B9" s="32" t="str">
        <x:v>Jurisdiction</x:v>
      </x:c>
      <x:c r="C9" s="32" t="str">
        <x:v>Observed taxes on property ($B)</x:v>
      </x:c>
      <x:c r="D9" s="32" t="str">
        <x:v>Land-transfer taxes ($B)</x:v>
      </x:c>
      <x:c r="E9" s="32" t="str">
        <x:v>Development charges / value capture ($B)</x:v>
      </x:c>
      <x:c r="F9" s="32" t="str">
        <x:v>Total observed land-related revenue ($B)</x:v>
      </x:c>
      <x:c r="G9" s="32" t="str">
        <x:v>Status</x:v>
      </x:c>
      <x:c r="H9" s="32" t="str">
        <x:v>Source URL</x:v>
      </x:c>
      <x:c r="I9" s="32" t="str">
        <x:v>Double-count warning</x:v>
      </x:c>
      <x:c r="J9" s="32" t="str">
        <x:v>Include?</x:v>
      </x:c>
    </x:row>
    <x:row r="10">
      <x:c r="A10" s="26" t="n">
        <x:v>2024</x:v>
      </x:c>
      <x:c r="B10" s="26" t="str">
        <x:v>Canada consolidated</x:v>
      </x:c>
      <x:c r="C10" s="1791" t="n">
        <x:v>103.254</x:v>
      </x:c>
      <x:c r="D10" s="1791"/>
      <x:c r="E10" s="1791"/>
      <x:c r="F10" s="1024" t="n">
        <x:f>IF(COUNT(C10:E10)=0,"",SUM(C10:E10))</x:f>
        <x:v>103.254</x:v>
      </x:c>
      <x:c r="G10" s="26" t="str">
        <x:v>Verified aggregate</x:v>
      </x:c>
      <x:c r="H10" s="26" t="str">
        <x:v>https://www150.statcan.gc.ca/t1/tbl1/en/tv.action?pid=1010017201</x:v>
      </x:c>
      <x:c r="I10" s="26" t="str">
        <x:v>Consolidated Canadian general-government taxes on property in 2024. This is a national accounting anchor, not a provincial sum and not an estimate of annual land rent. Do not add it to the provincial rows.</x:v>
      </x:c>
      <x:c r="J10" s="26" t="str">
        <x:v>No</x:v>
      </x:c>
    </x:row>
    <x:row r="11">
      <x:c r="A11" s="26" t="n">
        <x:v>2024</x:v>
      </x:c>
      <x:c r="B11" s="26" t="str">
        <x:v>Newfoundland and Labrador</x:v>
      </x:c>
      <x:c r="C11" s="1791" t="n">
        <x:v>0.539</x:v>
      </x:c>
      <x:c r="D11" s="1791"/>
      <x:c r="E11" s="1791"/>
      <x:c r="F11" s="1024" t="n">
        <x:f>IF(COUNT(C11:E11)=0,"",SUM(C11:E11))</x:f>
        <x:v>0.539</x:v>
      </x:c>
      <x:c r="G11" s="26" t="str">
        <x:v>Verified</x:v>
      </x:c>
      <x:c r="H11" s="26" t="str">
        <x:v>https://www150.statcan.gc.ca/t1/tbl1/en/tv.action?pid=1010002001</x:v>
      </x:c>
      <x:c r="I11" s="26" t="str">
        <x:v>Municipal and other local public-administration taxes on property, 2024 preliminary. Do not infer tax-revenue growth from assessment growth: reassessment normally redistributes the levy rather than setting its total.</x:v>
      </x:c>
      <x:c r="J11" s="26" t="str">
        <x:v>Yes</x:v>
      </x:c>
    </x:row>
    <x:row r="12">
      <x:c r="A12" s="26" t="n">
        <x:v>2024</x:v>
      </x:c>
      <x:c r="B12" s="26" t="str">
        <x:v>Prince Edward Island</x:v>
      </x:c>
      <x:c r="C12" s="1792"/>
      <x:c r="D12" s="1792"/>
      <x:c r="E12" s="1792"/>
      <x:c r="F12" s="1793" t="str">
        <x:f>IF(COUNT(C12:E12)=0,"",SUM(C12:E12))</x:f>
      </x:c>
      <x:c r="G12" s="26" t="str">
        <x:v>Data needed</x:v>
      </x:c>
      <x:c r="H12" s="26" t="str"/>
      <x:c r="I12" s="26" t="str">
        <x:v>Do not combine consolidated Canada with provincial rows in same total.</x:v>
      </x:c>
      <x:c r="J12" s="26" t="str">
        <x:v>Yes</x:v>
      </x:c>
    </x:row>
    <x:row r="13">
      <x:c r="A13" s="26" t="n">
        <x:v>2024</x:v>
      </x:c>
      <x:c r="B13" s="26" t="str">
        <x:v>Nova Scotia</x:v>
      </x:c>
      <x:c r="C13" s="1792"/>
      <x:c r="D13" s="1792"/>
      <x:c r="E13" s="1792"/>
      <x:c r="F13" s="1793" t="str">
        <x:f>IF(COUNT(C13:E13)=0,"",SUM(C13:E13))</x:f>
      </x:c>
      <x:c r="G13" s="26" t="str">
        <x:v>Data needed</x:v>
      </x:c>
      <x:c r="H13" s="26" t="str"/>
      <x:c r="I13" s="26" t="str">
        <x:v>Do not combine consolidated Canada with provincial rows in same total.</x:v>
      </x:c>
      <x:c r="J13" s="26" t="str">
        <x:v>Yes</x:v>
      </x:c>
    </x:row>
    <x:row r="14">
      <x:c r="A14" s="26" t="n">
        <x:v>2024</x:v>
      </x:c>
      <x:c r="B14" s="26" t="str">
        <x:v>New Brunswick</x:v>
      </x:c>
      <x:c r="C14" s="1792"/>
      <x:c r="D14" s="1792"/>
      <x:c r="E14" s="1792"/>
      <x:c r="F14" s="1793" t="str">
        <x:f>IF(COUNT(C14:E14)=0,"",SUM(C14:E14))</x:f>
      </x:c>
      <x:c r="G14" s="26" t="str">
        <x:v>Data needed</x:v>
      </x:c>
      <x:c r="H14" s="26" t="str"/>
      <x:c r="I14" s="26" t="str">
        <x:v>Do not combine consolidated Canada with provincial rows in same total.</x:v>
      </x:c>
      <x:c r="J14" s="26" t="str">
        <x:v>Yes</x:v>
      </x:c>
    </x:row>
    <x:row r="15">
      <x:c r="A15" s="26" t="n">
        <x:v>2024</x:v>
      </x:c>
      <x:c r="B15" s="26" t="str">
        <x:v>Quebec</x:v>
      </x:c>
      <x:c r="C15" s="1792"/>
      <x:c r="D15" s="1792"/>
      <x:c r="E15" s="1792"/>
      <x:c r="F15" s="1793" t="str">
        <x:f>IF(COUNT(C15:E15)=0,"",SUM(C15:E15))</x:f>
      </x:c>
      <x:c r="G15" s="26" t="str">
        <x:v>Data needed</x:v>
      </x:c>
      <x:c r="H15" s="26" t="str"/>
      <x:c r="I15" s="26" t="str">
        <x:v>Do not combine consolidated Canada with provincial rows in same total.</x:v>
      </x:c>
      <x:c r="J15" s="26" t="str">
        <x:v>Yes</x:v>
      </x:c>
    </x:row>
    <x:row r="16">
      <x:c r="A16" s="26" t="n">
        <x:v>2024</x:v>
      </x:c>
      <x:c r="B16" s="26" t="str">
        <x:v>Ontario</x:v>
      </x:c>
      <x:c r="C16" s="1791" t="n">
        <x:v>5.887</x:v>
      </x:c>
      <x:c r="D16" s="1791" t="n">
        <x:v>3.736</x:v>
      </x:c>
      <x:c r="E16" s="1791"/>
      <x:c r="F16" s="1791" t="n">
        <x:f>IF(COUNT(C16:E16)=0,"",SUM(C16:E16))</x:f>
        <x:v>9.623</x:v>
      </x:c>
      <x:c r="G16" s="26" t="str">
        <x:v>Verified partial</x:v>
      </x:c>
      <x:c r="H16" s="26" t="str">
        <x:v>https://www.ontario.ca/page/public-accounts-2024-25-annual-report</x:v>
      </x:c>
      <x:c r="I16" s="26" t="str">
        <x:v>Education Property Tax and Land Transfer Tax, 2024-25 actual. Municipal property-tax revenue is not included, so this is not a full Ontario total.</x:v>
      </x:c>
      <x:c r="J16" s="26" t="str">
        <x:v>Yes</x:v>
      </x:c>
    </x:row>
    <x:row r="17">
      <x:c r="A17" s="26" t="n">
        <x:v>2024</x:v>
      </x:c>
      <x:c r="B17" s="26" t="str">
        <x:v>Manitoba</x:v>
      </x:c>
      <x:c r="C17" s="1792"/>
      <x:c r="D17" s="1792"/>
      <x:c r="E17" s="1792"/>
      <x:c r="F17" s="1792" t="str">
        <x:f>IF(COUNT(C17:E17)=0,"",SUM(C17:E17))</x:f>
      </x:c>
      <x:c r="G17" s="26" t="str">
        <x:v>Data needed</x:v>
      </x:c>
      <x:c r="H17" s="26" t="str"/>
      <x:c r="I17" s="26" t="str">
        <x:v>Do not combine consolidated Canada with provincial rows in same total.</x:v>
      </x:c>
      <x:c r="J17" s="26" t="str">
        <x:v>Yes</x:v>
      </x:c>
    </x:row>
    <x:row r="18">
      <x:c r="A18" s="26" t="n">
        <x:v>2024</x:v>
      </x:c>
      <x:c r="B18" s="26" t="str">
        <x:v>Saskatchewan</x:v>
      </x:c>
      <x:c r="C18" s="1791" t="n">
        <x:v>0.807772</x:v>
      </x:c>
      <x:c r="D18" s="1791"/>
      <x:c r="E18" s="1791"/>
      <x:c r="F18" s="1791" t="n">
        <x:f>IF(COUNT(C18:E18)=0,"",SUM(C18:E18))</x:f>
        <x:v>0.807772</x:v>
      </x:c>
      <x:c r="G18" s="26" t="str">
        <x:v>Verified partial</x:v>
      </x:c>
      <x:c r="H18" s="26" t="str">
        <x:v>https://www.saskatchewan.ca/-/media/news-release-backgrounders/2025/jun/2024-25-public-accounts-volume-1-4751.pdf</x:v>
      </x:c>
      <x:c r="I18" s="26" t="str">
        <x:v>Provincial property-tax line in Saskatchewan Public Accounts, 2024-25. Municipal property taxes and land-transfer-type revenues are not included.</x:v>
      </x:c>
      <x:c r="J18" s="26" t="str">
        <x:v>Yes</x:v>
      </x:c>
    </x:row>
    <x:row r="19">
      <x:c r="A19" s="26" t="n">
        <x:v>2024</x:v>
      </x:c>
      <x:c r="B19" s="26" t="str">
        <x:v>Alberta</x:v>
      </x:c>
      <x:c r="C19" s="1792"/>
      <x:c r="D19" s="1792"/>
      <x:c r="E19" s="1792"/>
      <x:c r="F19" s="1793" t="str">
        <x:f>IF(COUNT(C19:E19)=0,"",SUM(C19:E19))</x:f>
      </x:c>
      <x:c r="G19" s="26" t="str">
        <x:v>Data needed</x:v>
      </x:c>
      <x:c r="H19" s="26" t="str"/>
      <x:c r="I19" s="26" t="str">
        <x:v>Do not combine consolidated Canada with provincial rows in same total.</x:v>
      </x:c>
      <x:c r="J19" s="26" t="str">
        <x:v>Yes</x:v>
      </x:c>
    </x:row>
    <x:row r="20">
      <x:c r="A20" s="26" t="n">
        <x:v>2024</x:v>
      </x:c>
      <x:c r="B20" s="26" t="str">
        <x:v>British Columbia</x:v>
      </x:c>
      <x:c r="C20" s="1792"/>
      <x:c r="D20" s="1792"/>
      <x:c r="E20" s="1792"/>
      <x:c r="F20" s="1793" t="str">
        <x:f>IF(COUNT(C20:E20)=0,"",SUM(C20:E20))</x:f>
      </x:c>
      <x:c r="G20" s="26" t="str">
        <x:v>Data needed</x:v>
      </x:c>
      <x:c r="H20" s="26" t="str"/>
      <x:c r="I20" s="26" t="str">
        <x:v>Do not combine consolidated Canada with provincial rows in same total.</x:v>
      </x:c>
      <x:c r="J20" s="26" t="str">
        <x:v>Yes</x:v>
      </x:c>
    </x:row>
    <x:row r="21">
      <x:c r="A21" s="26" t="n">
        <x:v>2024</x:v>
      </x:c>
      <x:c r="B21" s="26" t="str">
        <x:v>Yukon</x:v>
      </x:c>
      <x:c r="C21" s="1792"/>
      <x:c r="D21" s="1792"/>
      <x:c r="E21" s="1792"/>
      <x:c r="F21" s="1793" t="str">
        <x:f>IF(COUNT(C21:E21)=0,"",SUM(C21:E21))</x:f>
      </x:c>
      <x:c r="G21" s="26" t="str">
        <x:v>Data needed</x:v>
      </x:c>
      <x:c r="H21" s="26" t="str"/>
      <x:c r="I21" s="26" t="str">
        <x:v>Do not combine consolidated Canada with provincial rows in same total.</x:v>
      </x:c>
      <x:c r="J21" s="26" t="str">
        <x:v>Yes</x:v>
      </x:c>
    </x:row>
    <x:row r="22">
      <x:c r="A22" s="26" t="n">
        <x:v>2024</x:v>
      </x:c>
      <x:c r="B22" s="26" t="str">
        <x:v>Northwest Territories</x:v>
      </x:c>
      <x:c r="C22" s="1792"/>
      <x:c r="D22" s="1792"/>
      <x:c r="E22" s="1792"/>
      <x:c r="F22" s="1793" t="str">
        <x:f>IF(COUNT(C22:E22)=0,"",SUM(C22:E22))</x:f>
      </x:c>
      <x:c r="G22" s="26" t="str">
        <x:v>Data needed</x:v>
      </x:c>
      <x:c r="H22" s="26" t="str"/>
      <x:c r="I22" s="26" t="str">
        <x:v>Do not combine consolidated Canada with provincial rows in same total.</x:v>
      </x:c>
      <x:c r="J22" s="26" t="str">
        <x:v>Yes</x:v>
      </x:c>
    </x:row>
    <x:row r="23">
      <x:c r="A23" s="26" t="n">
        <x:v>2024</x:v>
      </x:c>
      <x:c r="B23" s="26" t="str">
        <x:v>Nunavut</x:v>
      </x:c>
      <x:c r="C23" s="1792"/>
      <x:c r="D23" s="1792"/>
      <x:c r="E23" s="1792"/>
      <x:c r="F23" s="1793" t="str">
        <x:f>IF(COUNT(C23:E23)=0,"",SUM(C23:E23))</x:f>
      </x:c>
      <x:c r="G23" s="26" t="str">
        <x:v>Data needed</x:v>
      </x:c>
      <x:c r="H23" s="26" t="str"/>
      <x:c r="I23" s="26" t="str">
        <x:v>Do not combine consolidated Canada with provincial rows in same total.</x:v>
      </x:c>
      <x:c r="J23" s="26" t="str">
        <x:v>Yes</x:v>
      </x:c>
    </x:row>
    <x:row r="24">
      <x:c r="A24" s="26"/>
      <x:c r="B24" s="26"/>
      <x:c r="C24" s="26"/>
      <x:c r="D24" s="26"/>
      <x:c r="E24" s="26"/>
      <x:c r="F24" s="26"/>
      <x:c r="G24" s="26"/>
      <x:c r="H24" s="26"/>
      <x:c r="I24" s="26"/>
      <x:c r="J24" s="26"/>
    </x:row>
    <x:row r="25">
      <x:c r="A25" s="79" t="str">
        <x:v>Observed jurisdiction lower bound — incomplete; excludes Canada aggregate</x:v>
      </x:c>
      <x:c r="B25" s="79"/>
      <x:c r="C25" s="79"/>
      <x:c r="D25" s="79"/>
      <x:c r="E25" s="79"/>
      <x:c r="F25" s="80" t="n">
        <x:f>SUMIF(J10:J23,"Yes",F10:F23)</x:f>
        <x:v>10.969771999999999</x:v>
      </x:c>
      <x:c r="G25" s="26"/>
      <x:c r="H25" s="26"/>
      <x:c r="I25" s="26"/>
      <x:c r="J25" s="26"/>
    </x:row>
  </x:sheetData>
  <x:mergeCells>
    <x:mergeCell ref="A1:J1"/>
    <x:mergeCell ref="A2:J2"/>
    <x:mergeCell ref="A4:J4"/>
    <x:mergeCell ref="A8:J8"/>
    <x:mergeCell ref="A25:E25"/>
  </x:mergeCells>
  <x:dataValidations count="2">
    <x:dataValidation type="list" sqref="G10:G23">
      <x:formula1>"Verified,Provisional,Modelled,Data needed,Not applicable"</x:formula1>
    </x:dataValidation>
    <x:dataValidation type="list" sqref="J10:J23">
      <x:formula1>"Yes,No"</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8" hidden="0" customWidth="1"/>
    <x:col min="3" max="3" width="12" hidden="0" customWidth="1"/>
    <x:col min="4" max="4" width="18" hidden="0" customWidth="1"/>
    <x:col min="5" max="5" width="22" hidden="0" customWidth="1"/>
    <x:col min="6" max="6" width="18" hidden="0" customWidth="1"/>
    <x:col min="7" max="7" width="18" hidden="0" customWidth="1"/>
    <x:col min="8" max="8" width="15" hidden="0" customWidth="1"/>
    <x:col min="9" max="9" width="20" hidden="0" customWidth="1"/>
    <x:col min="10" max="10" width="14" hidden="0" customWidth="1"/>
    <x:col min="11" max="11" width="20" hidden="0" customWidth="1"/>
    <x:col min="12" max="12" width="42" hidden="0" customWidth="1"/>
  </x:cols>
  <x:sheetData>
    <x:row r="1" ht="28" customHeight="1">
      <x:c r="A1" s="5" t="str">
        <x:v>Infrastructure-Created Land-Value Scenario</x:v>
      </x:c>
      <x:c r="B1" s="5"/>
      <x:c r="C1" s="5"/>
      <x:c r="D1" s="5"/>
      <x:c r="E1" s="5"/>
      <x:c r="F1" s="5"/>
      <x:c r="G1" s="5"/>
      <x:c r="H1" s="5"/>
      <x:c r="I1" s="5"/>
      <x:c r="J1" s="5"/>
      <x:c r="K1" s="5"/>
      <x:c r="L1" s="5"/>
    </x:row>
    <x:row r="2" ht="34" customHeight="1">
      <x:c r="A2" s="14" t="str">
        <x:v>Project-level scenario. Observed financing cases do not establish causal land-value uplift. Unavailable uplift inputs are blank rather than zero.</x:v>
      </x:c>
      <x:c r="B2" s="14"/>
      <x:c r="C2" s="14"/>
      <x:c r="D2" s="14"/>
      <x:c r="E2" s="14"/>
      <x:c r="F2" s="14"/>
      <x:c r="G2" s="14"/>
      <x:c r="H2" s="14"/>
      <x:c r="I2" s="14"/>
      <x:c r="J2" s="14"/>
      <x:c r="K2" s="14"/>
      <x:c r="L2" s="14"/>
    </x:row>
    <x:row r="4" ht="30" customHeight="1">
      <x:c r="A4" s="32" t="str">
        <x:v>Project / area</x:v>
      </x:c>
      <x:c r="B4" s="32" t="str">
        <x:v>Jurisdiction</x:v>
      </x:c>
      <x:c r="C4" s="32" t="str">
        <x:v>Project year</x:v>
      </x:c>
      <x:c r="D4" s="32" t="str">
        <x:v>Public project cost ($B)</x:v>
      </x:c>
      <x:c r="E4" s="32" t="str">
        <x:v>Affected pre-project land value ($B)</x:v>
      </x:c>
      <x:c r="F4" s="32" t="str">
        <x:v>Control-area appreciation</x:v>
      </x:c>
      <x:c r="G4" s="32" t="str">
        <x:v>Project-area appreciation</x:v>
      </x:c>
      <x:c r="H4" s="32" t="str">
        <x:v>Attributable uplift</x:v>
      </x:c>
      <x:c r="I4" s="32" t="str">
        <x:v>Created land value ($B)</x:v>
      </x:c>
      <x:c r="J4" s="32" t="str">
        <x:v>Capture rate</x:v>
      </x:c>
      <x:c r="K4" s="32" t="str">
        <x:v>Potential public capture ($B)</x:v>
      </x:c>
      <x:c r="L4" s="32" t="str">
        <x:v>Status / source</x:v>
      </x:c>
    </x:row>
    <x:row r="5">
      <x:c r="A5" s="26" t="str">
        <x:v>Illustrative transit corridor</x:v>
      </x:c>
      <x:c r="B5" s="26" t="str">
        <x:v>Example only</x:v>
      </x:c>
      <x:c r="C5" s="26" t="n">
        <x:f>Model_Parameters!$B$17</x:f>
        <x:v>2026</x:v>
      </x:c>
      <x:c r="D5" s="1791" t="n">
        <x:f>Model_Parameters!$B$18</x:f>
        <x:v>5</x:v>
      </x:c>
      <x:c r="E5" s="1791" t="n">
        <x:f>Model_Parameters!$B$19</x:f>
        <x:v>50</x:v>
      </x:c>
      <x:c r="F5" s="1791" t="n">
        <x:f>Model_Parameters!$B$20</x:f>
        <x:v>0.05</x:v>
      </x:c>
      <x:c r="G5" s="1791" t="n">
        <x:f>Model_Parameters!$B$21</x:f>
        <x:v>0.15</x:v>
      </x:c>
      <x:c r="H5" s="1809" t="n">
        <x:f>MAX(0,G5-F5)</x:f>
        <x:v>0.09999999999999999</x:v>
      </x:c>
      <x:c r="I5" s="1809" t="n">
        <x:f>E5*H5</x:f>
        <x:v>5</x:v>
      </x:c>
      <x:c r="J5" s="1810" t="n">
        <x:f>Assumptions!B13</x:f>
        <x:v>0.2</x:v>
      </x:c>
      <x:c r="K5" s="1809" t="n">
        <x:f>I5*J5</x:f>
        <x:v>1</x:v>
      </x:c>
      <x:c r="L5" s="26" t="str">
        <x:v>Modelled — replace with project evidence</x:v>
      </x:c>
    </x:row>
    <x:row r="6">
      <x:c r="A6" s="26" t="str">
        <x:v>Calgary Rivers District CRL</x:v>
      </x:c>
      <x:c r="B6" s="26" t="str">
        <x:v>Calgary, Alberta</x:v>
      </x:c>
      <x:c r="C6" s="108" t="n">
        <x:v>2007</x:v>
      </x:c>
      <x:c r="D6" s="1791" t="n">
        <x:v>0.4</x:v>
      </x:c>
      <x:c r="E6" s="1792"/>
      <x:c r="F6" s="1792"/>
      <x:c r="G6" s="1792"/>
      <x:c r="H6" s="1793"/>
      <x:c r="I6" s="1793"/>
      <x:c r="J6" s="1811"/>
      <x:c r="K6" s="1793"/>
      <x:c r="L6" s="26" t="str">
        <x:v>Observed financing case: &gt;$400M infrastructure investment and about $3.9B planned private investment. This is leverage/association, not a causal land-value-uplift estimate. Excluded from model total. https://www.calgarymlc.ca/districts/east-village</x:v>
      </x:c>
    </x:row>
    <x:row r="7">
      <x:c r="A7" s="26" t="str">
        <x:v>Edmonton Downtown CRL / incentives</x:v>
      </x:c>
      <x:c r="B7" s="26" t="str">
        <x:v>Edmonton, Alberta</x:v>
      </x:c>
      <x:c r="C7" s="108" t="n">
        <x:v>2026</x:v>
      </x:c>
      <x:c r="D7" s="1791" t="n">
        <x:v>0.383</x:v>
      </x:c>
      <x:c r="E7" s="1792"/>
      <x:c r="F7" s="1792"/>
      <x:c r="G7" s="1792"/>
      <x:c r="H7" s="1793"/>
      <x:c r="I7" s="1793"/>
      <x:c r="J7" s="1811"/>
      <x:c r="K7" s="1793"/>
      <x:c r="L7" s="26" t="str">
        <x:v>Observed financing case: $383M in current/future CRL projects; a separate $22.9M housing incentive supported nine projects worth about $522M. Not a causal land-value estimate. Excluded from model total. https://www.edmonton.ca/projects_plans/downtown</x:v>
      </x:c>
    </x:row>
    <x:row r="8">
      <x:c r="A8" s="26" t="str">
        <x:v>Project 4 — data required</x:v>
      </x:c>
      <x:c r="B8" s="26" t="str"/>
      <x:c r="C8" s="26"/>
      <x:c r="D8" s="1791"/>
      <x:c r="E8" s="1792"/>
      <x:c r="F8" s="1792"/>
      <x:c r="G8" s="1792"/>
      <x:c r="H8" s="1793" t="str">
        <x:f>IF(COUNT(E8:G8)=3,MAX(0,G8-F8),"")</x:f>
      </x:c>
      <x:c r="I8" s="1793" t="str">
        <x:f>IF(AND(ISNUMBER(E8),ISNUMBER(H8)),E8*H8,"")</x:f>
      </x:c>
      <x:c r="J8" s="1811" t="str">
        <x:f>IF(COUNT(E8:G8)=3,Assumptions!B13,"")</x:f>
      </x:c>
      <x:c r="K8" s="1793" t="str">
        <x:f>IF(AND(ISNUMBER(I8),ISNUMBER(J8)),I8*J8,"")</x:f>
      </x:c>
      <x:c r="L8" s="26" t="str">
        <x:v>Data needed</x:v>
      </x:c>
    </x:row>
    <x:row r="9">
      <x:c r="A9" s="26"/>
      <x:c r="B9" s="26"/>
      <x:c r="C9" s="26"/>
      <x:c r="D9" s="1024"/>
      <x:c r="E9" s="1024"/>
      <x:c r="F9" s="1024"/>
      <x:c r="G9" s="1024"/>
      <x:c r="H9" s="1024"/>
      <x:c r="I9" s="1024"/>
      <x:c r="J9" s="1024"/>
      <x:c r="K9" s="1024"/>
      <x:c r="L9" s="26"/>
    </x:row>
    <x:row r="10">
      <x:c r="A10" s="79" t="str">
        <x:v>Total illustrative modelled gain / capture</x:v>
      </x:c>
      <x:c r="B10" s="79"/>
      <x:c r="C10" s="79"/>
      <x:c r="D10" s="1812"/>
      <x:c r="E10" s="1812"/>
      <x:c r="F10" s="1812"/>
      <x:c r="G10" s="1812"/>
      <x:c r="H10" s="1812"/>
      <x:c r="I10" s="1812" t="n">
        <x:f>SUM(I5:I8)</x:f>
        <x:v>5</x:v>
      </x:c>
      <x:c r="J10" s="1812"/>
      <x:c r="K10" s="1812" t="n">
        <x:f>SUM(K5:K8)</x:f>
        <x:v>1</x:v>
      </x:c>
      <x:c r="L10" s="79"/>
    </x:row>
  </x:sheetData>
  <x:mergeCells>
    <x:mergeCell ref="A1:L1"/>
    <x:mergeCell ref="A2:L2"/>
    <x:mergeCell ref="A10:J10"/>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48" hidden="0" customWidth="1"/>
  </x:cols>
  <x:sheetData>
    <x:row r="1" ht="28" customHeight="1">
      <x:c r="A1" s="96" t="str">
        <x:v>Market Concentration Indicators</x:v>
      </x:c>
      <x:c r="B1" s="96"/>
      <x:c r="C1" s="96"/>
      <x:c r="D1" s="96"/>
      <x:c r="E1" s="96"/>
      <x:c r="F1" s="96"/>
      <x:c r="G1" s="96"/>
      <x:c r="H1" s="96"/>
      <x:c r="I1" s="96"/>
      <x:c r="J1" s="96"/>
      <x:c r="K1" s="96"/>
      <x:c r="L1" s="96"/>
    </x:row>
    <x:row r="2" ht="34" customHeight="1">
      <x:c r="A2" s="14" t="str">
        <x:v>Official broad benchmarks plus a user-entered HHI/CR calculator. HHI results are descriptive screening only. The current Canadian merger presumption also requires an HHI increase above 100, which this calculator does not test.</x:v>
      </x:c>
      <x:c r="B2" s="14"/>
      <x:c r="C2" s="14"/>
      <x:c r="D2" s="14"/>
      <x:c r="E2" s="14"/>
      <x:c r="F2" s="14"/>
      <x:c r="G2" s="14"/>
      <x:c r="H2" s="14"/>
      <x:c r="I2" s="14"/>
      <x:c r="J2" s="14"/>
      <x:c r="K2" s="14"/>
      <x:c r="L2" s="14"/>
    </x:row>
    <x:row r="3">
      <x:c r="A3" s="26"/>
      <x:c r="B3" s="26"/>
      <x:c r="C3" s="26"/>
      <x:c r="D3" s="26"/>
      <x:c r="E3" s="26"/>
      <x:c r="F3" s="26"/>
      <x:c r="G3" s="26"/>
      <x:c r="H3" s="26"/>
      <x:c r="I3" s="26"/>
      <x:c r="J3" s="26"/>
      <x:c r="K3" s="26"/>
      <x:c r="L3" s="26"/>
    </x:row>
    <x:row r="4" ht="22" customHeight="1">
      <x:c r="A4" s="92" t="str">
        <x:v>Competition Bureau broad-industry benchmarks</x:v>
      </x:c>
      <x:c r="B4" s="92"/>
      <x:c r="C4" s="92"/>
      <x:c r="D4" s="92"/>
      <x:c r="E4" s="92"/>
      <x:c r="F4" s="92"/>
      <x:c r="G4" s="92"/>
      <x:c r="H4" s="92"/>
      <x:c r="I4" s="92"/>
      <x:c r="J4" s="92"/>
      <x:c r="K4" s="92"/>
      <x:c r="L4" s="92"/>
    </x:row>
    <x:row r="5" ht="30" customHeight="1">
      <x:c r="A5" s="32" t="str">
        <x:v>Indicator</x:v>
      </x:c>
      <x:c r="B5" s="32" t="str">
        <x:v>Group / definition</x:v>
      </x:c>
      <x:c r="C5" s="32" t="str">
        <x:v>Start year</x:v>
      </x:c>
      <x:c r="D5" s="32" t="str">
        <x:v>Start value</x:v>
      </x:c>
      <x:c r="E5" s="32" t="str">
        <x:v>End year</x:v>
      </x:c>
      <x:c r="F5" s="32" t="str">
        <x:v>End value</x:v>
      </x:c>
      <x:c r="G5" s="32" t="str">
        <x:v>Change</x:v>
      </x:c>
      <x:c r="H5" s="32" t="str">
        <x:v>Source URL</x:v>
      </x:c>
      <x:c r="I5" s="26"/>
      <x:c r="J5" s="26"/>
      <x:c r="K5" s="26"/>
      <x:c r="L5" s="26"/>
    </x:row>
    <x:row r="6">
      <x:c r="A6" s="26" t="str">
        <x:v>HHI</x:v>
      </x:c>
      <x:c r="B6" s="26" t="str">
        <x:v>Top 10% most concentrated industries</x:v>
      </x:c>
      <x:c r="C6" s="108" t="n">
        <x:v>2005</x:v>
      </x:c>
      <x:c r="D6" s="109" t="n">
        <x:v>2818</x:v>
      </x:c>
      <x:c r="E6" s="109" t="n">
        <x:v>2018</x:v>
      </x:c>
      <x:c r="F6" s="109" t="n">
        <x:v>3060</x:v>
      </x:c>
      <x:c r="G6" s="110" t="n">
        <x:f>F6-D6</x:f>
        <x:v>242</x:v>
      </x:c>
      <x:c r="H6" s="26" t="str">
        <x:v>https://competition-bureau.canada.ca/en/how-we-foster-competition/education-and-outreach/competition-canada-2000-2020-economy-crossroads</x:v>
      </x:c>
      <x:c r="I6" s="26"/>
      <x:c r="J6" s="26"/>
      <x:c r="K6" s="26"/>
      <x:c r="L6" s="26"/>
    </x:row>
    <x:row r="7">
      <x:c r="A7" s="26" t="str">
        <x:v>HHI</x:v>
      </x:c>
      <x:c r="B7" s="26" t="str">
        <x:v>Top 25% most concentrated industries</x:v>
      </x:c>
      <x:c r="C7" s="108" t="n">
        <x:v>2005</x:v>
      </x:c>
      <x:c r="D7" s="109" t="n">
        <x:v>1942</x:v>
      </x:c>
      <x:c r="E7" s="109" t="n">
        <x:v>2018</x:v>
      </x:c>
      <x:c r="F7" s="109" t="n">
        <x:v>2149</x:v>
      </x:c>
      <x:c r="G7" s="110" t="n">
        <x:f>F7-D7</x:f>
        <x:v>207</x:v>
      </x:c>
      <x:c r="H7" s="26" t="str">
        <x:v>https://competition-bureau.canada.ca/en/how-we-foster-competition/education-and-outreach/competition-canada-2000-2020-economy-crossroads</x:v>
      </x:c>
      <x:c r="I7" s="26"/>
      <x:c r="J7" s="26"/>
      <x:c r="K7" s="26"/>
      <x:c r="L7" s="26"/>
    </x:row>
    <x:row r="8">
      <x:c r="A8" s="26" t="str">
        <x:v>Industries</x:v>
      </x:c>
      <x:c r="B8" s="26" t="str">
        <x:v>HHI above 2,500</x:v>
      </x:c>
      <x:c r="C8" s="108" t="n">
        <x:v>2005</x:v>
      </x:c>
      <x:c r="D8" s="109" t="n">
        <x:v>19</x:v>
      </x:c>
      <x:c r="E8" s="109" t="n">
        <x:v>2018</x:v>
      </x:c>
      <x:c r="F8" s="109" t="n">
        <x:v>27</x:v>
      </x:c>
      <x:c r="G8" s="110" t="n">
        <x:f>F8-D8</x:f>
        <x:v>8</x:v>
      </x:c>
      <x:c r="H8" s="26" t="str">
        <x:v>https://competition-bureau.canada.ca/en/how-we-foster-competition/education-and-outreach/competition-canada-2000-2020-economy-crossroads</x:v>
      </x:c>
      <x:c r="I8" s="26"/>
      <x:c r="J8" s="26"/>
      <x:c r="K8" s="26"/>
      <x:c r="L8" s="26"/>
    </x:row>
    <x:row r="9">
      <x:c r="A9" s="26" t="str">
        <x:v>Industries</x:v>
      </x:c>
      <x:c r="B9" s="26" t="str">
        <x:v>CR10 above 80%</x:v>
      </x:c>
      <x:c r="C9" s="108" t="n">
        <x:v>2005</x:v>
      </x:c>
      <x:c r="D9" s="109" t="n">
        <x:v>47</x:v>
      </x:c>
      <x:c r="E9" s="109" t="n">
        <x:v>2018</x:v>
      </x:c>
      <x:c r="F9" s="109" t="n">
        <x:v>50</x:v>
      </x:c>
      <x:c r="G9" s="110" t="n">
        <x:f>F9-D9</x:f>
        <x:v>3</x:v>
      </x:c>
      <x:c r="H9" s="26" t="str">
        <x:v>https://competition-bureau.canada.ca/en/how-we-foster-competition/education-and-outreach/competition-canada-2000-2020-economy-crossroads</x:v>
      </x:c>
      <x:c r="I9" s="26"/>
      <x:c r="J9" s="26"/>
      <x:c r="K9" s="26"/>
      <x:c r="L9" s="26"/>
    </x:row>
    <x:row r="10">
      <x:c r="A10" s="26"/>
      <x:c r="B10" s="26"/>
      <x:c r="C10" s="26"/>
      <x:c r="D10" s="26"/>
      <x:c r="E10" s="26"/>
      <x:c r="F10" s="26"/>
      <x:c r="G10" s="26"/>
      <x:c r="H10" s="26"/>
      <x:c r="I10" s="26"/>
      <x:c r="J10" s="26"/>
      <x:c r="K10" s="26"/>
      <x:c r="L10" s="26"/>
    </x:row>
    <x:row r="11" ht="22" customHeight="1">
      <x:c r="A11" s="92" t="str">
        <x:v>Market-share calculator</x:v>
      </x:c>
      <x:c r="B11" s="92"/>
      <x:c r="C11" s="92"/>
      <x:c r="D11" s="92"/>
      <x:c r="E11" s="92"/>
      <x:c r="F11" s="92"/>
      <x:c r="G11" s="92"/>
      <x:c r="H11" s="92"/>
      <x:c r="I11" s="92"/>
      <x:c r="J11" s="92"/>
      <x:c r="K11" s="92"/>
      <x:c r="L11" s="92"/>
    </x:row>
    <x:row r="12" ht="30" customHeight="1">
      <x:c r="A12" s="32" t="str">
        <x:v>Market / sector</x:v>
      </x:c>
      <x:c r="B12" s="32" t="str">
        <x:v>Firm 1</x:v>
      </x:c>
      <x:c r="C12" s="32" t="str">
        <x:v>Firm 2</x:v>
      </x:c>
      <x:c r="D12" s="32" t="str">
        <x:v>Firm 3</x:v>
      </x:c>
      <x:c r="E12" s="32" t="str">
        <x:v>Firm 4</x:v>
      </x:c>
      <x:c r="F12" s="32" t="str">
        <x:v>Firm 5</x:v>
      </x:c>
      <x:c r="G12" s="32" t="str">
        <x:v>Firm 6</x:v>
      </x:c>
      <x:c r="H12" s="32" t="str">
        <x:v>Firm 7</x:v>
      </x:c>
      <x:c r="I12" s="32" t="str">
        <x:v>Firm 8</x:v>
      </x:c>
      <x:c r="J12" s="32" t="str">
        <x:v>Firm 9</x:v>
      </x:c>
      <x:c r="K12" s="32" t="str">
        <x:v>Firm 10</x:v>
      </x:c>
      <x:c r="L12" s="32" t="str">
        <x:v>Notes / source</x:v>
      </x:c>
    </x:row>
    <x:row r="13">
      <x:c r="A13" s="26" t="str">
        <x:v>Enter market 1</x:v>
      </x:c>
      <x:c r="B13" s="49"/>
      <x:c r="C13" s="49"/>
      <x:c r="D13" s="49"/>
      <x:c r="E13" s="49"/>
      <x:c r="F13" s="49"/>
      <x:c r="G13" s="49"/>
      <x:c r="H13" s="49"/>
      <x:c r="I13" s="49"/>
      <x:c r="J13" s="49"/>
      <x:c r="K13" s="49"/>
      <x:c r="L13" s="26" t="str">
        <x:v>Shares as decimals; total should equal 100%</x:v>
      </x:c>
    </x:row>
    <x:row r="14">
      <x:c r="A14" s="26" t="str">
        <x:v>Enter market 2</x:v>
      </x:c>
      <x:c r="B14" s="49"/>
      <x:c r="C14" s="49"/>
      <x:c r="D14" s="49"/>
      <x:c r="E14" s="49"/>
      <x:c r="F14" s="49"/>
      <x:c r="G14" s="49"/>
      <x:c r="H14" s="49"/>
      <x:c r="I14" s="49"/>
      <x:c r="J14" s="49"/>
      <x:c r="K14" s="49"/>
      <x:c r="L14" s="26" t="str"/>
    </x:row>
    <x:row r="15">
      <x:c r="A15" s="26" t="str">
        <x:v>Enter market 3</x:v>
      </x:c>
      <x:c r="B15" s="49"/>
      <x:c r="C15" s="49"/>
      <x:c r="D15" s="49"/>
      <x:c r="E15" s="49"/>
      <x:c r="F15" s="49"/>
      <x:c r="G15" s="49"/>
      <x:c r="H15" s="49"/>
      <x:c r="I15" s="49"/>
      <x:c r="J15" s="49"/>
      <x:c r="K15" s="49"/>
      <x:c r="L15" s="26" t="str"/>
    </x:row>
    <x:row r="16">
      <x:c r="A16" s="26" t="str">
        <x:v>Enter market 4</x:v>
      </x:c>
      <x:c r="B16" s="49"/>
      <x:c r="C16" s="49"/>
      <x:c r="D16" s="49"/>
      <x:c r="E16" s="49"/>
      <x:c r="F16" s="49"/>
      <x:c r="G16" s="49"/>
      <x:c r="H16" s="49"/>
      <x:c r="I16" s="49"/>
      <x:c r="J16" s="49"/>
      <x:c r="K16" s="49"/>
      <x:c r="L16" s="26" t="str"/>
    </x:row>
    <x:row r="17">
      <x:c r="A17" s="26"/>
      <x:c r="B17" s="26"/>
      <x:c r="C17" s="26"/>
      <x:c r="D17" s="26"/>
      <x:c r="E17" s="26"/>
      <x:c r="F17" s="26"/>
      <x:c r="G17" s="26"/>
      <x:c r="H17" s="26"/>
      <x:c r="I17" s="26"/>
      <x:c r="J17" s="26"/>
      <x:c r="K17" s="26"/>
      <x:c r="L17" s="26"/>
    </x:row>
    <x:row r="18" ht="30" customHeight="1">
      <x:c r="A18" s="32" t="str">
        <x:v>Market</x:v>
      </x:c>
      <x:c r="B18" s="32" t="str">
        <x:v>Total share</x:v>
      </x:c>
      <x:c r="C18" s="32" t="str">
        <x:v>CR3</x:v>
      </x:c>
      <x:c r="D18" s="32" t="str">
        <x:v>CR10</x:v>
      </x:c>
      <x:c r="E18" s="32" t="str">
        <x:v>HHI</x:v>
      </x:c>
      <x:c r="F18" s="32" t="str">
        <x:v>Classification</x:v>
      </x:c>
      <x:c r="G18" s="26"/>
      <x:c r="H18" s="26"/>
      <x:c r="I18" s="26"/>
      <x:c r="J18" s="26"/>
      <x:c r="K18" s="26"/>
      <x:c r="L18" s="26"/>
    </x:row>
    <x:row r="19">
      <x:c r="A19" s="26" t="str">
        <x:f>A13</x:f>
        <x:v>Enter market 1</x:v>
      </x:c>
      <x:c r="B19" s="75" t="n">
        <x:f>SUM(B13:K13)</x:f>
        <x:v>0</x:v>
      </x:c>
      <x:c r="C19" s="75" t="str">
        <x:f>IF(B19=0,"",SUM(LARGE(B13:K13,{1,2,3})))</x:f>
      </x:c>
      <x:c r="D19" s="75" t="str">
        <x:f>IF(B19=0,"",SUM(B13:K13))</x:f>
      </x:c>
      <x:c r="E19" s="111" t="str">
        <x:f>IF(B19=0,"",SUMPRODUCT(B13:K13,B13:K13)*10000)</x:f>
      </x:c>
      <x:c r="F19" s="26" t="str">
        <x:f>IF(E19="","Data needed",IF(E19&gt;=Model_Parameters!$B$5,"HHI at/above Canadian merger structural level — screening only","HHI below Canadian structural level — screening only"))</x:f>
        <x:v>Data needed</x:v>
      </x:c>
      <x:c r="G19" s="26"/>
      <x:c r="H19" s="26"/>
      <x:c r="I19" s="26"/>
      <x:c r="J19" s="26"/>
      <x:c r="K19" s="26"/>
      <x:c r="L19" s="26"/>
    </x:row>
    <x:row r="20">
      <x:c r="A20" s="26" t="str">
        <x:f>A14</x:f>
        <x:v>Enter market 2</x:v>
      </x:c>
      <x:c r="B20" s="75" t="n">
        <x:f>SUM(B14:K14)</x:f>
        <x:v>0</x:v>
      </x:c>
      <x:c r="C20" s="75" t="str">
        <x:f>IF(B20=0,"",SUM(LARGE(B14:K14,{1,2,3})))</x:f>
      </x:c>
      <x:c r="D20" s="75" t="str">
        <x:f>IF(B20=0,"",SUM(B14:K14))</x:f>
      </x:c>
      <x:c r="E20" s="111" t="str">
        <x:f>IF(B20=0,"",SUMPRODUCT(B14:K14,B14:K14)*10000)</x:f>
      </x:c>
      <x:c r="F20" s="26" t="str">
        <x:f>IF(E20="","Data needed",IF(E20&gt;=Model_Parameters!$B$5,"HHI at/above Canadian merger structural level — screening only","HHI below Canadian structural level — screening only"))</x:f>
        <x:v>Data needed</x:v>
      </x:c>
      <x:c r="G20" s="26"/>
      <x:c r="H20" s="26"/>
      <x:c r="I20" s="26"/>
      <x:c r="J20" s="26"/>
      <x:c r="K20" s="26"/>
      <x:c r="L20" s="26"/>
    </x:row>
    <x:row r="21">
      <x:c r="A21" s="26" t="str">
        <x:f>A15</x:f>
        <x:v>Enter market 3</x:v>
      </x:c>
      <x:c r="B21" s="75" t="n">
        <x:f>SUM(B15:K15)</x:f>
        <x:v>0</x:v>
      </x:c>
      <x:c r="C21" s="75" t="str">
        <x:f>IF(B21=0,"",SUM(LARGE(B15:K15,{1,2,3})))</x:f>
      </x:c>
      <x:c r="D21" s="75" t="str">
        <x:f>IF(B21=0,"",SUM(B15:K15))</x:f>
      </x:c>
      <x:c r="E21" s="111" t="str">
        <x:f>IF(B21=0,"",SUMPRODUCT(B15:K15,B15:K15)*10000)</x:f>
      </x:c>
      <x:c r="F21" s="26" t="str">
        <x:f>IF(E21="","Data needed",IF(E21&gt;=Model_Parameters!$B$5,"HHI at/above Canadian merger structural level — screening only","HHI below Canadian structural level — screening only"))</x:f>
        <x:v>Data needed</x:v>
      </x:c>
      <x:c r="G21" s="26"/>
      <x:c r="H21" s="26"/>
      <x:c r="I21" s="26"/>
      <x:c r="J21" s="26"/>
      <x:c r="K21" s="26"/>
      <x:c r="L21" s="26"/>
    </x:row>
    <x:row r="22">
      <x:c r="A22" s="26" t="str">
        <x:f>A16</x:f>
        <x:v>Enter market 4</x:v>
      </x:c>
      <x:c r="B22" s="75" t="n">
        <x:f>SUM(B16:K16)</x:f>
        <x:v>0</x:v>
      </x:c>
      <x:c r="C22" s="75" t="str">
        <x:f>IF(B22=0,"",SUM(LARGE(B16:K16,{1,2,3})))</x:f>
      </x:c>
      <x:c r="D22" s="75" t="str">
        <x:f>IF(B22=0,"",SUM(B16:K16))</x:f>
      </x:c>
      <x:c r="E22" s="111" t="str">
        <x:f>IF(B22=0,"",SUMPRODUCT(B16:K16,B16:K16)*10000)</x:f>
      </x:c>
      <x:c r="F22" s="26" t="str">
        <x:f>IF(E22="","Data needed",IF(E22&gt;=Model_Parameters!$B$5,"HHI at/above Canadian merger structural level — screening only","HHI below Canadian structural level — screening only"))</x:f>
        <x:v>Data needed</x:v>
      </x:c>
      <x:c r="G22" s="26"/>
      <x:c r="H22" s="26"/>
      <x:c r="I22" s="26"/>
      <x:c r="J22" s="26"/>
      <x:c r="K22" s="26"/>
      <x:c r="L22" s="26"/>
    </x:row>
  </x:sheetData>
  <x:mergeCells>
    <x:mergeCell ref="A1:L1"/>
    <x:mergeCell ref="A2:L2"/>
    <x:mergeCell ref="A4:L4"/>
    <x:mergeCell ref="A11:L11"/>
  </x:mergeCells>
  <x:conditionalFormatting sqref="E19:E22">
    <x:cfRule type="colorScale" priority="1">
      <x:colorScale>
        <x:cfvo type="min"/>
        <x:cfvo type="percentile" val="50"/>
        <x:cfvo type="max"/>
        <x:color rgb="FFE2F0D9"/>
        <x:color rgb="FFFFF2CC"/>
        <x:color rgb="FFF4CCCC"/>
      </x:colorScale>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22" hidden="0" customWidth="1"/>
    <x:col min="3" max="3" width="16" hidden="0" customWidth="1"/>
    <x:col min="4" max="4" width="18" hidden="0" customWidth="1"/>
    <x:col min="5" max="5" width="26" hidden="0" customWidth="1"/>
    <x:col min="6" max="6" width="32" hidden="0" customWidth="1"/>
    <x:col min="7" max="7" width="18" hidden="0" customWidth="1"/>
    <x:col min="8" max="8" width="22" hidden="0" customWidth="1"/>
    <x:col min="9" max="9" width="20" hidden="0" customWidth="1"/>
    <x:col min="10" max="10" width="14" hidden="0" customWidth="1"/>
    <x:col min="11" max="11" width="52" hidden="0" customWidth="1"/>
  </x:cols>
  <x:sheetData>
    <x:row r="1" ht="28" customHeight="1">
      <x:c r="A1" s="5" t="str">
        <x:v>Existing Permanent and Strategic Public Funds</x:v>
      </x:c>
      <x:c r="B1" s="5"/>
      <x:c r="C1" s="5"/>
      <x:c r="D1" s="5"/>
      <x:c r="E1" s="5"/>
      <x:c r="F1" s="5"/>
      <x:c r="G1" s="5"/>
      <x:c r="H1" s="5"/>
      <x:c r="I1" s="5"/>
      <x:c r="J1" s="5"/>
      <x:c r="K1" s="5"/>
    </x:row>
    <x:row r="2" ht="34" customHeight="1">
      <x:c r="A2" s="14" t="str">
        <x:v>Funds are not directly comparable; mandate and accessibility matter.</x:v>
      </x:c>
      <x:c r="B2" s="14"/>
      <x:c r="C2" s="14"/>
      <x:c r="D2" s="14"/>
      <x:c r="E2" s="14"/>
      <x:c r="F2" s="14"/>
      <x:c r="G2" s="14"/>
      <x:c r="H2" s="14"/>
      <x:c r="I2" s="14"/>
      <x:c r="J2" s="14"/>
      <x:c r="K2" s="14"/>
    </x:row>
    <x:row r="4" ht="30" customHeight="1">
      <x:c r="A4" s="32" t="str">
        <x:v>Fund / institution</x:v>
      </x:c>
      <x:c r="B4" s="32" t="str">
        <x:v>Jurisdiction</x:v>
      </x:c>
      <x:c r="C4" s="32" t="str">
        <x:v>Reference date</x:v>
      </x:c>
      <x:c r="D4" s="32" t="str">
        <x:v>Reported amount ($B)</x:v>
      </x:c>
      <x:c r="E4" s="32" t="str">
        <x:v>Amount type</x:v>
      </x:c>
      <x:c r="F4" s="32" t="str">
        <x:v>Primary purpose</x:v>
      </x:c>
      <x:c r="G4" s="32" t="str">
        <x:v>Permanent principal?</x:v>
      </x:c>
      <x:c r="H4" s="32" t="str">
        <x:v>Available for general spending?</x:v>
      </x:c>
      <x:c r="I4" s="32" t="str">
        <x:v>Include in SWF starting base?</x:v>
      </x:c>
      <x:c r="J4" s="32" t="str">
        <x:v>Status</x:v>
      </x:c>
      <x:c r="K4" s="32" t="str">
        <x:v>Source URL</x:v>
      </x:c>
    </x:row>
    <x:row r="5">
      <x:c r="A5" s="26" t="str">
        <x:v>Alberta Heritage Savings Trust Fund</x:v>
      </x:c>
      <x:c r="B5" s="26" t="str">
        <x:v>Alberta</x:v>
      </x:c>
      <x:c r="C5" s="26" t="str">
        <x:v>2025-12-31</x:v>
      </x:c>
      <x:c r="D5" s="125" t="n">
        <x:v>31.9</x:v>
      </x:c>
      <x:c r="E5" s="26" t="str">
        <x:v>Net financial assets</x:v>
      </x:c>
      <x:c r="F5" s="26" t="str">
        <x:v>Save and invest resource revenues</x:v>
      </x:c>
      <x:c r="G5" s="26" t="str">
        <x:v>Yes</x:v>
      </x:c>
      <x:c r="H5" s="26" t="str">
        <x:v>Restricted</x:v>
      </x:c>
      <x:c r="I5" s="26" t="str">
        <x:v>Yes</x:v>
      </x:c>
      <x:c r="J5" s="26" t="str">
        <x:v>Verified</x:v>
      </x:c>
      <x:c r="K5" s="26" t="str">
        <x:v>https://www.alberta.ca/heritage-savings-trust-fund</x:v>
      </x:c>
    </x:row>
    <x:row r="6">
      <x:c r="A6" s="26" t="str">
        <x:v>Newfoundland and Labrador Future Fund</x:v>
      </x:c>
      <x:c r="B6" s="26" t="str">
        <x:v>Newfoundland and Labrador</x:v>
      </x:c>
      <x:c r="C6" s="26" t="str">
        <x:v>2025-12-31</x:v>
      </x:c>
      <x:c r="D6" s="125" t="n">
        <x:v>0.524727416</x:v>
      </x:c>
      <x:c r="E6" s="26" t="str">
        <x:v>Fund value; cumulative contributions $0.467911B</x:v>
      </x:c>
      <x:c r="F6" s="26" t="str">
        <x:v>Debt and long-term liabilities</x:v>
      </x:c>
      <x:c r="G6" s="26" t="str">
        <x:v>Protected principal; mandatory annual deposits removed by 2026 amendments</x:v>
      </x:c>
      <x:c r="H6" s="26" t="str">
        <x:v>Restricted to debt and specified liabilities</x:v>
      </x:c>
      <x:c r="I6" s="26" t="str">
        <x:v>Yes</x:v>
      </x:c>
      <x:c r="J6" s="26" t="str">
        <x:v>Verified</x:v>
      </x:c>
      <x:c r="K6" s="26" t="str">
        <x:v>https://investorrelations.gov.nl.ca/futurefund/default.aspx</x:v>
      </x:c>
    </x:row>
    <x:row r="7">
      <x:c r="A7" s="26" t="str">
        <x:v>Canada Growth Fund</x:v>
      </x:c>
      <x:c r="B7" s="26" t="str">
        <x:v>Federal</x:v>
      </x:c>
      <x:c r="C7" s="26" t="str">
        <x:v>Mandate size</x:v>
      </x:c>
      <x:c r="D7" s="125" t="n">
        <x:v>15</x:v>
      </x:c>
      <x:c r="E7" s="26" t="str">
        <x:v>Statutory capitalization / mandate</x:v>
      </x:c>
      <x:c r="F7" s="26" t="str">
        <x:v>Strategic low-carbon investment</x:v>
      </x:c>
      <x:c r="G7" s="26" t="str">
        <x:v>Recyclable capital</x:v>
      </x:c>
      <x:c r="H7" s="26" t="str">
        <x:v>No</x:v>
      </x:c>
      <x:c r="I7" s="26" t="str">
        <x:v>No</x:v>
      </x:c>
      <x:c r="J7" s="26" t="str">
        <x:v>Verified</x:v>
      </x:c>
      <x:c r="K7" s="26" t="str">
        <x:v>https://www.cgf-fcc.ca/en/</x:v>
      </x:c>
    </x:row>
    <x:row r="8">
      <x:c r="A8" s="26" t="str">
        <x:v>Québec Generations Fund</x:v>
      </x:c>
      <x:c r="B8" s="26" t="str">
        <x:v>Quebec</x:v>
      </x:c>
      <x:c r="C8" s="26" t="str">
        <x:v>2026-03-31</x:v>
      </x:c>
      <x:c r="D8" s="125" t="n">
        <x:v>16.644</x:v>
      </x:c>
      <x:c r="E8" s="26" t="str">
        <x:v>Book value; fair value $20.1B at 2025-12-31 including receivables</x:v>
      </x:c>
      <x:c r="F8" s="26" t="str">
        <x:v>Debt reduction</x:v>
      </x:c>
      <x:c r="G8" s="26" t="str">
        <x:v>Dedicated revenues; withdrawals permitted to repay borrowings</x:v>
      </x:c>
      <x:c r="H8" s="26" t="str">
        <x:v>No — dedicated debt-reduction mandate</x:v>
      </x:c>
      <x:c r="I8" s="26" t="str">
        <x:v>No</x:v>
      </x:c>
      <x:c r="J8" s="26" t="str">
        <x:v>Verified</x:v>
      </x:c>
      <x:c r="K8" s="26" t="str">
        <x:v>https://www.finances.gouv.qc.ca/Budget_and_update/budget/documents/Budget2627_BudgetPlan.pdf</x:v>
      </x:c>
    </x:row>
    <x:row r="9">
      <x:c r="A9" s="26" t="str">
        <x:v>Other provincial / Indigenous permanent funds</x:v>
      </x:c>
      <x:c r="B9" s="26" t="str">
        <x:v>Various</x:v>
      </x:c>
      <x:c r="C9" s="26" t="str">
        <x:v>Update required</x:v>
      </x:c>
      <x:c r="D9" s="1798"/>
      <x:c r="E9" s="26" t="str">
        <x:v>Data needed</x:v>
      </x:c>
      <x:c r="F9" s="26" t="str">
        <x:v>Various</x:v>
      </x:c>
      <x:c r="G9" s="26" t="str">
        <x:v>Varies</x:v>
      </x:c>
      <x:c r="H9" s="26" t="str">
        <x:v>Varies</x:v>
      </x:c>
      <x:c r="I9" s="26" t="str">
        <x:v>No</x:v>
      </x:c>
      <x:c r="J9" s="26" t="str">
        <x:v>Data needed</x:v>
      </x:c>
      <x:c r="K9" s="26" t="str"/>
    </x:row>
    <x:row r="10">
      <x:c r="A10" s="26"/>
      <x:c r="B10" s="26"/>
      <x:c r="C10" s="26"/>
      <x:c r="D10" s="126"/>
      <x:c r="E10" s="26"/>
      <x:c r="F10" s="26"/>
      <x:c r="G10" s="26"/>
      <x:c r="H10" s="26"/>
      <x:c r="I10" s="26"/>
      <x:c r="J10" s="26"/>
      <x:c r="K10" s="26"/>
    </x:row>
    <x:row r="11">
      <x:c r="A11" s="79" t="str">
        <x:v>Included verified starting public-fund base</x:v>
      </x:c>
      <x:c r="B11" s="79"/>
      <x:c r="C11" s="79"/>
      <x:c r="D11" s="80" t="n">
        <x:f>SUMIF(I5:I9,"Yes",D5:D9)</x:f>
        <x:v>32.424727415999996</x:v>
      </x:c>
      <x:c r="E11" s="26"/>
      <x:c r="F11" s="26"/>
      <x:c r="G11" s="26"/>
      <x:c r="H11" s="26"/>
      <x:c r="I11" s="26"/>
      <x:c r="J11" s="26"/>
      <x:c r="K11" s="26"/>
    </x:row>
  </x:sheetData>
  <x:mergeCells>
    <x:mergeCell ref="A1:K1"/>
    <x:mergeCell ref="A2:K2"/>
    <x:mergeCell ref="A11:C11"/>
  </x:mergeCells>
  <x:dataValidations count="2">
    <x:dataValidation type="list" sqref="I5:I9">
      <x:formula1>"Yes,No"</x:formula1>
    </x:dataValidation>
    <x:dataValidation type="list" sqref="J5:J50">
      <x:formula1>"Verified,Provisional,Modelled,Data needed,Not applicable"</x:formula1>
    </x:dataValidation>
  </x:dataValidations>
  <x:pageMargins left="0.7" right="0.7" top="0.75" bottom="0.75" header="0.3" footer="0.3"/>
  <x:tableParts count="1">
    <x:tablePart xmlns:r="http://schemas.openxmlformats.org/officeDocument/2006/relationships" r:id="Rcb76c942a3ec4293"/>
  </x:tableParts>
</x:worksheet>
</file>

<file path=xl/worksheets/sheet9.xml><?xml version="1.0" encoding="utf-8"?>
<x:worksheet xmlns:x="http://schemas.openxmlformats.org/spreadsheetml/2006/main">
  <x:sheetFormatPr defaultRowHeight="15"/>
  <x:cols>
    <x:col min="11" max="11" width="2" hidden="0" customWidth="1"/>
    <x:col min="12" max="12" width="2" hidden="0" customWidth="1"/>
    <x:col min="13" max="13" width="2" hidden="0" customWidth="1"/>
    <x:col min="1" max="1" width="1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4" max="14" width="14" hidden="0" customWidth="1"/>
    <x:col min="15" max="15" width="14" hidden="0" customWidth="1"/>
    <x:col min="16" max="16" width="14" hidden="0" customWidth="1"/>
    <x:col min="17" max="17" width="14" hidden="0" customWidth="1"/>
  </x:cols>
  <x:sheetData>
    <x:row r="1" ht="28" customHeight="1">
      <x:c r="A1" s="5" t="str">
        <x:v>Federated Public Wealth Scenario — Not Evidence</x:v>
      </x:c>
      <x:c r="B1" s="5"/>
      <x:c r="C1" s="5"/>
      <x:c r="D1" s="5"/>
      <x:c r="E1" s="5"/>
      <x:c r="F1" s="5"/>
      <x:c r="G1" s="5"/>
      <x:c r="H1" s="5"/>
      <x:c r="I1" s="5"/>
      <x:c r="J1" s="5"/>
    </x:row>
    <x:row r="2" ht="34" customHeight="1">
      <x:c r="A2" s="14" t="str">
        <x:v>Policy scenario only; not a forecast and not an observed wealth path. Values depend on explicit assumptions and incomplete public-revenue inputs.</x:v>
      </x:c>
      <x:c r="B2" s="14"/>
      <x:c r="C2" s="14"/>
      <x:c r="D2" s="14"/>
      <x:c r="E2" s="14"/>
      <x:c r="F2" s="14"/>
      <x:c r="G2" s="14"/>
      <x:c r="H2" s="14"/>
      <x:c r="I2" s="14"/>
      <x:c r="J2" s="14"/>
    </x:row>
    <x:row r="3" ht="24" customHeight="1">
      <x:c r="A3" s="1825" t="str">
        <x:v>DO NOT CITE AS A MEASURED OUTCOME. A verified economic-rent denominator and preservation account are still missing.</x:v>
      </x:c>
      <x:c r="B3" s="1825"/>
      <x:c r="C3" s="1825"/>
      <x:c r="D3" s="1825"/>
      <x:c r="E3" s="1825"/>
      <x:c r="F3" s="1825"/>
      <x:c r="G3" s="1825"/>
      <x:c r="H3" s="1825"/>
      <x:c r="I3" s="1825"/>
      <x:c r="J3" s="1825"/>
      <x:c r="K3" s="1825"/>
      <x:c r="L3" s="1825"/>
      <x:c r="M3" s="1825"/>
      <x:c r="N3" s="1825"/>
      <x:c r="O3" s="1825"/>
      <x:c r="P3" s="1825"/>
      <x:c r="Q3" s="1825"/>
    </x:row>
    <x:row r="4" ht="22" customHeight="1">
      <x:c r="A4" s="22" t="str">
        <x:v>Annual deposit bridge</x:v>
      </x:c>
      <x:c r="B4" s="22"/>
      <x:c r="C4" s="22"/>
      <x:c r="D4" s="22"/>
      <x:c r="E4" s="22"/>
      <x:c r="F4" s="22"/>
      <x:c r="G4" s="22"/>
      <x:c r="H4" s="22"/>
      <x:c r="I4" s="22"/>
      <x:c r="J4" s="22"/>
    </x:row>
    <x:row r="5" ht="30" customHeight="1">
      <x:c r="A5" s="32" t="str">
        <x:v>Deposit source</x:v>
      </x:c>
      <x:c r="B5" s="32" t="str">
        <x:v>Low</x:v>
      </x:c>
      <x:c r="C5" s="32" t="str">
        <x:v>Base</x:v>
      </x:c>
      <x:c r="D5" s="32" t="str">
        <x:v>High</x:v>
      </x:c>
      <x:c r="E5" s="32" t="str">
        <x:v>Formula / note</x:v>
      </x:c>
    </x:row>
    <x:row r="6">
      <x:c r="A6" t="str">
        <x:v>Starting public-fund base</x:v>
      </x:c>
      <x:c r="B6" s="90" t="n">
        <x:f>Public_Funds!D11</x:f>
        <x:v>32.424727415999996</x:v>
      </x:c>
      <x:c r="C6" s="90" t="n">
        <x:f>Public_Funds!D11</x:f>
        <x:v>32.424727415999996</x:v>
      </x:c>
      <x:c r="D6" s="90" t="n">
        <x:f>Public_Funds!D11</x:f>
        <x:v>32.424727415999996</x:v>
      </x:c>
      <x:c r="E6" t="str">
        <x:v>Included funds only</x:v>
      </x:c>
    </x:row>
    <x:row r="7">
      <x:c r="A7" t="str">
        <x:v>Public resource capture available for deposit</x:v>
      </x:c>
      <x:c r="B7" s="90" t="n">
        <x:f>Resource_Rent!G11*Assumptions!C9*Assumptions!C14</x:f>
        <x:v>2.8902500000000004</x:v>
      </x:c>
      <x:c r="C7" s="90" t="n">
        <x:f>Royalty_Capture!B27*Assumptions!B14</x:f>
        <x:v>14.563529848500002</x:v>
      </x:c>
      <x:c r="D7" s="90" t="n">
        <x:f>Resource_Rent!I11*Assumptions!D9*Assumptions!D14</x:f>
        <x:v>44.412</x:v>
      </x:c>
      <x:c r="E7" t="str">
        <x:v>Effective capture × deposit share</x:v>
      </x:c>
    </x:row>
    <x:row r="8">
      <x:c r="A8" t="str">
        <x:v>Infrastructure-created gain available for deposit</x:v>
      </x:c>
      <x:c r="B8" s="90" t="n">
        <x:f>Infrastructure_Gains!I10*Assumptions!C13*Assumptions!C15</x:f>
        <x:v>0.125</x:v>
      </x:c>
      <x:c r="C8" s="90" t="n">
        <x:f>Infrastructure_Gains!I10*Assumptions!B13*Assumptions!B15</x:f>
        <x:v>0.5</x:v>
      </x:c>
      <x:c r="D8" s="90" t="n">
        <x:f>Infrastructure_Gains!I10*Assumptions!D13*Assumptions!D15</x:f>
        <x:v>1.3125</x:v>
      </x:c>
      <x:c r="E8" t="str">
        <x:v>Potential capture × deposit share</x:v>
      </x:c>
    </x:row>
    <x:row r="9">
      <x:c r="A9" t="str">
        <x:v>Industrial public-return deposits</x:v>
      </x:c>
      <x:c r="B9" s="90" t="n">
        <x:f>Assumptions!C16</x:f>
        <x:v>0.25</x:v>
      </x:c>
      <x:c r="C9" s="90" t="n">
        <x:f>Assumptions!B16</x:f>
        <x:v>1</x:v>
      </x:c>
      <x:c r="D9" s="90" t="n">
        <x:f>Assumptions!D16</x:f>
        <x:v>2</x:v>
      </x:c>
      <x:c r="E9" t="str">
        <x:v>Assumption</x:v>
      </x:c>
    </x:row>
    <x:row r="10">
      <x:c r="A10" s="58" t="str">
        <x:v>Total annual deposits</x:v>
      </x:c>
      <x:c r="B10" s="117" t="n">
        <x:f>SUM(B7:B9)</x:f>
        <x:v>3.2652500000000004</x:v>
      </x:c>
      <x:c r="C10" s="117" t="n">
        <x:f>SUM(C7:C9)</x:f>
        <x:v>16.063529848500004</x:v>
      </x:c>
      <x:c r="D10" s="117" t="n">
        <x:f>SUM(D7:D9)</x:f>
        <x:v>47.7245</x:v>
      </x:c>
      <x:c r="E10" s="58" t="str">
        <x:v>Sum of annual sources; excludes starting base</x:v>
      </x:c>
    </x:row>
    <x:row r="12" ht="22" customHeight="1">
      <x:c r="A12" s="22" t="str">
        <x:v>Fund projection</x:v>
      </x:c>
      <x:c r="B12" s="22"/>
      <x:c r="C12" s="22"/>
      <x:c r="D12" s="22"/>
      <x:c r="E12" s="22"/>
      <x:c r="F12" s="22"/>
      <x:c r="G12" s="22"/>
      <x:c r="H12" s="22"/>
      <x:c r="I12" s="22"/>
      <x:c r="J12" s="22"/>
    </x:row>
    <x:row r="13" ht="30" customHeight="1">
      <x:c r="A13" s="32" t="str">
        <x:v>Year</x:v>
      </x:c>
      <x:c r="B13" s="32" t="str">
        <x:v>Low opening</x:v>
      </x:c>
      <x:c r="C13" s="32" t="str">
        <x:v>Low deposits</x:v>
      </x:c>
      <x:c r="D13" s="32" t="str">
        <x:v>Low return</x:v>
      </x:c>
      <x:c r="E13" s="32" t="str">
        <x:v>Low closing</x:v>
      </x:c>
      <x:c r="F13" s="32" t="str">
        <x:v>Base opening</x:v>
      </x:c>
      <x:c r="G13" s="32" t="str">
        <x:v>Base deposits</x:v>
      </x:c>
      <x:c r="H13" s="32" t="str">
        <x:v>Base return</x:v>
      </x:c>
      <x:c r="I13" s="32" t="str">
        <x:v>Base closing</x:v>
      </x:c>
      <x:c r="J13" s="32" t="str">
        <x:v>High closing</x:v>
      </x:c>
      <x:c r="N13" s="32" t="str">
        <x:v>Year</x:v>
      </x:c>
      <x:c r="O13" s="32" t="str">
        <x:v>Low closing</x:v>
      </x:c>
      <x:c r="P13" s="32" t="str">
        <x:v>Base closing</x:v>
      </x:c>
      <x:c r="Q13" s="32" t="str">
        <x:v>High closing</x:v>
      </x:c>
    </x:row>
    <x:row r="14">
      <x:c r="A14" t="n">
        <x:v>2026</x:v>
      </x:c>
      <x:c r="B14" s="60" t="n">
        <x:f>$B$6</x:f>
        <x:v>32.424727415999996</x:v>
      </x:c>
      <x:c r="C14" s="60" t="n">
        <x:f>$B$10</x:f>
        <x:v>3.2652500000000004</x:v>
      </x:c>
      <x:c r="D14" s="60" t="n">
        <x:f>(B14+C14*Model_Parameters!$B$16)*Assumptions!$C$17</x:f>
        <x:v>1.19200733456</x:v>
      </x:c>
      <x:c r="E14" s="60" t="n">
        <x:f>B14+C14+D14</x:f>
        <x:v>36.88198475056</x:v>
      </x:c>
      <x:c r="F14" s="60" t="n">
        <x:f>$C$6</x:f>
        <x:v>32.424727415999996</x:v>
      </x:c>
      <x:c r="G14" s="60" t="n">
        <x:f>$C$10</x:f>
        <x:v>16.063529848500004</x:v>
      </x:c>
      <x:c r="H14" s="60" t="n">
        <x:f>(F14+G14*Model_Parameters!$B$16)*Assumptions!$B$17</x:f>
        <x:v>2.2251070787137497</x:v>
      </x:c>
      <x:c r="I14" s="60" t="n">
        <x:f>F14+G14+H14</x:f>
        <x:v>50.71336434321375</x:v>
      </x:c>
      <x:c r="J14" s="60" t="n">
        <x:f>K14+L14+M14</x:f>
        <x:v>84.3707507222</x:v>
      </x:c>
      <x:c r="K14" s="60" t="n">
        <x:f>$D$6</x:f>
        <x:v>32.424727415999996</x:v>
      </x:c>
      <x:c r="L14" s="60" t="n">
        <x:f>$D$10</x:f>
        <x:v>47.7245</x:v>
      </x:c>
      <x:c r="M14" s="60" t="n">
        <x:f>(K14+L14*Model_Parameters!$B$16)*Assumptions!$D$17</x:f>
        <x:v>4.2215233062</x:v>
      </x:c>
      <x:c r="N14" t="n">
        <x:f>A14</x:f>
        <x:v>2026</x:v>
      </x:c>
      <x:c r="O14" s="60" t="n">
        <x:f>E14</x:f>
        <x:v>36.88198475056</x:v>
      </x:c>
      <x:c r="P14" s="60" t="n">
        <x:f>I14</x:f>
        <x:v>50.71336434321375</x:v>
      </x:c>
      <x:c r="Q14" s="60" t="n">
        <x:f>J14</x:f>
        <x:v>84.3707507222</x:v>
      </x:c>
    </x:row>
    <x:row r="15">
      <x:c r="A15" t="n">
        <x:v>2027</x:v>
      </x:c>
      <x:c r="B15" s="60" t="n">
        <x:f>E14</x:f>
        <x:v>36.88198475056</x:v>
      </x:c>
      <x:c r="C15" s="60" t="n">
        <x:f>$B$10</x:f>
        <x:v>3.2652500000000004</x:v>
      </x:c>
      <x:c r="D15" s="60" t="n">
        <x:f>(B15+C15*Model_Parameters!$B$16)*Assumptions!$C$17</x:f>
        <x:v>1.3480113412696</x:v>
      </x:c>
      <x:c r="E15" s="60" t="n">
        <x:f>B15+C15+D15</x:f>
        <x:v>41.4952460918296</x:v>
      </x:c>
      <x:c r="F15" s="60" t="n">
        <x:f>I14</x:f>
        <x:v>50.71336434321375</x:v>
      </x:c>
      <x:c r="G15" s="60" t="n">
        <x:f>$C$10</x:f>
        <x:v>16.063529848500004</x:v>
      </x:c>
      <x:c r="H15" s="60" t="n">
        <x:f>(F15+G15*Model_Parameters!$B$16)*Assumptions!$B$17</x:f>
        <x:v>3.2309821097105065</x:v>
      </x:c>
      <x:c r="I15" s="60" t="n">
        <x:f>F15+G15+H15</x:f>
        <x:v>70.00787630142426</x:v>
      </x:c>
      <x:c r="J15" s="60" t="n">
        <x:f>K15+L15+M15</x:f>
        <x:v>140.212725776365</x:v>
      </x:c>
      <x:c r="K15" s="60" t="n">
        <x:f>J14</x:f>
        <x:v>84.3707507222</x:v>
      </x:c>
      <x:c r="L15" s="60" t="n">
        <x:f>$D$10</x:f>
        <x:v>47.7245</x:v>
      </x:c>
      <x:c r="M15" s="60" t="n">
        <x:f>(K15+L15*Model_Parameters!$B$16)*Assumptions!$D$17</x:f>
        <x:v>8.117475054165</x:v>
      </x:c>
      <x:c r="N15" t="n">
        <x:f>A15</x:f>
        <x:v>2027</x:v>
      </x:c>
      <x:c r="O15" s="60" t="n">
        <x:f>E15</x:f>
        <x:v>41.4952460918296</x:v>
      </x:c>
      <x:c r="P15" s="60" t="n">
        <x:f>I15</x:f>
        <x:v>70.00787630142426</x:v>
      </x:c>
      <x:c r="Q15" s="60" t="n">
        <x:f>J15</x:f>
        <x:v>140.212725776365</x:v>
      </x:c>
    </x:row>
    <x:row r="16">
      <x:c r="A16" t="n">
        <x:v>2028</x:v>
      </x:c>
      <x:c r="B16" s="60" t="n">
        <x:f>E15</x:f>
        <x:v>41.4952460918296</x:v>
      </x:c>
      <x:c r="C16" s="60" t="n">
        <x:f>$B$10</x:f>
        <x:v>3.2652500000000004</x:v>
      </x:c>
      <x:c r="D16" s="60" t="n">
        <x:f>(B16+C16*Model_Parameters!$B$16)*Assumptions!$C$17</x:f>
        <x:v>1.509475488214036</x:v>
      </x:c>
      <x:c r="E16" s="60" t="n">
        <x:f>B16+C16+D16</x:f>
        <x:v>46.26997158004364</x:v>
      </x:c>
      <x:c r="F16" s="60" t="n">
        <x:f>I15</x:f>
        <x:v>70.00787630142426</x:v>
      </x:c>
      <x:c r="G16" s="60" t="n">
        <x:f>$C$10</x:f>
        <x:v>16.063529848500004</x:v>
      </x:c>
      <x:c r="H16" s="60" t="n">
        <x:f>(F16+G16*Model_Parameters!$B$16)*Assumptions!$B$17</x:f>
        <x:v>4.292180267412085</x:v>
      </x:c>
      <x:c r="I16" s="60" t="n">
        <x:f>F16+G16+H16</x:f>
        <x:v>90.36358641733634</x:v>
      </x:c>
      <x:c r="J16" s="60" t="n">
        <x:f>K16+L16+M16</x:f>
        <x:v>200.24284895959238</x:v>
      </x:c>
      <x:c r="K16" s="60" t="n">
        <x:f>J15</x:f>
        <x:v>140.212725776365</x:v>
      </x:c>
      <x:c r="L16" s="60" t="n">
        <x:f>$D$10</x:f>
        <x:v>47.7245</x:v>
      </x:c>
      <x:c r="M16" s="60" t="n">
        <x:f>(K16+L16*Model_Parameters!$B$16)*Assumptions!$D$17</x:f>
        <x:v>12.305623183227373</x:v>
      </x:c>
      <x:c r="N16" t="n">
        <x:f>A16</x:f>
        <x:v>2028</x:v>
      </x:c>
      <x:c r="O16" s="60" t="n">
        <x:f>E16</x:f>
        <x:v>46.26997158004364</x:v>
      </x:c>
      <x:c r="P16" s="60" t="n">
        <x:f>I16</x:f>
        <x:v>90.36358641733634</x:v>
      </x:c>
      <x:c r="Q16" s="60" t="n">
        <x:f>J16</x:f>
        <x:v>200.24284895959238</x:v>
      </x:c>
    </x:row>
    <x:row r="17">
      <x:c r="A17" t="n">
        <x:v>2029</x:v>
      </x:c>
      <x:c r="B17" s="60" t="n">
        <x:f>E16</x:f>
        <x:v>46.26997158004364</x:v>
      </x:c>
      <x:c r="C17" s="60" t="n">
        <x:f>$B$10</x:f>
        <x:v>3.2652500000000004</x:v>
      </x:c>
      <x:c r="D17" s="60" t="n">
        <x:f>(B17+C17*Model_Parameters!$B$16)*Assumptions!$C$17</x:f>
        <x:v>1.6765908803015275</x:v>
      </x:c>
      <x:c r="E17" s="60" t="n">
        <x:f>B17+C17+D17</x:f>
        <x:v>51.211812460345165</x:v>
      </x:c>
      <x:c r="F17" s="60" t="n">
        <x:f>I16</x:f>
        <x:v>90.36358641733634</x:v>
      </x:c>
      <x:c r="G17" s="60" t="n">
        <x:f>$C$10</x:f>
        <x:v>16.063529848500004</x:v>
      </x:c>
      <x:c r="H17" s="60" t="n">
        <x:f>(F17+G17*Model_Parameters!$B$16)*Assumptions!$B$17</x:f>
        <x:v>5.411744323787248</x:v>
      </x:c>
      <x:c r="I17" s="60" t="n">
        <x:f>F17+G17+H17</x:f>
        <x:v>111.83886058962358</x:v>
      </x:c>
      <x:c r="J17" s="60" t="n">
        <x:f>K17+L17+M17</x:f>
        <x:v>264.7752313815618</x:v>
      </x:c>
      <x:c r="K17" s="60" t="n">
        <x:f>J16</x:f>
        <x:v>200.24284895959238</x:v>
      </x:c>
      <x:c r="L17" s="60" t="n">
        <x:f>$D$10</x:f>
        <x:v>47.7245</x:v>
      </x:c>
      <x:c r="M17" s="60" t="n">
        <x:f>(K17+L17*Model_Parameters!$B$16)*Assumptions!$D$17</x:f>
        <x:v>16.807882421969428</x:v>
      </x:c>
      <x:c r="N17" t="n">
        <x:f>A17</x:f>
        <x:v>2029</x:v>
      </x:c>
      <x:c r="O17" s="60" t="n">
        <x:f>E17</x:f>
        <x:v>51.211812460345165</x:v>
      </x:c>
      <x:c r="P17" s="60" t="n">
        <x:f>I17</x:f>
        <x:v>111.83886058962358</x:v>
      </x:c>
      <x:c r="Q17" s="60" t="n">
        <x:f>J17</x:f>
        <x:v>264.7752313815618</x:v>
      </x:c>
    </x:row>
    <x:row r="18">
      <x:c r="A18" t="n">
        <x:v>2030</x:v>
      </x:c>
      <x:c r="B18" s="60" t="n">
        <x:f>E17</x:f>
        <x:v>51.211812460345165</x:v>
      </x:c>
      <x:c r="C18" s="60" t="n">
        <x:f>$B$10</x:f>
        <x:v>3.2652500000000004</x:v>
      </x:c>
      <x:c r="D18" s="60" t="n">
        <x:f>(B18+C18*Model_Parameters!$B$16)*Assumptions!$C$17</x:f>
        <x:v>1.8495553111120808</x:v>
      </x:c>
      <x:c r="E18" s="60" t="n">
        <x:f>B18+C18+D18</x:f>
        <x:v>56.32661777145725</x:v>
      </x:c>
      <x:c r="F18" s="60" t="n">
        <x:f>I17</x:f>
        <x:v>111.83886058962358</x:v>
      </x:c>
      <x:c r="G18" s="60" t="n">
        <x:f>$C$10</x:f>
        <x:v>16.063529848500004</x:v>
      </x:c>
      <x:c r="H18" s="60" t="n">
        <x:f>(F18+G18*Model_Parameters!$B$16)*Assumptions!$B$17</x:f>
        <x:v>6.592884403263047</x:v>
      </x:c>
      <x:c r="I18" s="60" t="n">
        <x:f>F18+G18+H18</x:f>
        <x:v>134.49527484138662</x:v>
      </x:c>
      <x:c r="J18" s="60" t="n">
        <x:f>K18+L18+M18</x:f>
        <x:v>334.1475424851789</x:v>
      </x:c>
      <x:c r="K18" s="60" t="n">
        <x:f>J17</x:f>
        <x:v>264.7752313815618</x:v>
      </x:c>
      <x:c r="L18" s="60" t="n">
        <x:f>$D$10</x:f>
        <x:v>47.7245</x:v>
      </x:c>
      <x:c r="M18" s="60" t="n">
        <x:f>(K18+L18*Model_Parameters!$B$16)*Assumptions!$D$17</x:f>
        <x:v>21.647811103617137</x:v>
      </x:c>
      <x:c r="N18" t="n">
        <x:f>A18</x:f>
        <x:v>2030</x:v>
      </x:c>
      <x:c r="O18" s="60" t="n">
        <x:f>E18</x:f>
        <x:v>56.32661777145725</x:v>
      </x:c>
      <x:c r="P18" s="60" t="n">
        <x:f>I18</x:f>
        <x:v>134.49527484138662</x:v>
      </x:c>
      <x:c r="Q18" s="60" t="n">
        <x:f>J18</x:f>
        <x:v>334.1475424851789</x:v>
      </x:c>
    </x:row>
    <x:row r="19">
      <x:c r="A19" t="n">
        <x:v>2031</x:v>
      </x:c>
      <x:c r="B19" s="60" t="n">
        <x:f>E18</x:f>
        <x:v>56.32661777145725</x:v>
      </x:c>
      <x:c r="C19" s="60" t="n">
        <x:f>$B$10</x:f>
        <x:v>3.2652500000000004</x:v>
      </x:c>
      <x:c r="D19" s="60" t="n">
        <x:f>(B19+C19*Model_Parameters!$B$16)*Assumptions!$C$17</x:f>
        <x:v>2.028573497001004</x:v>
      </x:c>
      <x:c r="E19" s="60" t="n">
        <x:f>B19+C19+D19</x:f>
        <x:v>61.62044126845826</x:v>
      </x:c>
      <x:c r="F19" s="60" t="n">
        <x:f>I18</x:f>
        <x:v>134.49527484138662</x:v>
      </x:c>
      <x:c r="G19" s="60" t="n">
        <x:f>$C$10</x:f>
        <x:v>16.063529848500004</x:v>
      </x:c>
      <x:c r="H19" s="60" t="n">
        <x:f>(F19+G19*Model_Parameters!$B$16)*Assumptions!$B$17</x:f>
        <x:v>7.838987187110015</x:v>
      </x:c>
      <x:c r="I19" s="60" t="n">
        <x:f>F19+G19+H19</x:f>
        <x:v>158.39779187699662</x:v>
      </x:c>
      <x:c r="J19" s="60" t="n">
        <x:f>K19+L19+M19</x:f>
        <x:v>408.7227769215673</x:v>
      </x:c>
      <x:c r="K19" s="60" t="n">
        <x:f>J18</x:f>
        <x:v>334.1475424851789</x:v>
      </x:c>
      <x:c r="L19" s="60" t="n">
        <x:f>$D$10</x:f>
        <x:v>47.7245</x:v>
      </x:c>
      <x:c r="M19" s="60" t="n">
        <x:f>(K19+L19*Model_Parameters!$B$16)*Assumptions!$D$17</x:f>
        <x:v>26.850734436388418</x:v>
      </x:c>
      <x:c r="N19" t="n">
        <x:f>A19</x:f>
        <x:v>2031</x:v>
      </x:c>
      <x:c r="O19" s="60" t="n">
        <x:f>E19</x:f>
        <x:v>61.62044126845826</x:v>
      </x:c>
      <x:c r="P19" s="60" t="n">
        <x:f>I19</x:f>
        <x:v>158.39779187699662</x:v>
      </x:c>
      <x:c r="Q19" s="60" t="n">
        <x:f>J19</x:f>
        <x:v>408.7227769215673</x:v>
      </x:c>
    </x:row>
    <x:row r="20">
      <x:c r="A20" t="n">
        <x:v>2032</x:v>
      </x:c>
      <x:c r="B20" s="60" t="n">
        <x:f>E19</x:f>
        <x:v>61.62044126845826</x:v>
      </x:c>
      <x:c r="C20" s="60" t="n">
        <x:f>$B$10</x:f>
        <x:v>3.2652500000000004</x:v>
      </x:c>
      <x:c r="D20" s="60" t="n">
        <x:f>(B20+C20*Model_Parameters!$B$16)*Assumptions!$C$17</x:f>
        <x:v>2.2138573193960394</x:v>
      </x:c>
      <x:c r="E20" s="60" t="n">
        <x:f>B20+C20+D20</x:f>
        <x:v>67.0995485878543</x:v>
      </x:c>
      <x:c r="F20" s="60" t="n">
        <x:f>I19</x:f>
        <x:v>158.39779187699662</x:v>
      </x:c>
      <x:c r="G20" s="60" t="n">
        <x:f>$C$10</x:f>
        <x:v>16.063529848500004</x:v>
      </x:c>
      <x:c r="H20" s="60" t="n">
        <x:f>(F20+G20*Model_Parameters!$B$16)*Assumptions!$B$17</x:f>
        <x:v>9.153625624068566</x:v>
      </x:c>
      <x:c r="I20" s="60" t="n">
        <x:f>F20+G20+H20</x:f>
        <x:v>183.61494734956517</x:v>
      </x:c>
      <x:c r="J20" s="60" t="n">
        <x:f>K20+L20+M20</x:f>
        <x:v>488.89115394068483</x:v>
      </x:c>
      <x:c r="K20" s="60" t="n">
        <x:f>J19</x:f>
        <x:v>408.7227769215673</x:v>
      </x:c>
      <x:c r="L20" s="60" t="n">
        <x:f>$D$10</x:f>
        <x:v>47.7245</x:v>
      </x:c>
      <x:c r="M20" s="60" t="n">
        <x:f>(K20+L20*Model_Parameters!$B$16)*Assumptions!$D$17</x:f>
        <x:v>32.443877019117544</x:v>
      </x:c>
      <x:c r="N20" t="n">
        <x:f>A20</x:f>
        <x:v>2032</x:v>
      </x:c>
      <x:c r="O20" s="60" t="n">
        <x:f>E20</x:f>
        <x:v>67.0995485878543</x:v>
      </x:c>
      <x:c r="P20" s="60" t="n">
        <x:f>I20</x:f>
        <x:v>183.61494734956517</x:v>
      </x:c>
      <x:c r="Q20" s="60" t="n">
        <x:f>J20</x:f>
        <x:v>488.89115394068483</x:v>
      </x:c>
    </x:row>
    <x:row r="21">
      <x:c r="A21" t="n">
        <x:v>2033</x:v>
      </x:c>
      <x:c r="B21" s="60" t="n">
        <x:f>E20</x:f>
        <x:v>67.0995485878543</x:v>
      </x:c>
      <x:c r="C21" s="60" t="n">
        <x:f>$B$10</x:f>
        <x:v>3.2652500000000004</x:v>
      </x:c>
      <x:c r="D21" s="60" t="n">
        <x:f>(B21+C21*Model_Parameters!$B$16)*Assumptions!$C$17</x:f>
        <x:v>2.405626075574901</x:v>
      </x:c>
      <x:c r="E21" s="60" t="n">
        <x:f>B21+C21+D21</x:f>
        <x:v>72.7704246634292</x:v>
      </x:c>
      <x:c r="F21" s="60" t="n">
        <x:f>I20</x:f>
        <x:v>183.61494734956517</x:v>
      </x:c>
      <x:c r="G21" s="60" t="n">
        <x:f>$C$10</x:f>
        <x:v>16.063529848500004</x:v>
      </x:c>
      <x:c r="H21" s="60" t="n">
        <x:f>(F21+G21*Model_Parameters!$B$16)*Assumptions!$B$17</x:f>
        <x:v>10.540569175059835</x:v>
      </x:c>
      <x:c r="I21" s="60" t="n">
        <x:f>F21+G21+H21</x:f>
        <x:v>210.219046373125</x:v>
      </x:c>
      <x:c r="J21" s="60" t="n">
        <x:f>K21+L21+M21</x:f>
        <x:v>575.0721592362362</x:v>
      </x:c>
      <x:c r="K21" s="60" t="n">
        <x:f>J20</x:f>
        <x:v>488.89115394068483</x:v>
      </x:c>
      <x:c r="L21" s="60" t="n">
        <x:f>$D$10</x:f>
        <x:v>47.7245</x:v>
      </x:c>
      <x:c r="M21" s="60" t="n">
        <x:f>(K21+L21*Model_Parameters!$B$16)*Assumptions!$D$17</x:f>
        <x:v>38.45650529555136</x:v>
      </x:c>
      <x:c r="N21" t="n">
        <x:f>A21</x:f>
        <x:v>2033</x:v>
      </x:c>
      <x:c r="O21" s="60" t="n">
        <x:f>E21</x:f>
        <x:v>72.7704246634292</x:v>
      </x:c>
      <x:c r="P21" s="60" t="n">
        <x:f>I21</x:f>
        <x:v>210.219046373125</x:v>
      </x:c>
      <x:c r="Q21" s="60" t="n">
        <x:f>J21</x:f>
        <x:v>575.0721592362362</x:v>
      </x:c>
    </x:row>
    <x:row r="22">
      <x:c r="A22" t="n">
        <x:v>2034</x:v>
      </x:c>
      <x:c r="B22" s="60" t="n">
        <x:f>E21</x:f>
        <x:v>72.7704246634292</x:v>
      </x:c>
      <x:c r="C22" s="60" t="n">
        <x:f>$B$10</x:f>
        <x:v>3.2652500000000004</x:v>
      </x:c>
      <x:c r="D22" s="60" t="n">
        <x:f>(B22+C22*Model_Parameters!$B$16)*Assumptions!$C$17</x:f>
        <x:v>2.6041067382200223</x:v>
      </x:c>
      <x:c r="E22" s="60" t="n">
        <x:f>B22+C22+D22</x:f>
        <x:v>78.63978140164922</x:v>
      </x:c>
      <x:c r="F22" s="60" t="n">
        <x:f>I21</x:f>
        <x:v>210.219046373125</x:v>
      </x:c>
      <x:c r="G22" s="60" t="n">
        <x:f>$C$10</x:f>
        <x:v>16.063529848500004</x:v>
      </x:c>
      <x:c r="H22" s="60" t="n">
        <x:f>(F22+G22*Model_Parameters!$B$16)*Assumptions!$B$17</x:f>
        <x:v>12.003794621355626</x:v>
      </x:c>
      <x:c r="I22" s="60" t="n">
        <x:f>F22+G22+H22</x:f>
        <x:v>238.28637084298063</x:v>
      </x:c>
      <x:c r="J22" s="60" t="n">
        <x:f>K22+L22+M22</x:f>
        <x:v>667.716739928954</x:v>
      </x:c>
      <x:c r="K22" s="60" t="n">
        <x:f>J21</x:f>
        <x:v>575.0721592362362</x:v>
      </x:c>
      <x:c r="L22" s="60" t="n">
        <x:f>$D$10</x:f>
        <x:v>47.7245</x:v>
      </x:c>
      <x:c r="M22" s="60" t="n">
        <x:f>(K22+L22*Model_Parameters!$B$16)*Assumptions!$D$17</x:f>
        <x:v>44.92008069271771</x:v>
      </x:c>
      <x:c r="N22" t="n">
        <x:f>A22</x:f>
        <x:v>2034</x:v>
      </x:c>
      <x:c r="O22" s="60" t="n">
        <x:f>E22</x:f>
        <x:v>78.63978140164922</x:v>
      </x:c>
      <x:c r="P22" s="60" t="n">
        <x:f>I22</x:f>
        <x:v>238.28637084298063</x:v>
      </x:c>
      <x:c r="Q22" s="60" t="n">
        <x:f>J22</x:f>
        <x:v>667.716739928954</x:v>
      </x:c>
    </x:row>
    <x:row r="23">
      <x:c r="A23" t="n">
        <x:v>2035</x:v>
      </x:c>
      <x:c r="B23" s="60" t="n">
        <x:f>E22</x:f>
        <x:v>78.63978140164922</x:v>
      </x:c>
      <x:c r="C23" s="60" t="n">
        <x:f>$B$10</x:f>
        <x:v>3.2652500000000004</x:v>
      </x:c>
      <x:c r="D23" s="60" t="n">
        <x:f>(B23+C23*Model_Parameters!$B$16)*Assumptions!$C$17</x:f>
        <x:v>2.809534224057723</x:v>
      </x:c>
      <x:c r="E23" s="60" t="n">
        <x:f>B23+C23+D23</x:f>
        <x:v>84.71456562570694</x:v>
      </x:c>
      <x:c r="F23" s="60" t="n">
        <x:f>I22</x:f>
        <x:v>238.28637084298063</x:v>
      </x:c>
      <x:c r="G23" s="60" t="n">
        <x:f>$C$10</x:f>
        <x:v>16.063529848500004</x:v>
      </x:c>
      <x:c r="H23" s="60" t="n">
        <x:f>(F23+G23*Model_Parameters!$B$16)*Assumptions!$B$17</x:f>
        <x:v>13.547497467197685</x:v>
      </x:c>
      <x:c r="I23" s="60" t="n">
        <x:f>F23+G23+H23</x:f>
        <x:v>267.8973981586783</x:v>
      </x:c>
      <x:c r="J23" s="60" t="n">
        <x:f>K23+L23+M23</x:f>
        <x:v>767.3096641736256</x:v>
      </x:c>
      <x:c r="K23" s="60" t="n">
        <x:f>J22</x:f>
        <x:v>667.716739928954</x:v>
      </x:c>
      <x:c r="L23" s="60" t="n">
        <x:f>$D$10</x:f>
        <x:v>47.7245</x:v>
      </x:c>
      <x:c r="M23" s="60" t="n">
        <x:f>(K23+L23*Model_Parameters!$B$16)*Assumptions!$D$17</x:f>
        <x:v>51.86842424467155</x:v>
      </x:c>
      <x:c r="N23" t="n">
        <x:f>A23</x:f>
        <x:v>2035</x:v>
      </x:c>
      <x:c r="O23" s="60" t="n">
        <x:f>E23</x:f>
        <x:v>84.71456562570694</x:v>
      </x:c>
      <x:c r="P23" s="60" t="n">
        <x:f>I23</x:f>
        <x:v>267.8973981586783</x:v>
      </x:c>
      <x:c r="Q23" s="60" t="n">
        <x:f>J23</x:f>
        <x:v>767.3096641736256</x:v>
      </x:c>
    </x:row>
    <x:row r="24">
      <x:c r="A24" t="n">
        <x:v>2036</x:v>
      </x:c>
      <x:c r="B24" s="60" t="n">
        <x:f>E23</x:f>
        <x:v>84.71456562570694</x:v>
      </x:c>
      <x:c r="C24" s="60" t="n">
        <x:f>$B$10</x:f>
        <x:v>3.2652500000000004</x:v>
      </x:c>
      <x:c r="D24" s="60" t="n">
        <x:f>(B24+C24*Model_Parameters!$B$16)*Assumptions!$C$17</x:f>
        <x:v>3.0221516718997434</x:v>
      </x:c>
      <x:c r="E24" s="60" t="n">
        <x:f>B24+C24+D24</x:f>
        <x:v>91.00196729760668</x:v>
      </x:c>
      <x:c r="F24" s="60" t="n">
        <x:f>I23</x:f>
        <x:v>267.8973981586783</x:v>
      </x:c>
      <x:c r="G24" s="60" t="n">
        <x:f>$C$10</x:f>
        <x:v>16.063529848500004</x:v>
      </x:c>
      <x:c r="H24" s="60" t="n">
        <x:f>(F24+G24*Model_Parameters!$B$16)*Assumptions!$B$17</x:f>
        <x:v>15.176103969561057</x:v>
      </x:c>
      <x:c r="I24" s="60" t="n">
        <x:f>F24+G24+H24</x:f>
        <x:v>299.13703197673937</x:v>
      </x:c>
      <x:c r="J24" s="60" t="n">
        <x:f>K24+L24+M24</x:f>
        <x:v>874.3720577366475</x:v>
      </x:c>
      <x:c r="K24" s="60" t="n">
        <x:f>J23</x:f>
        <x:v>767.3096641736256</x:v>
      </x:c>
      <x:c r="L24" s="60" t="n">
        <x:f>$D$10</x:f>
        <x:v>47.7245</x:v>
      </x:c>
      <x:c r="M24" s="60" t="n">
        <x:f>(K24+L24*Model_Parameters!$B$16)*Assumptions!$D$17</x:f>
        <x:v>59.33789356302192</x:v>
      </x:c>
      <x:c r="N24" t="n">
        <x:f>A24</x:f>
        <x:v>2036</x:v>
      </x:c>
      <x:c r="O24" s="60" t="n">
        <x:f>E24</x:f>
        <x:v>91.00196729760668</x:v>
      </x:c>
      <x:c r="P24" s="60" t="n">
        <x:f>I24</x:f>
        <x:v>299.13703197673937</x:v>
      </x:c>
      <x:c r="Q24" s="60" t="n">
        <x:f>J24</x:f>
        <x:v>874.3720577366475</x:v>
      </x:c>
    </x:row>
    <x:row r="25">
      <x:c r="A25" t="n">
        <x:v>2037</x:v>
      </x:c>
      <x:c r="B25" s="60" t="n">
        <x:f>E24</x:f>
        <x:v>91.00196729760668</x:v>
      </x:c>
      <x:c r="C25" s="60" t="n">
        <x:f>$B$10</x:f>
        <x:v>3.2652500000000004</x:v>
      </x:c>
      <x:c r="D25" s="60" t="n">
        <x:f>(B25+C25*Model_Parameters!$B$16)*Assumptions!$C$17</x:f>
        <x:v>3.242210730416234</x:v>
      </x:c>
      <x:c r="E25" s="60" t="n">
        <x:f>B25+C25+D25</x:f>
        <x:v>97.50942802802291</x:v>
      </x:c>
      <x:c r="F25" s="60" t="n">
        <x:f>I24</x:f>
        <x:v>299.13703197673937</x:v>
      </x:c>
      <x:c r="G25" s="60" t="n">
        <x:f>$C$10</x:f>
        <x:v>16.063529848500004</x:v>
      </x:c>
      <x:c r="H25" s="60" t="n">
        <x:f>(F25+G25*Model_Parameters!$B$16)*Assumptions!$B$17</x:f>
        <x:v>16.894283829554414</x:v>
      </x:c>
      <x:c r="I25" s="60" t="n">
        <x:f>F25+G25+H25</x:f>
        <x:v>332.0948456547938</x:v>
      </x:c>
      <x:c r="J25" s="60" t="n">
        <x:f>K25+L25+M25</x:f>
        <x:v>989.4641308168962</x:v>
      </x:c>
      <x:c r="K25" s="60" t="n">
        <x:f>J24</x:f>
        <x:v>874.3720577366475</x:v>
      </x:c>
      <x:c r="L25" s="60" t="n">
        <x:f>$D$10</x:f>
        <x:v>47.7245</x:v>
      </x:c>
      <x:c r="M25" s="60" t="n">
        <x:f>(K25+L25*Model_Parameters!$B$16)*Assumptions!$D$17</x:f>
        <x:v>67.36757308024856</x:v>
      </x:c>
      <x:c r="N25" t="n">
        <x:f>A25</x:f>
        <x:v>2037</x:v>
      </x:c>
      <x:c r="O25" s="60" t="n">
        <x:f>E25</x:f>
        <x:v>97.50942802802291</x:v>
      </x:c>
      <x:c r="P25" s="60" t="n">
        <x:f>I25</x:f>
        <x:v>332.0948456547938</x:v>
      </x:c>
      <x:c r="Q25" s="60" t="n">
        <x:f>J25</x:f>
        <x:v>989.4641308168962</x:v>
      </x:c>
    </x:row>
    <x:row r="26">
      <x:c r="A26" t="n">
        <x:v>2038</x:v>
      </x:c>
      <x:c r="B26" s="60" t="n">
        <x:f>E25</x:f>
        <x:v>97.50942802802291</x:v>
      </x:c>
      <x:c r="C26" s="60" t="n">
        <x:f>$B$10</x:f>
        <x:v>3.2652500000000004</x:v>
      </x:c>
      <x:c r="D26" s="60" t="n">
        <x:f>(B26+C26*Model_Parameters!$B$16)*Assumptions!$C$17</x:f>
        <x:v>3.4699718559808024</x:v>
      </x:c>
      <x:c r="E26" s="60" t="n">
        <x:f>B26+C26+D26</x:f>
        <x:v>104.2446498840037</x:v>
      </x:c>
      <x:c r="F26" s="60" t="n">
        <x:f>I25</x:f>
        <x:v>332.0948456547938</x:v>
      </x:c>
      <x:c r="G26" s="60" t="n">
        <x:f>$C$10</x:f>
        <x:v>16.063529848500004</x:v>
      </x:c>
      <x:c r="H26" s="60" t="n">
        <x:f>(F26+G26*Model_Parameters!$B$16)*Assumptions!$B$17</x:f>
        <x:v>18.70696358184741</x:v>
      </x:c>
      <x:c r="I26" s="60" t="n">
        <x:f>F26+G26+H26</x:f>
        <x:v>366.8653390851412</x:v>
      </x:c>
      <x:c r="J26" s="60" t="n">
        <x:f>K26+L26+M26</x:f>
        <x:v>1113.1881093781635</x:v>
      </x:c>
      <x:c r="K26" s="60" t="n">
        <x:f>J25</x:f>
        <x:v>989.4641308168962</x:v>
      </x:c>
      <x:c r="L26" s="60" t="n">
        <x:f>$D$10</x:f>
        <x:v>47.7245</x:v>
      </x:c>
      <x:c r="M26" s="60" t="n">
        <x:f>(K26+L26*Model_Parameters!$B$16)*Assumptions!$D$17</x:f>
        <x:v>75.99947856126721</x:v>
      </x:c>
      <x:c r="N26" t="n">
        <x:f>A26</x:f>
        <x:v>2038</x:v>
      </x:c>
      <x:c r="O26" s="60" t="n">
        <x:f>E26</x:f>
        <x:v>104.2446498840037</x:v>
      </x:c>
      <x:c r="P26" s="60" t="n">
        <x:f>I26</x:f>
        <x:v>366.8653390851412</x:v>
      </x:c>
      <x:c r="Q26" s="60" t="n">
        <x:f>J26</x:f>
        <x:v>1113.1881093781635</x:v>
      </x:c>
    </x:row>
    <x:row r="27">
      <x:c r="A27" t="n">
        <x:v>2039</x:v>
      </x:c>
      <x:c r="B27" s="60" t="n">
        <x:f>E26</x:f>
        <x:v>104.2446498840037</x:v>
      </x:c>
      <x:c r="C27" s="60" t="n">
        <x:f>$B$10</x:f>
        <x:v>3.2652500000000004</x:v>
      </x:c>
      <x:c r="D27" s="60" t="n">
        <x:f>(B27+C27*Model_Parameters!$B$16)*Assumptions!$C$17</x:f>
        <x:v>3.7057046209401303</x:v>
      </x:c>
      <x:c r="E27" s="60" t="n">
        <x:f>B27+C27+D27</x:f>
        <x:v>111.21560450494383</x:v>
      </x:c>
      <x:c r="F27" s="60" t="n">
        <x:f>I26</x:f>
        <x:v>366.8653390851412</x:v>
      </x:c>
      <x:c r="G27" s="60" t="n">
        <x:f>$C$10</x:f>
        <x:v>16.063529848500004</x:v>
      </x:c>
      <x:c r="H27" s="60" t="n">
        <x:f>(F27+G27*Model_Parameters!$B$16)*Assumptions!$B$17</x:f>
        <x:v>20.61934072051652</x:v>
      </x:c>
      <x:c r="I27" s="60" t="n">
        <x:f>F27+G27+H27</x:f>
        <x:v>403.54820965415774</x:v>
      </x:c>
      <x:c r="J27" s="60" t="n">
        <x:f>K27+L27+M27</x:f>
        <x:v>1246.1913863315258</x:v>
      </x:c>
      <x:c r="K27" s="60" t="n">
        <x:f>J26</x:f>
        <x:v>1113.1881093781635</x:v>
      </x:c>
      <x:c r="L27" s="60" t="n">
        <x:f>$D$10</x:f>
        <x:v>47.7245</x:v>
      </x:c>
      <x:c r="M27" s="60" t="n">
        <x:f>(K27+L27*Model_Parameters!$B$16)*Assumptions!$D$17</x:f>
        <x:v>85.27877695336225</x:v>
      </x:c>
      <x:c r="N27" t="n">
        <x:f>A27</x:f>
        <x:v>2039</x:v>
      </x:c>
      <x:c r="O27" s="60" t="n">
        <x:f>E27</x:f>
        <x:v>111.21560450494383</x:v>
      </x:c>
      <x:c r="P27" s="60" t="n">
        <x:f>I27</x:f>
        <x:v>403.54820965415774</x:v>
      </x:c>
      <x:c r="Q27" s="60" t="n">
        <x:f>J27</x:f>
        <x:v>1246.1913863315258</x:v>
      </x:c>
    </x:row>
    <x:row r="28">
      <x:c r="A28" t="n">
        <x:v>2040</x:v>
      </x:c>
      <x:c r="B28" s="60" t="n">
        <x:f>E27</x:f>
        <x:v>111.21560450494383</x:v>
      </x:c>
      <x:c r="C28" s="60" t="n">
        <x:f>$B$10</x:f>
        <x:v>3.2652500000000004</x:v>
      </x:c>
      <x:c r="D28" s="60" t="n">
        <x:f>(B28+C28*Model_Parameters!$B$16)*Assumptions!$C$17</x:f>
        <x:v>3.9496880326730346</x:v>
      </x:c>
      <x:c r="E28" s="60" t="n">
        <x:f>B28+C28+D28</x:f>
        <x:v>118.43054253761686</x:v>
      </x:c>
      <x:c r="F28" s="60" t="n">
        <x:f>I27</x:f>
        <x:v>403.54820965415774</x:v>
      </x:c>
      <x:c r="G28" s="60" t="n">
        <x:f>$C$10</x:f>
        <x:v>16.063529848500004</x:v>
      </x:c>
      <x:c r="H28" s="60" t="n">
        <x:f>(F28+G28*Model_Parameters!$B$16)*Assumptions!$B$17</x:f>
        <x:v>22.636898601812426</x:v>
      </x:c>
      <x:c r="I28" s="60" t="n">
        <x:f>F28+G28+H28</x:f>
        <x:v>442.2486381044702</x:v>
      </x:c>
      <x:c r="J28" s="60" t="n">
        <x:f>K28+L28+M28</x:f>
        <x:v>1389.1699090563902</x:v>
      </x:c>
      <x:c r="K28" s="60" t="n">
        <x:f>J27</x:f>
        <x:v>1246.1913863315258</x:v>
      </x:c>
      <x:c r="L28" s="60" t="n">
        <x:f>$D$10</x:f>
        <x:v>47.7245</x:v>
      </x:c>
      <x:c r="M28" s="60" t="n">
        <x:f>(K28+L28*Model_Parameters!$B$16)*Assumptions!$D$17</x:f>
        <x:v>95.25402272486443</x:v>
      </x:c>
      <x:c r="N28" t="n">
        <x:f>A28</x:f>
        <x:v>2040</x:v>
      </x:c>
      <x:c r="O28" s="60" t="n">
        <x:f>E28</x:f>
        <x:v>118.43054253761686</x:v>
      </x:c>
      <x:c r="P28" s="60" t="n">
        <x:f>I28</x:f>
        <x:v>442.2486381044702</x:v>
      </x:c>
      <x:c r="Q28" s="60" t="n">
        <x:f>J28</x:f>
        <x:v>1389.1699090563902</x:v>
      </x:c>
    </x:row>
    <x:row r="29">
      <x:c r="A29" t="n">
        <x:v>2041</x:v>
      </x:c>
      <x:c r="B29" s="60" t="n">
        <x:f>E28</x:f>
        <x:v>118.43054253761686</x:v>
      </x:c>
      <x:c r="C29" s="60" t="n">
        <x:f>$B$10</x:f>
        <x:v>3.2652500000000004</x:v>
      </x:c>
      <x:c r="D29" s="60" t="n">
        <x:f>(B29+C29*Model_Parameters!$B$16)*Assumptions!$C$17</x:f>
        <x:v>4.202210863816591</x:v>
      </x:c>
      <x:c r="E29" s="60" t="n">
        <x:f>B29+C29+D29</x:f>
        <x:v>125.89800340143344</x:v>
      </x:c>
      <x:c r="F29" s="60" t="n">
        <x:f>I28</x:f>
        <x:v>442.2486381044702</x:v>
      </x:c>
      <x:c r="G29" s="60" t="n">
        <x:f>$C$10</x:f>
        <x:v>16.063529848500004</x:v>
      </x:c>
      <x:c r="H29" s="60" t="n">
        <x:f>(F29+G29*Model_Parameters!$B$16)*Assumptions!$B$17</x:f>
        <x:v>24.76542216657961</x:v>
      </x:c>
      <x:c r="I29" s="60" t="n">
        <x:f>F29+G29+H29</x:f>
        <x:v>483.0775901195499</x:v>
      </x:c>
      <x:c r="J29" s="60" t="n">
        <x:f>K29+L29+M29</x:f>
        <x:v>1542.8718209856195</x:v>
      </x:c>
      <x:c r="K29" s="60" t="n">
        <x:f>J28</x:f>
        <x:v>1389.1699090563902</x:v>
      </x:c>
      <x:c r="L29" s="60" t="n">
        <x:f>$D$10</x:f>
        <x:v>47.7245</x:v>
      </x:c>
      <x:c r="M29" s="60" t="n">
        <x:f>(K29+L29*Model_Parameters!$B$16)*Assumptions!$D$17</x:f>
        <x:v>105.97741192922926</x:v>
      </x:c>
      <x:c r="N29" t="n">
        <x:f>A29</x:f>
        <x:v>2041</x:v>
      </x:c>
      <x:c r="O29" s="60" t="n">
        <x:f>E29</x:f>
        <x:v>125.89800340143344</x:v>
      </x:c>
      <x:c r="P29" s="60" t="n">
        <x:f>I29</x:f>
        <x:v>483.0775901195499</x:v>
      </x:c>
      <x:c r="Q29" s="60" t="n">
        <x:f>J29</x:f>
        <x:v>1542.8718209856195</x:v>
      </x:c>
    </x:row>
    <x:row r="30">
      <x:c r="A30" t="n">
        <x:v>2042</x:v>
      </x:c>
      <x:c r="B30" s="60" t="n">
        <x:f>E29</x:f>
        <x:v>125.89800340143344</x:v>
      </x:c>
      <x:c r="C30" s="60" t="n">
        <x:f>$B$10</x:f>
        <x:v>3.2652500000000004</x:v>
      </x:c>
      <x:c r="D30" s="60" t="n">
        <x:f>(B30+C30*Model_Parameters!$B$16)*Assumptions!$C$17</x:f>
        <x:v>4.463571994050171</x:v>
      </x:c>
      <x:c r="E30" s="60" t="n">
        <x:f>B30+C30+D30</x:f>
        <x:v>133.62682539548362</x:v>
      </x:c>
      <x:c r="F30" s="60" t="n">
        <x:f>I29</x:f>
        <x:v>483.0775901195499</x:v>
      </x:c>
      <x:c r="G30" s="60" t="n">
        <x:f>$C$10</x:f>
        <x:v>16.063529848500004</x:v>
      </x:c>
      <x:c r="H30" s="60" t="n">
        <x:f>(F30+G30*Model_Parameters!$B$16)*Assumptions!$B$17</x:f>
        <x:v>27.011014527408996</x:v>
      </x:c>
      <x:c r="I30" s="60" t="n">
        <x:f>F30+G30+H30</x:f>
        <x:v>526.1521344954589</x:v>
      </x:c>
      <x:c r="J30" s="60" t="n">
        <x:f>K30+L30+M30</x:f>
        <x:v>1708.101376309541</x:v>
      </x:c>
      <x:c r="K30" s="60" t="n">
        <x:f>J29</x:f>
        <x:v>1542.8718209856195</x:v>
      </x:c>
      <x:c r="L30" s="60" t="n">
        <x:f>$D$10</x:f>
        <x:v>47.7245</x:v>
      </x:c>
      <x:c r="M30" s="60" t="n">
        <x:f>(K30+L30*Model_Parameters!$B$16)*Assumptions!$D$17</x:f>
        <x:v>117.50505532392145</x:v>
      </x:c>
      <x:c r="N30" t="n">
        <x:f>A30</x:f>
        <x:v>2042</x:v>
      </x:c>
      <x:c r="O30" s="60" t="n">
        <x:f>E30</x:f>
        <x:v>133.62682539548362</x:v>
      </x:c>
      <x:c r="P30" s="60" t="n">
        <x:f>I30</x:f>
        <x:v>526.1521344954589</x:v>
      </x:c>
      <x:c r="Q30" s="60" t="n">
        <x:f>J30</x:f>
        <x:v>1708.101376309541</x:v>
      </x:c>
    </x:row>
    <x:row r="31">
      <x:c r="A31" t="n">
        <x:v>2043</x:v>
      </x:c>
      <x:c r="B31" s="60" t="n">
        <x:f>E30</x:f>
        <x:v>133.62682539548362</x:v>
      </x:c>
      <x:c r="C31" s="60" t="n">
        <x:f>$B$10</x:f>
        <x:v>3.2652500000000004</x:v>
      </x:c>
      <x:c r="D31" s="60" t="n">
        <x:f>(B31+C31*Model_Parameters!$B$16)*Assumptions!$C$17</x:f>
        <x:v>4.734080763841927</x:v>
      </x:c>
      <x:c r="E31" s="60" t="n">
        <x:f>B31+C31+D31</x:f>
        <x:v>141.62615615932555</x:v>
      </x:c>
      <x:c r="F31" s="60" t="n">
        <x:f>I30</x:f>
        <x:v>526.1521344954589</x:v>
      </x:c>
      <x:c r="G31" s="60" t="n">
        <x:f>$C$10</x:f>
        <x:v>16.063529848500004</x:v>
      </x:c>
      <x:c r="H31" s="60" t="n">
        <x:f>(F31+G31*Model_Parameters!$B$16)*Assumptions!$B$17</x:f>
        <x:v>29.380114468083985</x:v>
      </x:c>
      <x:c r="I31" s="60" t="n">
        <x:f>F31+G31+H31</x:f>
        <x:v>571.5957788120429</x:v>
      </x:c>
      <x:c r="J31" s="60" t="n">
        <x:f>K31+L31+M31</x:f>
        <x:v>1885.7231482827565</x:v>
      </x:c>
      <x:c r="K31" s="60" t="n">
        <x:f>J30</x:f>
        <x:v>1708.101376309541</x:v>
      </x:c>
      <x:c r="L31" s="60" t="n">
        <x:f>$D$10</x:f>
        <x:v>47.7245</x:v>
      </x:c>
      <x:c r="M31" s="60" t="n">
        <x:f>(K31+L31*Model_Parameters!$B$16)*Assumptions!$D$17</x:f>
        <x:v>129.89727197321557</x:v>
      </x:c>
      <x:c r="N31" t="n">
        <x:f>A31</x:f>
        <x:v>2043</x:v>
      </x:c>
      <x:c r="O31" s="60" t="n">
        <x:f>E31</x:f>
        <x:v>141.62615615932555</x:v>
      </x:c>
      <x:c r="P31" s="60" t="n">
        <x:f>I31</x:f>
        <x:v>571.5957788120429</x:v>
      </x:c>
      <x:c r="Q31" s="60" t="n">
        <x:f>J31</x:f>
        <x:v>1885.7231482827565</x:v>
      </x:c>
    </x:row>
    <x:row r="32">
      <x:c r="A32" t="n">
        <x:v>2044</x:v>
      </x:c>
      <x:c r="B32" s="60" t="n">
        <x:f>E31</x:f>
        <x:v>141.62615615932555</x:v>
      </x:c>
      <x:c r="C32" s="60" t="n">
        <x:f>$B$10</x:f>
        <x:v>3.2652500000000004</x:v>
      </x:c>
      <x:c r="D32" s="60" t="n">
        <x:f>(B32+C32*Model_Parameters!$B$16)*Assumptions!$C$17</x:f>
        <x:v>5.014057340576394</x:v>
      </x:c>
      <x:c r="E32" s="60" t="n">
        <x:f>B32+C32+D32</x:f>
        <x:v>149.90546349990194</x:v>
      </x:c>
      <x:c r="F32" s="60" t="n">
        <x:f>I31</x:f>
        <x:v>571.5957788120429</x:v>
      </x:c>
      <x:c r="G32" s="60" t="n">
        <x:f>$C$10</x:f>
        <x:v>16.063529848500004</x:v>
      </x:c>
      <x:c r="H32" s="60" t="n">
        <x:f>(F32+G32*Model_Parameters!$B$16)*Assumptions!$B$17</x:f>
        <x:v>31.87951490549611</x:v>
      </x:c>
      <x:c r="I32" s="60" t="n">
        <x:f>F32+G32+H32</x:f>
        <x:v>619.538823566039</x:v>
      </x:c>
      <x:c r="J32" s="60" t="n">
        <x:f>K32+L32+M32</x:f>
        <x:v>2076.6665531539634</x:v>
      </x:c>
      <x:c r="K32" s="60" t="n">
        <x:f>J31</x:f>
        <x:v>1885.7231482827565</x:v>
      </x:c>
      <x:c r="L32" s="60" t="n">
        <x:f>$D$10</x:f>
        <x:v>47.7245</x:v>
      </x:c>
      <x:c r="M32" s="60" t="n">
        <x:f>(K32+L32*Model_Parameters!$B$16)*Assumptions!$D$17</x:f>
        <x:v>143.21890487120672</x:v>
      </x:c>
      <x:c r="N32" t="n">
        <x:f>A32</x:f>
        <x:v>2044</x:v>
      </x:c>
      <x:c r="O32" s="60" t="n">
        <x:f>E32</x:f>
        <x:v>149.90546349990194</x:v>
      </x:c>
      <x:c r="P32" s="60" t="n">
        <x:f>I32</x:f>
        <x:v>619.538823566039</x:v>
      </x:c>
      <x:c r="Q32" s="60" t="n">
        <x:f>J32</x:f>
        <x:v>2076.6665531539634</x:v>
      </x:c>
    </x:row>
    <x:row r="33">
      <x:c r="A33" t="n">
        <x:v>2045</x:v>
      </x:c>
      <x:c r="B33" s="60" t="n">
        <x:f>E32</x:f>
        <x:v>149.90546349990194</x:v>
      </x:c>
      <x:c r="C33" s="60" t="n">
        <x:f>$B$10</x:f>
        <x:v>3.2652500000000004</x:v>
      </x:c>
      <x:c r="D33" s="60" t="n">
        <x:f>(B33+C33*Model_Parameters!$B$16)*Assumptions!$C$17</x:f>
        <x:v>5.303833097496568</x:v>
      </x:c>
      <x:c r="E33" s="60" t="n">
        <x:f>B33+C33+D33</x:f>
        <x:v>158.47454659739853</x:v>
      </x:c>
      <x:c r="F33" s="60" t="n">
        <x:f>I32</x:f>
        <x:v>619.538823566039</x:v>
      </x:c>
      <x:c r="G33" s="60" t="n">
        <x:f>$C$10</x:f>
        <x:v>16.063529848500004</x:v>
      </x:c>
      <x:c r="H33" s="60" t="n">
        <x:f>(F33+G33*Model_Parameters!$B$16)*Assumptions!$B$17</x:f>
        <x:v>34.51638236696589</x:v>
      </x:c>
      <x:c r="I33" s="60" t="n">
        <x:f>F33+G33+H33</x:f>
        <x:v>670.1187357815049</x:v>
      </x:c>
      <x:c r="J33" s="60" t="n">
        <x:f>K33+L33+M33</x:f>
        <x:v>2281.9307133905104</x:v>
      </x:c>
      <x:c r="K33" s="60" t="n">
        <x:f>J32</x:f>
        <x:v>2076.6665531539634</x:v>
      </x:c>
      <x:c r="L33" s="60" t="n">
        <x:f>$D$10</x:f>
        <x:v>47.7245</x:v>
      </x:c>
      <x:c r="M33" s="60" t="n">
        <x:f>(K33+L33*Model_Parameters!$B$16)*Assumptions!$D$17</x:f>
        <x:v>157.53966023654726</x:v>
      </x:c>
      <x:c r="N33" t="n">
        <x:f>A33</x:f>
        <x:v>2045</x:v>
      </x:c>
      <x:c r="O33" s="60" t="n">
        <x:f>E33</x:f>
        <x:v>158.47454659739853</x:v>
      </x:c>
      <x:c r="P33" s="60" t="n">
        <x:f>I33</x:f>
        <x:v>670.1187357815049</x:v>
      </x:c>
      <x:c r="Q33" s="60" t="n">
        <x:f>J33</x:f>
        <x:v>2281.9307133905104</x:v>
      </x:c>
    </x:row>
    <x:row r="34">
      <x:c r="A34" t="n">
        <x:v>2046</x:v>
      </x:c>
      <x:c r="B34" s="60" t="n">
        <x:f>E33</x:f>
        <x:v>158.47454659739853</x:v>
      </x:c>
      <x:c r="C34" s="60" t="n">
        <x:f>$B$10</x:f>
        <x:v>3.2652500000000004</x:v>
      </x:c>
      <x:c r="D34" s="60" t="n">
        <x:f>(B34+C34*Model_Parameters!$B$16)*Assumptions!$C$17</x:f>
        <x:v>5.603751005908949</x:v>
      </x:c>
      <x:c r="E34" s="60" t="n">
        <x:f>B34+C34+D34</x:f>
        <x:v>167.34354760330748</x:v>
      </x:c>
      <x:c r="F34" s="60" t="n">
        <x:f>I33</x:f>
        <x:v>670.1187357815049</x:v>
      </x:c>
      <x:c r="G34" s="60" t="n">
        <x:f>$C$10</x:f>
        <x:v>16.063529848500004</x:v>
      </x:c>
      <x:c r="H34" s="60" t="n">
        <x:f>(F34+G34*Model_Parameters!$B$16)*Assumptions!$B$17</x:f>
        <x:v>37.29827753881652</x:v>
      </x:c>
      <x:c r="I34" s="60" t="n">
        <x:f>F34+G34+H34</x:f>
        <x:v>723.4805431688214</x:v>
      </x:c>
      <x:c r="J34" s="60" t="n">
        <x:f>K34+L34+M34</x:f>
        <x:v>2502.5896856447985</x:v>
      </x:c>
      <x:c r="K34" s="60" t="n">
        <x:f>J33</x:f>
        <x:v>2281.9307133905104</x:v>
      </x:c>
      <x:c r="L34" s="60" t="n">
        <x:f>$D$10</x:f>
        <x:v>47.7245</x:v>
      </x:c>
      <x:c r="M34" s="60" t="n">
        <x:f>(K34+L34*Model_Parameters!$B$16)*Assumptions!$D$17</x:f>
        <x:v>172.9344722542883</x:v>
      </x:c>
      <x:c r="N34" t="n">
        <x:f>A34</x:f>
        <x:v>2046</x:v>
      </x:c>
      <x:c r="O34" s="60" t="n">
        <x:f>E34</x:f>
        <x:v>167.34354760330748</x:v>
      </x:c>
      <x:c r="P34" s="60" t="n">
        <x:f>I34</x:f>
        <x:v>723.4805431688214</x:v>
      </x:c>
      <x:c r="Q34" s="60" t="n">
        <x:f>J34</x:f>
        <x:v>2502.5896856447985</x:v>
      </x:c>
    </x:row>
    <x:row r="35">
      <x:c r="A35" t="n">
        <x:v>2047</x:v>
      </x:c>
      <x:c r="B35" s="60" t="n">
        <x:f>E34</x:f>
        <x:v>167.34354760330748</x:v>
      </x:c>
      <x:c r="C35" s="60" t="n">
        <x:f>$B$10</x:f>
        <x:v>3.2652500000000004</x:v>
      </x:c>
      <x:c r="D35" s="60" t="n">
        <x:f>(B35+C35*Model_Parameters!$B$16)*Assumptions!$C$17</x:f>
        <x:v>5.914166041115762</x:v>
      </x:c>
      <x:c r="E35" s="60" t="n">
        <x:f>B35+C35+D35</x:f>
        <x:v>176.52296364442324</x:v>
      </x:c>
      <x:c r="F35" s="60" t="n">
        <x:f>I34</x:f>
        <x:v>723.4805431688214</x:v>
      </x:c>
      <x:c r="G35" s="60" t="n">
        <x:f>$C$10</x:f>
        <x:v>16.063529848500004</x:v>
      </x:c>
      <x:c r="H35" s="60" t="n">
        <x:f>(F35+G35*Model_Parameters!$B$16)*Assumptions!$B$17</x:f>
        <x:v>40.23317694511893</x:v>
      </x:c>
      <x:c r="I35" s="60" t="n">
        <x:f>F35+G35+H35</x:f>
        <x:v>779.7772499624404</x:v>
      </x:c>
      <x:c r="J35" s="60" t="n">
        <x:f>K35+L35+M35</x:f>
        <x:v>2739.7980808181583</x:v>
      </x:c>
      <x:c r="K35" s="60" t="n">
        <x:f>J34</x:f>
        <x:v>2502.5896856447985</x:v>
      </x:c>
      <x:c r="L35" s="60" t="n">
        <x:f>$D$10</x:f>
        <x:v>47.7245</x:v>
      </x:c>
      <x:c r="M35" s="60" t="n">
        <x:f>(K35+L35*Model_Parameters!$B$16)*Assumptions!$D$17</x:f>
        <x:v>189.48389517335988</x:v>
      </x:c>
      <x:c r="N35" t="n">
        <x:f>A35</x:f>
        <x:v>2047</x:v>
      </x:c>
      <x:c r="O35" s="60" t="n">
        <x:f>E35</x:f>
        <x:v>176.52296364442324</x:v>
      </x:c>
      <x:c r="P35" s="60" t="n">
        <x:f>I35</x:f>
        <x:v>779.7772499624404</x:v>
      </x:c>
      <x:c r="Q35" s="60" t="n">
        <x:f>J35</x:f>
        <x:v>2739.7980808181583</x:v>
      </x:c>
    </x:row>
    <x:row r="36">
      <x:c r="A36" t="n">
        <x:v>2048</x:v>
      </x:c>
      <x:c r="B36" s="60" t="n">
        <x:f>E35</x:f>
        <x:v>176.52296364442324</x:v>
      </x:c>
      <x:c r="C36" s="60" t="n">
        <x:f>$B$10</x:f>
        <x:v>3.2652500000000004</x:v>
      </x:c>
      <x:c r="D36" s="60" t="n">
        <x:f>(B36+C36*Model_Parameters!$B$16)*Assumptions!$C$17</x:f>
        <x:v>6.2354456025548135</x:v>
      </x:c>
      <x:c r="E36" s="60" t="n">
        <x:f>B36+C36+D36</x:f>
        <x:v>186.02365924697807</x:v>
      </x:c>
      <x:c r="F36" s="60" t="n">
        <x:f>I35</x:f>
        <x:v>779.7772499624404</x:v>
      </x:c>
      <x:c r="G36" s="60" t="n">
        <x:f>$C$10</x:f>
        <x:v>16.063529848500004</x:v>
      </x:c>
      <x:c r="H36" s="60" t="n">
        <x:f>(F36+G36*Model_Parameters!$B$16)*Assumptions!$B$17</x:f>
        <x:v>43.32949581876797</x:v>
      </x:c>
      <x:c r="I36" s="60" t="n">
        <x:f>F36+G36+H36</x:f>
        <x:v>839.1702756297084</x:v>
      </x:c>
      <x:c r="J36" s="60" t="n">
        <x:f>K36+L36+M36</x:f>
        <x:v>2994.79710562952</x:v>
      </x:c>
      <x:c r="K36" s="60" t="n">
        <x:f>J35</x:f>
        <x:v>2739.7980808181583</x:v>
      </x:c>
      <x:c r="L36" s="60" t="n">
        <x:f>$D$10</x:f>
        <x:v>47.7245</x:v>
      </x:c>
      <x:c r="M36" s="60" t="n">
        <x:f>(K36+L36*Model_Parameters!$B$16)*Assumptions!$D$17</x:f>
        <x:v>207.27452481136189</x:v>
      </x:c>
      <x:c r="N36" t="n">
        <x:f>A36</x:f>
        <x:v>2048</x:v>
      </x:c>
      <x:c r="O36" s="60" t="n">
        <x:f>E36</x:f>
        <x:v>186.02365924697807</x:v>
      </x:c>
      <x:c r="P36" s="60" t="n">
        <x:f>I36</x:f>
        <x:v>839.1702756297084</x:v>
      </x:c>
      <x:c r="Q36" s="60" t="n">
        <x:f>J36</x:f>
        <x:v>2994.79710562952</x:v>
      </x:c>
    </x:row>
    <x:row r="37">
      <x:c r="A37" t="n">
        <x:v>2049</x:v>
      </x:c>
      <x:c r="B37" s="60" t="n">
        <x:f>E36</x:f>
        <x:v>186.02365924697807</x:v>
      </x:c>
      <x:c r="C37" s="60" t="n">
        <x:f>$B$10</x:f>
        <x:v>3.2652500000000004</x:v>
      </x:c>
      <x:c r="D37" s="60" t="n">
        <x:f>(B37+C37*Model_Parameters!$B$16)*Assumptions!$C$17</x:f>
        <x:v>6.567969948644233</x:v>
      </x:c>
      <x:c r="E37" s="60" t="n">
        <x:f>B37+C37+D37</x:f>
        <x:v>195.8568791956223</x:v>
      </x:c>
      <x:c r="F37" s="60" t="n">
        <x:f>I36</x:f>
        <x:v>839.1702756297084</x:v>
      </x:c>
      <x:c r="G37" s="60" t="n">
        <x:f>$C$10</x:f>
        <x:v>16.063529848500004</x:v>
      </x:c>
      <x:c r="H37" s="60" t="n">
        <x:f>(F37+G37*Model_Parameters!$B$16)*Assumptions!$B$17</x:f>
        <x:v>46.59611223046771</x:v>
      </x:c>
      <x:c r="I37" s="60" t="n">
        <x:f>F37+G37+H37</x:f>
        <x:v>901.8299177086761</x:v>
      </x:c>
      <x:c r="J37" s="60" t="n">
        <x:f>K37+L37+M37</x:f>
        <x:v>3268.921057301734</x:v>
      </x:c>
      <x:c r="K37" s="60" t="n">
        <x:f>J36</x:f>
        <x:v>2994.79710562952</x:v>
      </x:c>
      <x:c r="L37" s="60" t="n">
        <x:f>$D$10</x:f>
        <x:v>47.7245</x:v>
      </x:c>
      <x:c r="M37" s="60" t="n">
        <x:f>(K37+L37*Model_Parameters!$B$16)*Assumptions!$D$17</x:f>
        <x:v>226.399451672214</x:v>
      </x:c>
      <x:c r="N37" t="n">
        <x:f>A37</x:f>
        <x:v>2049</x:v>
      </x:c>
      <x:c r="O37" s="60" t="n">
        <x:f>E37</x:f>
        <x:v>195.8568791956223</x:v>
      </x:c>
      <x:c r="P37" s="60" t="n">
        <x:f>I37</x:f>
        <x:v>901.8299177086761</x:v>
      </x:c>
      <x:c r="Q37" s="60" t="n">
        <x:f>J37</x:f>
        <x:v>3268.921057301734</x:v>
      </x:c>
    </x:row>
    <x:row r="38">
      <x:c r="A38" t="n">
        <x:v>2050</x:v>
      </x:c>
      <x:c r="B38" s="60" t="n">
        <x:f>E37</x:f>
        <x:v>195.8568791956223</x:v>
      </x:c>
      <x:c r="C38" s="60" t="n">
        <x:f>$B$10</x:f>
        <x:v>3.2652500000000004</x:v>
      </x:c>
      <x:c r="D38" s="60" t="n">
        <x:f>(B38+C38*Model_Parameters!$B$16)*Assumptions!$C$17</x:f>
        <x:v>6.912132646846781</x:v>
      </x:c>
      <x:c r="E38" s="60" t="n">
        <x:f>B38+C38+D38</x:f>
        <x:v>206.03426184246908</x:v>
      </x:c>
      <x:c r="F38" s="60" t="n">
        <x:f>I37</x:f>
        <x:v>901.8299177086761</x:v>
      </x:c>
      <x:c r="G38" s="60" t="n">
        <x:f>$C$10</x:f>
        <x:v>16.063529848500004</x:v>
      </x:c>
      <x:c r="H38" s="60" t="n">
        <x:f>(F38+G38*Model_Parameters!$B$16)*Assumptions!$B$17</x:f>
        <x:v>50.04239254481094</x:v>
      </x:c>
      <x:c r="I38" s="60" t="n">
        <x:f>F38+G38+H38</x:f>
        <x:v>967.9358401019871</x:v>
      </x:c>
      <x:c r="J38" s="60" t="n">
        <x:f>K38+L38+M38</x:f>
        <x:v>3563.604305349364</x:v>
      </x:c>
      <x:c r="K38" s="60" t="n">
        <x:f>J37</x:f>
        <x:v>3268.921057301734</x:v>
      </x:c>
      <x:c r="L38" s="60" t="n">
        <x:f>$D$10</x:f>
        <x:v>47.7245</x:v>
      </x:c>
      <x:c r="M38" s="60" t="n">
        <x:f>(K38+L38*Model_Parameters!$B$16)*Assumptions!$D$17</x:f>
        <x:v>246.95874804763005</x:v>
      </x:c>
      <x:c r="N38" t="n">
        <x:f>A38</x:f>
        <x:v>2050</x:v>
      </x:c>
      <x:c r="O38" s="60" t="n">
        <x:f>E38</x:f>
        <x:v>206.03426184246908</x:v>
      </x:c>
      <x:c r="P38" s="60" t="n">
        <x:f>I38</x:f>
        <x:v>967.9358401019871</x:v>
      </x:c>
      <x:c r="Q38" s="60" t="n">
        <x:f>J38</x:f>
        <x:v>3563.604305349364</x:v>
      </x:c>
    </x:row>
    <x:row r="39">
      <x:c r="A39" t="n">
        <x:v>2051</x:v>
      </x:c>
      <x:c r="B39" s="60" t="n">
        <x:f>E38</x:f>
        <x:v>206.03426184246908</x:v>
      </x:c>
      <x:c r="C39" s="60" t="n">
        <x:f>$B$10</x:f>
        <x:v>3.2652500000000004</x:v>
      </x:c>
      <x:c r="D39" s="60" t="n">
        <x:f>(B39+C39*Model_Parameters!$B$16)*Assumptions!$C$17</x:f>
        <x:v>7.268341039486418</x:v>
      </x:c>
      <x:c r="E39" s="60" t="n">
        <x:f>B39+C39+D39</x:f>
        <x:v>216.5678528819555</x:v>
      </x:c>
      <x:c r="F39" s="60" t="n">
        <x:f>I38</x:f>
        <x:v>967.9358401019871</x:v>
      </x:c>
      <x:c r="G39" s="60" t="n">
        <x:f>$C$10</x:f>
        <x:v>16.063529848500004</x:v>
      </x:c>
      <x:c r="H39" s="60" t="n">
        <x:f>(F39+G39*Model_Parameters!$B$16)*Assumptions!$B$17</x:f>
        <x:v>53.67821827644304</x:v>
      </x:c>
      <x:c r="I39" s="60" t="n">
        <x:f>F39+G39+H39</x:f>
        <x:v>1037.67758822693</x:v>
      </x:c>
      <x:c r="J39" s="60" t="n">
        <x:f>K39+L39+M39</x:f>
        <x:v>3880.3887970005662</x:v>
      </x:c>
      <x:c r="K39" s="60" t="n">
        <x:f>J38</x:f>
        <x:v>3563.604305349364</x:v>
      </x:c>
      <x:c r="L39" s="60" t="n">
        <x:f>$D$10</x:f>
        <x:v>47.7245</x:v>
      </x:c>
      <x:c r="M39" s="60" t="n">
        <x:f>(K39+L39*Model_Parameters!$B$16)*Assumptions!$D$17</x:f>
        <x:v>269.0599916512023</x:v>
      </x:c>
      <x:c r="N39" t="n">
        <x:f>A39</x:f>
        <x:v>2051</x:v>
      </x:c>
      <x:c r="O39" s="60" t="n">
        <x:f>E39</x:f>
        <x:v>216.5678528819555</x:v>
      </x:c>
      <x:c r="P39" s="60" t="n">
        <x:f>I39</x:f>
        <x:v>1037.67758822693</x:v>
      </x:c>
      <x:c r="Q39" s="60" t="n">
        <x:f>J39</x:f>
        <x:v>3880.3887970005662</x:v>
      </x:c>
    </x:row>
    <x:row r="40">
      <x:c r="A40" t="n">
        <x:v>2052</x:v>
      </x:c>
      <x:c r="B40" s="60" t="n">
        <x:f>E39</x:f>
        <x:v>216.5678528819555</x:v>
      </x:c>
      <x:c r="C40" s="60" t="n">
        <x:f>$B$10</x:f>
        <x:v>3.2652500000000004</x:v>
      </x:c>
      <x:c r="D40" s="60" t="n">
        <x:f>(B40+C40*Model_Parameters!$B$16)*Assumptions!$C$17</x:f>
        <x:v>7.637016725868443</x:v>
      </x:c>
      <x:c r="E40" s="60" t="n">
        <x:f>B40+C40+D40</x:f>
        <x:v>227.47011960782396</x:v>
      </x:c>
      <x:c r="F40" s="60" t="n">
        <x:f>I39</x:f>
        <x:v>1037.67758822693</x:v>
      </x:c>
      <x:c r="G40" s="60" t="n">
        <x:f>$C$10</x:f>
        <x:v>16.063529848500004</x:v>
      </x:c>
      <x:c r="H40" s="60" t="n">
        <x:f>(F40+G40*Model_Parameters!$B$16)*Assumptions!$B$17</x:f>
        <x:v>57.514014423314904</x:v>
      </x:c>
      <x:c r="I40" s="60" t="n">
        <x:f>F40+G40+H40</x:f>
        <x:v>1111.2551324987448</x:v>
      </x:c>
      <x:c r="J40" s="60" t="n">
        <x:f>K40+L40+M40</x:f>
        <x:v>4220.932125525608</x:v>
      </x:c>
      <x:c r="K40" s="60" t="n">
        <x:f>J39</x:f>
        <x:v>3880.3887970005662</x:v>
      </x:c>
      <x:c r="L40" s="60" t="n">
        <x:f>$D$10</x:f>
        <x:v>47.7245</x:v>
      </x:c>
      <x:c r="M40" s="60" t="n">
        <x:f>(K40+L40*Model_Parameters!$B$16)*Assumptions!$D$17</x:f>
        <x:v>292.8188285250425</x:v>
      </x:c>
      <x:c r="N40" t="n">
        <x:f>A40</x:f>
        <x:v>2052</x:v>
      </x:c>
      <x:c r="O40" s="60" t="n">
        <x:f>E40</x:f>
        <x:v>227.47011960782396</x:v>
      </x:c>
      <x:c r="P40" s="60" t="n">
        <x:f>I40</x:f>
        <x:v>1111.2551324987448</x:v>
      </x:c>
      <x:c r="Q40" s="60" t="n">
        <x:f>J40</x:f>
        <x:v>4220.932125525608</x:v>
      </x:c>
    </x:row>
    <x:row r="41">
      <x:c r="A41" t="n">
        <x:v>2053</x:v>
      </x:c>
      <x:c r="B41" s="60" t="n">
        <x:f>E40</x:f>
        <x:v>227.47011960782396</x:v>
      </x:c>
      <x:c r="C41" s="60" t="n">
        <x:f>$B$10</x:f>
        <x:v>3.2652500000000004</x:v>
      </x:c>
      <x:c r="D41" s="60" t="n">
        <x:f>(B41+C41*Model_Parameters!$B$16)*Assumptions!$C$17</x:f>
        <x:v>8.01859606127384</x:v>
      </x:c>
      <x:c r="E41" s="60" t="n">
        <x:f>B41+C41+D41</x:f>
        <x:v>238.7539656690978</x:v>
      </x:c>
      <x:c r="F41" s="60" t="n">
        <x:f>I40</x:f>
        <x:v>1111.2551324987448</x:v>
      </x:c>
      <x:c r="G41" s="60" t="n">
        <x:f>$C$10</x:f>
        <x:v>16.063529848500004</x:v>
      </x:c>
      <x:c r="H41" s="60" t="n">
        <x:f>(F41+G41*Model_Parameters!$B$16)*Assumptions!$B$17</x:f>
        <x:v>61.56077935826472</x:v>
      </x:c>
      <x:c r="I41" s="60" t="n">
        <x:f>F41+G41+H41</x:f>
        <x:v>1188.8794417055094</x:v>
      </x:c>
      <x:c r="J41" s="60" t="n">
        <x:f>K41+L41+M41</x:f>
        <x:v>4587.016203690029</x:v>
      </x:c>
      <x:c r="K41" s="60" t="n">
        <x:f>J40</x:f>
        <x:v>4220.932125525608</x:v>
      </x:c>
      <x:c r="L41" s="60" t="n">
        <x:f>$D$10</x:f>
        <x:v>47.7245</x:v>
      </x:c>
      <x:c r="M41" s="60" t="n">
        <x:f>(K41+L41*Model_Parameters!$B$16)*Assumptions!$D$17</x:f>
        <x:v>318.3595781644206</x:v>
      </x:c>
      <x:c r="N41" t="n">
        <x:f>A41</x:f>
        <x:v>2053</x:v>
      </x:c>
      <x:c r="O41" s="60" t="n">
        <x:f>E41</x:f>
        <x:v>238.7539656690978</x:v>
      </x:c>
      <x:c r="P41" s="60" t="n">
        <x:f>I41</x:f>
        <x:v>1188.8794417055094</x:v>
      </x:c>
      <x:c r="Q41" s="60" t="n">
        <x:f>J41</x:f>
        <x:v>4587.016203690029</x:v>
      </x:c>
    </x:row>
    <x:row r="42">
      <x:c r="A42" t="n">
        <x:v>2054</x:v>
      </x:c>
      <x:c r="B42" s="60" t="n">
        <x:f>E41</x:f>
        <x:v>238.7539656690978</x:v>
      </x:c>
      <x:c r="C42" s="60" t="n">
        <x:f>$B$10</x:f>
        <x:v>3.2652500000000004</x:v>
      </x:c>
      <x:c r="D42" s="60" t="n">
        <x:f>(B42+C42*Model_Parameters!$B$16)*Assumptions!$C$17</x:f>
        <x:v>8.413530673418423</x:v>
      </x:c>
      <x:c r="E42" s="60" t="n">
        <x:f>B42+C42+D42</x:f>
        <x:v>250.43274634251623</x:v>
      </x:c>
      <x:c r="F42" s="60" t="n">
        <x:f>I41</x:f>
        <x:v>1188.8794417055094</x:v>
      </x:c>
      <x:c r="G42" s="60" t="n">
        <x:f>$C$10</x:f>
        <x:v>16.063529848500004</x:v>
      </x:c>
      <x:c r="H42" s="60" t="n">
        <x:f>(F42+G42*Model_Parameters!$B$16)*Assumptions!$B$17</x:f>
        <x:v>65.83011636463677</x:v>
      </x:c>
      <x:c r="I42" s="60" t="n">
        <x:f>F42+G42+H42</x:f>
        <x:v>1270.773087918646</x:v>
      </x:c>
      <x:c r="J42" s="60" t="n">
        <x:f>K42+L42+M42</x:f>
        <x:v>4980.556587716782</x:v>
      </x:c>
      <x:c r="K42" s="60" t="n">
        <x:f>J41</x:f>
        <x:v>4587.016203690029</x:v>
      </x:c>
      <x:c r="L42" s="60" t="n">
        <x:f>$D$10</x:f>
        <x:v>47.7245</x:v>
      </x:c>
      <x:c r="M42" s="60" t="n">
        <x:f>(K42+L42*Model_Parameters!$B$16)*Assumptions!$D$17</x:f>
        <x:v>345.8158840267522</x:v>
      </x:c>
      <x:c r="N42" t="n">
        <x:f>A42</x:f>
        <x:v>2054</x:v>
      </x:c>
      <x:c r="O42" s="60" t="n">
        <x:f>E42</x:f>
        <x:v>250.43274634251623</x:v>
      </x:c>
      <x:c r="P42" s="60" t="n">
        <x:f>I42</x:f>
        <x:v>1270.773087918646</x:v>
      </x:c>
      <x:c r="Q42" s="60" t="n">
        <x:f>J42</x:f>
        <x:v>4980.556587716782</x:v>
      </x:c>
    </x:row>
    <x:row r="43">
      <x:c r="A43" t="n">
        <x:v>2055</x:v>
      </x:c>
      <x:c r="B43" s="60" t="n">
        <x:f>E42</x:f>
        <x:v>250.43274634251623</x:v>
      </x:c>
      <x:c r="C43" s="60" t="n">
        <x:f>$B$10</x:f>
        <x:v>3.2652500000000004</x:v>
      </x:c>
      <x:c r="D43" s="60" t="n">
        <x:f>(B43+C43*Model_Parameters!$B$16)*Assumptions!$C$17</x:f>
        <x:v>8.822287996988068</x:v>
      </x:c>
      <x:c r="E43" s="60" t="n">
        <x:f>B43+C43+D43</x:f>
        <x:v>262.5202843395043</x:v>
      </x:c>
      <x:c r="F43" s="60" t="n">
        <x:f>I42</x:f>
        <x:v>1270.773087918646</x:v>
      </x:c>
      <x:c r="G43" s="60" t="n">
        <x:f>$C$10</x:f>
        <x:v>16.063529848500004</x:v>
      </x:c>
      <x:c r="H43" s="60" t="n">
        <x:f>(F43+G43*Model_Parameters!$B$16)*Assumptions!$B$17</x:f>
        <x:v>70.33426690635928</x:v>
      </x:c>
      <x:c r="I43" s="60" t="n">
        <x:f>F43+G43+H43</x:f>
        <x:v>1357.1708846735053</x:v>
      </x:c>
      <x:c r="J43" s="60" t="n">
        <x:f>K43+L43+M43</x:f>
        <x:v>5403.612500545541</x:v>
      </x:c>
      <x:c r="K43" s="60" t="n">
        <x:f>J42</x:f>
        <x:v>4980.556587716782</x:v>
      </x:c>
      <x:c r="L43" s="60" t="n">
        <x:f>$D$10</x:f>
        <x:v>47.7245</x:v>
      </x:c>
      <x:c r="M43" s="60" t="n">
        <x:f>(K43+L43*Model_Parameters!$B$16)*Assumptions!$D$17</x:f>
        <x:v>375.33141282875863</x:v>
      </x:c>
      <x:c r="N43" t="n">
        <x:f>A43</x:f>
        <x:v>2055</x:v>
      </x:c>
      <x:c r="O43" s="60" t="n">
        <x:f>E43</x:f>
        <x:v>262.5202843395043</x:v>
      </x:c>
      <x:c r="P43" s="60" t="n">
        <x:f>I43</x:f>
        <x:v>1357.1708846735053</x:v>
      </x:c>
      <x:c r="Q43" s="60" t="n">
        <x:f>J43</x:f>
        <x:v>5403.612500545541</x:v>
      </x:c>
    </x:row>
    <x:row r="45" ht="22" customHeight="1">
      <x:c r="A45" s="22" t="str">
        <x:v>End-state summary</x:v>
      </x:c>
      <x:c r="B45" s="22"/>
      <x:c r="C45" s="22"/>
      <x:c r="D45" s="22"/>
      <x:c r="E45" s="22"/>
      <x:c r="F45" s="22"/>
      <x:c r="G45" s="22"/>
      <x:c r="H45" s="22"/>
      <x:c r="I45" s="22"/>
      <x:c r="J45" s="22"/>
    </x:row>
    <x:row r="46" ht="30" customHeight="1">
      <x:c r="A46" s="32" t="str">
        <x:v>Metric</x:v>
      </x:c>
      <x:c r="B46" s="32" t="str">
        <x:v>Low</x:v>
      </x:c>
      <x:c r="C46" s="32" t="str">
        <x:v>Base</x:v>
      </x:c>
      <x:c r="D46" s="32" t="str">
        <x:v>High</x:v>
      </x:c>
    </x:row>
    <x:row r="47">
      <x:c r="A47" t="str">
        <x:v>Fund value in final year</x:v>
      </x:c>
      <x:c r="B47" s="60" t="n">
        <x:f>E43</x:f>
        <x:v>262.5202843395043</x:v>
      </x:c>
      <x:c r="C47" s="60" t="n">
        <x:f>I43</x:f>
        <x:v>1357.1708846735053</x:v>
      </x:c>
      <x:c r="D47" s="60" t="n">
        <x:f>J43</x:f>
        <x:v>5403.612500545541</x:v>
      </x:c>
    </x:row>
    <x:row r="48">
      <x:c r="A48" t="str">
        <x:v>Real return in final year</x:v>
      </x:c>
      <x:c r="B48" s="60" t="n">
        <x:f>B47*(Assumptions!C17-Assumptions!C18)</x:f>
        <x:v>5.250405686790088</x:v>
      </x:c>
      <x:c r="C48" s="60" t="n">
        <x:f>C47*(Assumptions!B17-Assumptions!B18)</x:f>
        <x:v>47.50098096357269</x:v>
      </x:c>
      <x:c r="D48" s="60" t="n">
        <x:f>D47*(Assumptions!D17-Assumptions!D18)</x:f>
        <x:v>243.16256252454932</x:v>
      </x:c>
    </x:row>
    <x:row r="49">
      <x:c r="A49" t="str">
        <x:v>Distributable amount in final year</x:v>
      </x:c>
      <x:c r="B49" s="60" t="n">
        <x:f>B48*Assumptions!C19</x:f>
        <x:v>1.312601421697522</x:v>
      </x:c>
      <x:c r="C49" s="60" t="n">
        <x:f>C48*Assumptions!B19</x:f>
        <x:v>23.750490481786343</x:v>
      </x:c>
      <x:c r="D49" s="60" t="n">
        <x:f>D48*Assumptions!D19</x:f>
        <x:v>182.37192189341198</x:v>
      </x:c>
    </x:row>
  </x:sheetData>
  <x:mergeCells>
    <x:mergeCell ref="A1:J1"/>
    <x:mergeCell ref="A2:J2"/>
    <x:mergeCell ref="A4:J4"/>
    <x:mergeCell ref="A12:J12"/>
    <x:mergeCell ref="A45:J45"/>
    <x:mergeCell ref="A3:Q3"/>
  </x:mergeCells>
  <x:pageMargins left="0.7" right="0.7" top="0.75" bottom="0.75" header="0.3" footer="0.3"/>
  <x:drawing xmlns:r="http://schemas.openxmlformats.org/officeDocument/2006/relationships" r:id="R3de8b9b9d611423b"/>
</x:worksheet>
</file>

<file path=xl/worksheets/sheet10.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6" hidden="0" customWidth="1"/>
    <x:col min="5" max="5" width="16" hidden="0" customWidth="1"/>
    <x:col min="6" max="6" width="70" hidden="0" customWidth="1"/>
    <x:col min="7" max="7" width="28" hidden="0" customWidth="1"/>
    <x:col min="8" max="8" width="48" hidden="0" customWidth="1"/>
  </x:cols>
  <x:sheetData>
    <x:row r="1" ht="28" customHeight="1">
      <x:c r="A1" s="5" t="str">
        <x:v>Source Index and Update Log</x:v>
      </x:c>
      <x:c r="B1" s="5"/>
      <x:c r="C1" s="5"/>
      <x:c r="D1" s="5"/>
      <x:c r="E1" s="5"/>
      <x:c r="F1" s="5"/>
      <x:c r="G1" s="5"/>
      <x:c r="H1" s="5"/>
    </x:row>
    <x:row r="2" ht="34" customHeight="1">
      <x:c r="A2" s="14" t="str">
        <x:v>Plain-text URLs are provided for every seeded external input.</x:v>
      </x:c>
      <x:c r="B2" s="14"/>
      <x:c r="C2" s="14"/>
      <x:c r="D2" s="14"/>
      <x:c r="E2" s="14"/>
      <x:c r="F2" s="14"/>
      <x:c r="G2" s="14"/>
      <x:c r="H2" s="14"/>
    </x:row>
    <x:row r="4" ht="30" customHeight="1">
      <x:c r="A4" s="32" t="str">
        <x:v>Source ID</x:v>
      </x:c>
      <x:c r="B4" s="32" t="str">
        <x:v>Topic</x:v>
      </x:c>
      <x:c r="C4" s="32" t="str">
        <x:v>Publisher</x:v>
      </x:c>
      <x:c r="D4" s="32" t="str">
        <x:v>Table / document</x:v>
      </x:c>
      <x:c r="E4" s="32" t="str">
        <x:v>Reference period</x:v>
      </x:c>
      <x:c r="F4" s="32" t="str">
        <x:v>URL</x:v>
      </x:c>
      <x:c r="G4" s="32" t="str">
        <x:v>Used in sheet</x:v>
      </x:c>
      <x:c r="H4" s="32" t="str">
        <x:v>Notes</x:v>
      </x:c>
    </x:row>
    <x:row r="5">
      <x:c r="A5" s="26" t="str">
        <x:v>SRC-001</x:v>
      </x:c>
      <x:c r="B5" s="26" t="str">
        <x:v>Natural-resource assets</x:v>
      </x:c>
      <x:c r="C5" s="26" t="str">
        <x:v>Statistics Canada</x:v>
      </x:c>
      <x:c r="D5" s="26" t="str">
        <x:v>Canada's natural resource wealth, 2024</x:v>
      </x:c>
      <x:c r="E5" s="26" t="str">
        <x:v>2023-2024</x:v>
      </x:c>
      <x:c r="F5" s="122" t="str">
        <x:v>https://www150.statcan.gc.ca/n1/daily-quotidien/251120/dq251120d-eng.htm</x:v>
      </x:c>
      <x:c r="G5" s="26" t="str">
        <x:v>Resource_Rent</x:v>
      </x:c>
      <x:c r="H5" s="26" t="str">
        <x:v>2024 total $1.362T; category shares and timber amount</x:v>
      </x:c>
    </x:row>
    <x:row r="6">
      <x:c r="A6" s="26" t="str">
        <x:v>SRC-002</x:v>
      </x:c>
      <x:c r="B6" s="26" t="str">
        <x:v>Natural-resource reserves</x:v>
      </x:c>
      <x:c r="C6" s="26" t="str">
        <x:v>Statistics Canada</x:v>
      </x:c>
      <x:c r="D6" s="26" t="str">
        <x:v>Table 38-10-0006-01</x:v>
      </x:c>
      <x:c r="E6" s="26" t="str">
        <x:v>Annual</x:v>
      </x:c>
      <x:c r="F6" s="122" t="str">
        <x:v>https://www150.statcan.gc.ca/t1/tbl1/en/tv.action?pid=3810000601</x:v>
      </x:c>
      <x:c r="G6" s="26" t="str">
        <x:v>Resource_Rent</x:v>
      </x:c>
      <x:c r="H6" s="26" t="str">
        <x:v>Use for annual updates by resource and geography</x:v>
      </x:c>
    </x:row>
    <x:row r="7">
      <x:c r="A7" s="26" t="str">
        <x:v>SRC-003</x:v>
      </x:c>
      <x:c r="B7" s="26" t="str">
        <x:v>National balance sheet</x:v>
      </x:c>
      <x:c r="C7" s="26" t="str">
        <x:v>Statistics Canada</x:v>
      </x:c>
      <x:c r="D7" s="26" t="str">
        <x:v>Table 36-10-0580-01</x:v>
      </x:c>
      <x:c r="E7" s="26" t="str">
        <x:v>Quarterly</x:v>
      </x:c>
      <x:c r="F7" s="122" t="str">
        <x:v>https://www150.statcan.gc.ca/t1/tbl1/en/tv.action?pid=3610058001</x:v>
      </x:c>
      <x:c r="G7" s="26" t="str">
        <x:v>Land_Property</x:v>
      </x:c>
      <x:c r="H7" s="26" t="str">
        <x:v>Use for land and non-financial asset series</x:v>
      </x:c>
    </x:row>
    <x:row r="8">
      <x:c r="A8" s="26" t="str">
        <x:v>SRC-004</x:v>
      </x:c>
      <x:c r="B8" s="26" t="str">
        <x:v>Housing assets</x:v>
      </x:c>
      <x:c r="C8" s="26" t="str">
        <x:v>Statistics Canada</x:v>
      </x:c>
      <x:c r="D8" s="26" t="str">
        <x:v>Housing assets release</x:v>
      </x:c>
      <x:c r="E8" s="26" t="str">
        <x:v>2025</x:v>
      </x:c>
      <x:c r="F8" s="122" t="str">
        <x:v>https://www150.statcan.gc.ca/n1/daily-quotidien/260409/dq260409b-eng.htm</x:v>
      </x:c>
      <x:c r="G8" s="26" t="str">
        <x:v>Land_Property</x:v>
      </x:c>
      <x:c r="H8" s="26" t="str">
        <x:v>$4.4T housing asset stock cited in dossier</x:v>
      </x:c>
    </x:row>
    <x:row r="9">
      <x:c r="A9" s="26" t="str">
        <x:v>SRC-005</x:v>
      </x:c>
      <x:c r="B9" s="26" t="str">
        <x:v>Government revenue</x:v>
      </x:c>
      <x:c r="C9" s="26" t="str">
        <x:v>Statistics Canada</x:v>
      </x:c>
      <x:c r="D9" s="26" t="str">
        <x:v>Table 36-10-0450-01</x:v>
      </x:c>
      <x:c r="E9" s="26" t="str">
        <x:v>Annual</x:v>
      </x:c>
      <x:c r="F9" s="122" t="str">
        <x:v>https://www150.statcan.gc.ca/t1/tbl1/en/tv.action?pid=3610045001</x:v>
      </x:c>
      <x:c r="G9" s="26" t="str">
        <x:v>Royalty_Capture; Land_Property</x:v>
      </x:c>
      <x:c r="H9" s="26" t="str">
        <x:v>Extract property and resource-related revenue where available</x:v>
      </x:c>
    </x:row>
    <x:row r="10">
      <x:c r="A10" s="26" t="str">
        <x:v>SRC-006</x:v>
      </x:c>
      <x:c r="B10" s="26" t="str">
        <x:v>Competition indicators</x:v>
      </x:c>
      <x:c r="C10" s="26" t="str">
        <x:v>Competition Bureau Canada</x:v>
      </x:c>
      <x:c r="D10" s="26" t="str">
        <x:v>Competition in Canada 2000-2020</x:v>
      </x:c>
      <x:c r="E10" s="26" t="str">
        <x:v>2005-2018</x:v>
      </x:c>
      <x:c r="F10" s="122" t="str">
        <x:v>https://competition-bureau.canada.ca/en/how-we-foster-competition/education-and-outreach/competition-canada-2000-2020-economy-crossroads</x:v>
      </x:c>
      <x:c r="G10" s="26" t="str">
        <x:v>Concentration</x:v>
      </x:c>
      <x:c r="H10" s="26" t="str">
        <x:v>HHI and CR benchmark inputs</x:v>
      </x:c>
    </x:row>
    <x:row r="11">
      <x:c r="A11" s="26" t="str">
        <x:v>SRC-007</x:v>
      </x:c>
      <x:c r="B11" s="26" t="str">
        <x:v>Alberta Heritage Fund</x:v>
      </x:c>
      <x:c r="C11" s="26" t="str">
        <x:v>Government of Alberta</x:v>
      </x:c>
      <x:c r="D11" s="26" t="str">
        <x:v>Heritage Savings Trust Fund update</x:v>
      </x:c>
      <x:c r="E11" s="26" t="str">
        <x:v>2025-12-31</x:v>
      </x:c>
      <x:c r="F11" s="122" t="str">
        <x:v>https://www.alberta.ca/heritage-savings-trust-fund</x:v>
      </x:c>
      <x:c r="G11" s="26" t="str">
        <x:v>Public_Funds</x:v>
      </x:c>
      <x:c r="H11" s="26" t="str">
        <x:v>Net financial assets $31.9B</x:v>
      </x:c>
    </x:row>
    <x:row r="12">
      <x:c r="A12" s="26" t="str">
        <x:v>SRC-008</x:v>
      </x:c>
      <x:c r="B12" s="26" t="str">
        <x:v>NL Future Fund</x:v>
      </x:c>
      <x:c r="C12" s="26" t="str">
        <x:v>Government of Newfoundland and Labrador</x:v>
      </x:c>
      <x:c r="D12" s="26" t="str">
        <x:v>Budget 2025 release</x:v>
      </x:c>
      <x:c r="E12" s="26" t="str">
        <x:v>2025</x:v>
      </x:c>
      <x:c r="F12" s="122" t="str">
        <x:v>https://www.gov.nl.ca/releases/2025/fin/0409n01/</x:v>
      </x:c>
      <x:c r="G12" s="26" t="str">
        <x:v>Public_Funds</x:v>
      </x:c>
      <x:c r="H12" s="26" t="str">
        <x:v>Cumulative contributions announced at $467M</x:v>
      </x:c>
    </x:row>
    <x:row r="13">
      <x:c r="A13" s="26" t="str">
        <x:v>SRC-009</x:v>
      </x:c>
      <x:c r="B13" s="26" t="str">
        <x:v>Canada Growth Fund</x:v>
      </x:c>
      <x:c r="C13" s="26" t="str">
        <x:v>Canada Growth Fund</x:v>
      </x:c>
      <x:c r="D13" s="26" t="str">
        <x:v>Mandate and portfolio</x:v>
      </x:c>
      <x:c r="E13" s="26" t="str">
        <x:v>Current</x:v>
      </x:c>
      <x:c r="F13" s="122" t="str">
        <x:v>https://www.cgf-fcc.ca/en/</x:v>
      </x:c>
      <x:c r="G13" s="26" t="str">
        <x:v>Public_Funds</x:v>
      </x:c>
      <x:c r="H13" s="26" t="str">
        <x:v>$15B mandate; excluded from starting sovereign-fund base by default</x:v>
      </x:c>
    </x:row>
    <x:row r="14">
      <x:c r="A14" s="26" t="str">
        <x:v>SRC-010</x:v>
      </x:c>
      <x:c r="B14" s="26" t="str">
        <x:v>Quebec Generations Fund</x:v>
      </x:c>
      <x:c r="C14" s="26" t="str">
        <x:v>Quebec Ministry of Finance</x:v>
      </x:c>
      <x:c r="D14" s="26" t="str">
        <x:v>Public finance hub</x:v>
      </x:c>
      <x:c r="E14" s="26" t="str">
        <x:v>Current</x:v>
      </x:c>
      <x:c r="F14" s="122" t="str">
        <x:v>https://www.finances.gouv.qc.ca/department/public_finance/</x:v>
      </x:c>
      <x:c r="G14" s="26" t="str">
        <x:v>Public_Funds</x:v>
      </x:c>
      <x:c r="H14" s="26" t="str">
        <x:v>Balance update required</x:v>
      </x:c>
    </x:row>
    <x:row r="15">
      <x:c r="A15" s="26" t="str">
        <x:v>SRC-011</x:v>
      </x:c>
      <x:c r="B15" s="26" t="str">
        <x:v>Alberta resource revenue</x:v>
      </x:c>
      <x:c r="C15" s="26" t="str">
        <x:v>Government of Alberta</x:v>
      </x:c>
      <x:c r="D15" s="26" t="str">
        <x:v>Budget 2026 revenue tables</x:v>
      </x:c>
      <x:c r="E15" s="26" t="str">
        <x:v>2024-25 actual</x:v>
      </x:c>
      <x:c r="F15" s="26" t="str">
        <x:v>https://www.alberta.ca/revenue</x:v>
      </x:c>
      <x:c r="G15" s="26" t="str">
        <x:v>Royalty_Capture; Discovery_Log</x:v>
      </x:c>
      <x:c r="H15" s="26" t="str">
        <x:v>$21.986B actual non-renewable resource revenue.</x:v>
      </x:c>
    </x:row>
    <x:row r="16">
      <x:c r="A16" s="26" t="str">
        <x:v>SRC-012</x:v>
      </x:c>
      <x:c r="B16" s="26" t="str">
        <x:v>Newfoundland and Labrador Future Fund</x:v>
      </x:c>
      <x:c r="C16" s="26" t="str">
        <x:v>Government of Newfoundland and Labrador</x:v>
      </x:c>
      <x:c r="D16" s="26" t="str">
        <x:v>Future Fund key facts</x:v>
      </x:c>
      <x:c r="E16" s="26" t="str">
        <x:v>2025-12-31</x:v>
      </x:c>
      <x:c r="F16" s="26" t="str">
        <x:v>https://investorrelations.gov.nl.ca/futurefund/default.aspx</x:v>
      </x:c>
      <x:c r="G16" s="26" t="str">
        <x:v>Public_Funds; Discovery_Log</x:v>
      </x:c>
      <x:c r="H16" s="26" t="str">
        <x:v>Fund value $524.727M; contributions $467.911M.</x:v>
      </x:c>
    </x:row>
    <x:row r="17">
      <x:c r="A17" s="26" t="str">
        <x:v>SRC-013</x:v>
      </x:c>
      <x:c r="B17" s="26" t="str">
        <x:v>Future Fund governance change</x:v>
      </x:c>
      <x:c r="C17" s="26" t="str">
        <x:v>Government of Newfoundland and Labrador</x:v>
      </x:c>
      <x:c r="D17" s="26" t="str">
        <x:v>Future Fund Act amendment release</x:v>
      </x:c>
      <x:c r="E17" s="26" t="str">
        <x:v>2026-05-05</x:v>
      </x:c>
      <x:c r="F17" s="26" t="str">
        <x:v>https://www.gov.nl.ca/releases/2026/fin/0505n04/</x:v>
      </x:c>
      <x:c r="G17" s="26" t="str">
        <x:v>Discovery_Log</x:v>
      </x:c>
      <x:c r="H17" s="26" t="str">
        <x:v>Mandatory annual deposits removed; withdrawals limited to debt and liabilities.</x:v>
      </x:c>
    </x:row>
    <x:row r="18">
      <x:c r="A18" s="26" t="str">
        <x:v>SRC-014</x:v>
      </x:c>
      <x:c r="B18" s="26" t="str">
        <x:v>Québec Generations Fund</x:v>
      </x:c>
      <x:c r="C18" s="26" t="str">
        <x:v>Ministère des Finances du Québec</x:v>
      </x:c>
      <x:c r="D18" s="26" t="str">
        <x:v>Budget 2026-2027, Table G.8</x:v>
      </x:c>
      <x:c r="E18" s="26" t="str">
        <x:v>2026-03-31</x:v>
      </x:c>
      <x:c r="F18" s="26" t="str">
        <x:v>https://www.finances.gouv.qc.ca/Budget_and_update/budget/documents/Budget2627_BudgetPlan.pdf</x:v>
      </x:c>
      <x:c r="G18" s="26" t="str">
        <x:v>Public_Funds; Discovery_Log</x:v>
      </x:c>
      <x:c r="H18" s="26" t="str">
        <x:v>Book value $16.644B; fair value $20.1B at 2025-12-31.</x:v>
      </x:c>
    </x:row>
    <x:row r="19">
      <x:c r="A19" s="26" t="str">
        <x:v>SRC-015</x:v>
      </x:c>
      <x:c r="B19" s="26" t="str">
        <x:v>Municipal property taxes</x:v>
      </x:c>
      <x:c r="C19" s="26" t="str">
        <x:v>Statistics Canada</x:v>
      </x:c>
      <x:c r="D19" s="26" t="str">
        <x:v>Table 10-10-0020-01</x:v>
      </x:c>
      <x:c r="E19" s="26" t="str">
        <x:v>2024 preliminary</x:v>
      </x:c>
      <x:c r="F19" s="26" t="str">
        <x:v>https://www150.statcan.gc.ca/t1/tbl1/en/tv.action?pid=1010002001</x:v>
      </x:c>
      <x:c r="G19" s="26" t="str">
        <x:v>Land_Property; Discovery_Log</x:v>
      </x:c>
      <x:c r="H19" s="26" t="str">
        <x:v>Newfoundland and Labrador property-tax revenue $539M.</x:v>
      </x:c>
    </x:row>
    <x:row r="20">
      <x:c r="A20" s="26" t="str">
        <x:v>SRC-016</x:v>
      </x:c>
      <x:c r="B20" s="26" t="str">
        <x:v>Property assessment mechanics</x:v>
      </x:c>
      <x:c r="C20" s="26" t="str">
        <x:v>City of Calgary</x:v>
      </x:c>
      <x:c r="D20" s="26" t="str">
        <x:v>Ask the City Assessor</x:v>
      </x:c>
      <x:c r="E20" s="26" t="str">
        <x:v>2026</x:v>
      </x:c>
      <x:c r="F20" s="26" t="str">
        <x:v>https://www.calgary.ca/property-owners/assessment/ask-the-assessor.html</x:v>
      </x:c>
      <x:c r="G20" s="26" t="str">
        <x:v>Land_Property; Discovery_Log</x:v>
      </x:c>
      <x:c r="H20" s="26" t="str">
        <x:v>Assessment changes are revenue-neutral; budgets set total property-tax revenue.</x:v>
      </x:c>
    </x:row>
    <x:row r="21">
      <x:c r="A21" s="26" t="str">
        <x:v>SRC-017</x:v>
      </x:c>
      <x:c r="B21" s="26" t="str">
        <x:v>Calgary value-capture case</x:v>
      </x:c>
      <x:c r="C21" s="26" t="str">
        <x:v>Calgary Municipal Land Corporation</x:v>
      </x:c>
      <x:c r="D21" s="26" t="str">
        <x:v>East Village progress</x:v>
      </x:c>
      <x:c r="E21" s="26" t="str">
        <x:v>Current</x:v>
      </x:c>
      <x:c r="F21" s="26" t="str">
        <x:v>https://www.calgarymlc.ca/districts/east-village</x:v>
      </x:c>
      <x:c r="G21" s="26" t="str">
        <x:v>Infrastructure_Gains; Discovery_Log</x:v>
      </x:c>
      <x:c r="H21" s="26" t="str">
        <x:v>&gt;$400M infrastructure; $3.9B planned private investment.</x:v>
      </x:c>
    </x:row>
    <x:row r="22">
      <x:c r="A22" s="26" t="str">
        <x:v>SRC-018</x:v>
      </x:c>
      <x:c r="B22" s="26" t="str">
        <x:v>Edmonton value-capture cases</x:v>
      </x:c>
      <x:c r="C22" s="26" t="str">
        <x:v>City of Edmonton</x:v>
      </x:c>
      <x:c r="D22" s="26" t="str">
        <x:v>Downtown projects and incentives</x:v>
      </x:c>
      <x:c r="E22" s="26" t="str">
        <x:v>Current</x:v>
      </x:c>
      <x:c r="F22" s="26" t="str">
        <x:v>https://www.edmonton.ca/projects_plans/downtown</x:v>
      </x:c>
      <x:c r="G22" s="26" t="str">
        <x:v>Infrastructure_Gains; Discovery_Log</x:v>
      </x:c>
      <x:c r="H22" s="26" t="str">
        <x:v>$383M CRL projects; $22.9M incentive supporting about $522M of construction.</x:v>
      </x:c>
    </x:row>
    <x:row r="23">
      <x:c r="A23" s="26" t="str">
        <x:v>SRC-019</x:v>
      </x:c>
      <x:c r="B23" s="26" t="str">
        <x:v>Natural-resource valuation method</x:v>
      </x:c>
      <x:c r="C23" s="26" t="str">
        <x:v>Statistics Canada</x:v>
      </x:c>
      <x:c r="D23" s="26" t="str">
        <x:v>Natural resource wealth statistics in the National Balance Sheet Accounts</x:v>
      </x:c>
      <x:c r="E23" s="26" t="str">
        <x:v>Methodology</x:v>
      </x:c>
      <x:c r="F23" s="26" t="str">
        <x:v>https://www150.statcan.gc.ca/n1/pub/13-605-x/2015009/article/14239-eng.htm</x:v>
      </x:c>
      <x:c r="G23" s="26" t="str">
        <x:v>Resource_Rent; Discovery_Log</x:v>
      </x:c>
      <x:c r="H23" s="26" t="str">
        <x:v>Resource wealth is the NPV of future resource rents, not an annual rent flow.</x:v>
      </x:c>
    </x:row>
    <x:row r="24">
      <x:c r="A24" s="26" t="str">
        <x:v>SRC-020</x:v>
      </x:c>
      <x:c r="B24" s="26" t="str">
        <x:v>Saskatchewan resource revenue and liabilities</x:v>
      </x:c>
      <x:c r="C24" s="26" t="str">
        <x:v>Government of Saskatchewan</x:v>
      </x:c>
      <x:c r="D24" s="26" t="str">
        <x:v>Public Accounts 2024-25, pages 21, 73 and 82</x:v>
      </x:c>
      <x:c r="E24" s="26" t="str">
        <x:v>2024-25</x:v>
      </x:c>
      <x:c r="F24" s="26" t="str">
        <x:v>https://www.saskatchewan.ca/-/media/news-release-backgrounders/2025/jun/2024-25-public-accounts-volume-1-4751.pdf</x:v>
      </x:c>
      <x:c r="G24" s="26" t="str">
        <x:v>Royalty_Capture; Land_Property; Liability_Ledger; Discovery_Log</x:v>
      </x:c>
      <x:c r="H24" s="26" t="str">
        <x:v>$2.573657B non-renewable revenue; $313.403M contaminated-site liability.</x:v>
      </x:c>
    </x:row>
    <x:row r="25">
      <x:c r="A25" s="26" t="str">
        <x:v>SRC-021</x:v>
      </x:c>
      <x:c r="B25" s="26" t="str">
        <x:v>British Columbia natural-resource revenue</x:v>
      </x:c>
      <x:c r="C25" s="26" t="str">
        <x:v>Government of British Columbia</x:v>
      </x:c>
      <x:c r="D25" s="26" t="str">
        <x:v>Public Accounts 2024-25</x:v>
      </x:c>
      <x:c r="E25" s="26" t="str">
        <x:v>2024-25</x:v>
      </x:c>
      <x:c r="F25" s="26" t="str">
        <x:v>https://www2.gov.bc.ca/gov/content/governments/finances/public-accounts</x:v>
      </x:c>
      <x:c r="G25" s="26" t="str">
        <x:v>Royalty_Capture; Discovery_Log</x:v>
      </x:c>
      <x:c r="H25" s="26" t="str">
        <x:v>$2.416B total natural-resource revenue; category scope recorded in notes.</x:v>
      </x:c>
    </x:row>
    <x:row r="26">
      <x:c r="A26" s="26" t="str">
        <x:v>SRC-022</x:v>
      </x:c>
      <x:c r="B26" s="26" t="str">
        <x:v>Ontario royalties and land taxes</x:v>
      </x:c>
      <x:c r="C26" s="26" t="str">
        <x:v>Government of Ontario</x:v>
      </x:c>
      <x:c r="D26" s="26" t="str">
        <x:v>Public Accounts 2024-25 Annual Report</x:v>
      </x:c>
      <x:c r="E26" s="26" t="str">
        <x:v>2024-25</x:v>
      </x:c>
      <x:c r="F26" s="26" t="str">
        <x:v>https://www.ontario.ca/page/public-accounts-2024-25-annual-report</x:v>
      </x:c>
      <x:c r="G26" s="26" t="str">
        <x:v>Royalty_Capture; Land_Property; Discovery_Log</x:v>
      </x:c>
      <x:c r="H26" s="26" t="str">
        <x:v>Royalties $297M; Land Transfer Tax $3.736B; Education Property Tax $5.887B.</x:v>
      </x:c>
    </x:row>
    <x:row r="27">
      <x:c r="A27" s="26" t="str">
        <x:v>SRC-023</x:v>
      </x:c>
      <x:c r="B27" s="26" t="str">
        <x:v>Québec mining duties and surface royalties</x:v>
      </x:c>
      <x:c r="C27" s="26" t="str">
        <x:v>Government of Québec</x:v>
      </x:c>
      <x:c r="D27" s="26" t="str">
        <x:v>Amounts, values and royalties paid by companies</x:v>
      </x:c>
      <x:c r="E27" s="26" t="str">
        <x:v>2024</x:v>
      </x:c>
      <x:c r="F27" s="26" t="str">
        <x:v>https://www.quebec.ca/agriculture-environnement-et-ressources-naturelles/mines/donnees-cartes-minieres/quantites-valeurs-redevances</x:v>
      </x:c>
      <x:c r="G27" s="26" t="str">
        <x:v>Royalty_Capture; Discovery_Log</x:v>
      </x:c>
      <x:c r="H27" s="26" t="str">
        <x:v>Mining duties $477.7M; listed surface-mineral royalties about $2.394M.</x:v>
      </x:c>
    </x:row>
    <x:row r="28">
      <x:c r="A28" s="26" t="str">
        <x:v>SRC-024</x:v>
      </x:c>
      <x:c r="B28" s="26" t="str">
        <x:v>Constitutional division of powers</x:v>
      </x:c>
      <x:c r="C28" s="26" t="str">
        <x:v>Department of Justice Canada</x:v>
      </x:c>
      <x:c r="D28" s="26" t="str">
        <x:v>Constitution Acts, sections 91, 92, 92A, 109, 125 and 35</x:v>
      </x:c>
      <x:c r="E28" s="26" t="str">
        <x:v>Current</x:v>
      </x:c>
      <x:c r="F28" s="26" t="str">
        <x:v>https://laws-lois.justice.gc.ca/eng/const/fulltext.html</x:v>
      </x:c>
      <x:c r="G28" s="26" t="str">
        <x:v>Constitution_Map</x:v>
      </x:c>
      <x:c r="H28" s="26" t="str">
        <x:v>Federal, provincial and Indigenous constitutional starting points.</x:v>
      </x:c>
    </x:row>
    <x:row r="29">
      <x:c r="A29" s="26" t="str">
        <x:v>SRC-025</x:v>
      </x:c>
      <x:c r="B29" s="26" t="str">
        <x:v>Duty to consult and accommodate</x:v>
      </x:c>
      <x:c r="C29" s="26" t="str">
        <x:v>Department of Justice Canada</x:v>
      </x:c>
      <x:c r="D29" s="26" t="str">
        <x:v>Section 35pedia</x:v>
      </x:c>
      <x:c r="E29" s="26" t="str">
        <x:v>Current</x:v>
      </x:c>
      <x:c r="F29" s="26" t="str">
        <x:v>https://www.justice.gc.ca/eng/csj-sjc/ijr-dja/35pedia-wiki35/p8.html</x:v>
      </x:c>
      <x:c r="G29" s="26" t="str">
        <x:v>Constitution_Map; Indigenous_Models</x:v>
      </x:c>
      <x:c r="H29" s="26" t="str">
        <x:v>Duty is owed by the relevant Crown and is distinct from ownership.</x:v>
      </x:c>
    </x:row>
    <x:row r="30">
      <x:c r="A30" s="26" t="str">
        <x:v>SRC-026</x:v>
      </x:c>
      <x:c r="B30" s="26" t="str">
        <x:v>Indigenous loan guarantees</x:v>
      </x:c>
      <x:c r="C30" s="26" t="str">
        <x:v>Department of Finance Canada</x:v>
      </x:c>
      <x:c r="D30" s="26" t="str">
        <x:v>Darlington and Chatham-to-Lakeshore transactions</x:v>
      </x:c>
      <x:c r="E30" s="26" t="str">
        <x:v>2026</x:v>
      </x:c>
      <x:c r="F30" s="26" t="str">
        <x:v>https://www.canada.ca/en/department-finance/news/2026/06/government-announces-largest-indigenous-loan-guarantee-in-canadian-history-to-support-darlington-new-nuclear-project.html</x:v>
      </x:c>
      <x:c r="G30" s="26" t="str">
        <x:v>Indigenous_Models</x:v>
      </x:c>
      <x:c r="H30" s="26" t="str">
        <x:v>Ownership structures enabled through lower-cost debt.</x:v>
      </x:c>
    </x:row>
    <x:row r="31">
      <x:c r="A31" s="26" t="str">
        <x:v>SRC-027</x:v>
      </x:c>
      <x:c r="B31" s="26" t="str">
        <x:v>Ontario resource revenue sharing</x:v>
      </x:c>
      <x:c r="C31" s="26" t="str">
        <x:v>Government of Ontario</x:v>
      </x:c>
      <x:c r="D31" s="26" t="str">
        <x:v>Forestry and mining revenue-sharing agreements</x:v>
      </x:c>
      <x:c r="E31" s="26" t="str">
        <x:v>2018 onward</x:v>
      </x:c>
      <x:c r="F31" s="26" t="str">
        <x:v>https://news.ontario.ca/en/bulletin/49384/ontario-partners-with-first-nations-to-share-forestry-and-mining-revenues</x:v>
      </x:c>
      <x:c r="G31" s="26" t="str">
        <x:v>Indigenous_Models</x:v>
      </x:c>
      <x:c r="H31" s="26" t="str">
        <x:v>45% forestry, 40% existing mines, 45% future mines.</x:v>
      </x:c>
    </x:row>
    <x:row r="32">
      <x:c r="A32" s="26" t="str">
        <x:v>SRC-028</x:v>
      </x:c>
      <x:c r="B32" s="26" t="str">
        <x:v>B.C. forestry revenue sharing</x:v>
      </x:c>
      <x:c r="C32" s="26" t="str">
        <x:v>Government of British Columbia</x:v>
      </x:c>
      <x:c r="D32" s="26" t="str">
        <x:v>Forest Consultation and Revenue Sharing Agreements</x:v>
      </x:c>
      <x:c r="E32" s="26" t="str">
        <x:v>Current</x:v>
      </x:c>
      <x:c r="F32" s="26" t="str">
        <x:v>https://www2.gov.bc.ca/gov/content/environment/natural-resource-stewardship/consulting-with-first-nations/first-nations-negotiations/forest-consultation-and-revenue-sharing-agreements</x:v>
      </x:c>
      <x:c r="G32" s="26" t="str">
        <x:v>Indigenous_Models</x:v>
      </x:c>
      <x:c r="H32" s="26" t="str">
        <x:v>Interim increase adds about $63M per year since 2022.</x:v>
      </x:c>
    </x:row>
    <x:row r="33">
      <x:c r="A33" s="26" t="str">
        <x:v>SRC-029</x:v>
      </x:c>
      <x:c r="B33" s="26" t="str">
        <x:v>Telecommunications concentration</x:v>
      </x:c>
      <x:c r="C33" s="26" t="str">
        <x:v>CRTC</x:v>
      </x:c>
      <x:c r="D33" s="26" t="str">
        <x:v>Canadian Telecommunications Market Report 2025</x:v>
      </x:c>
      <x:c r="E33" s="26" t="str">
        <x:v>2023 data</x:v>
      </x:c>
      <x:c r="F33" s="26" t="str">
        <x:v>https://crtc.gc.ca/eng/publications/reports/PolicyMonitoring/2025/ctmr.htm</x:v>
      </x:c>
      <x:c r="G33" s="26" t="str">
        <x:v>Sector_Tests</x:v>
      </x:c>
      <x:c r="H33" s="26" t="str">
        <x:v>Top three: 86.9% mobile subscribers and nearly 90% mobile revenue.</x:v>
      </x:c>
    </x:row>
    <x:row r="34">
      <x:c r="A34" s="26" t="str">
        <x:v>SRC-030</x:v>
      </x:c>
      <x:c r="B34" s="26" t="str">
        <x:v>Bank concentration</x:v>
      </x:c>
      <x:c r="C34" s="26" t="str">
        <x:v>Bank of Canada</x:v>
      </x:c>
      <x:c r="D34" s="26" t="str">
        <x:v>Productivity's competitive edge</x:v>
      </x:c>
      <x:c r="E34" s="26" t="str">
        <x:v>2025</x:v>
      </x:c>
      <x:c r="F34" s="26" t="str">
        <x:v>https://www.bankofcanada.ca/2025/10/productivitys-competitive-edge/</x:v>
      </x:c>
      <x:c r="G34" s="26" t="str">
        <x:v>Sector_Tests</x:v>
      </x:c>
      <x:c r="H34" s="26" t="str">
        <x:v>Six largest banks hold about 93% of banking assets.</x:v>
      </x:c>
    </x:row>
    <x:row r="35">
      <x:c r="A35" s="26" t="str">
        <x:v>SRC-031</x:v>
      </x:c>
      <x:c r="B35" s="26" t="str">
        <x:v>Grocery competition</x:v>
      </x:c>
      <x:c r="C35" s="26" t="str">
        <x:v>Competition Bureau Canada</x:v>
      </x:c>
      <x:c r="D35" s="26" t="str">
        <x:v>Canada Needs More Grocery Competition</x:v>
      </x:c>
      <x:c r="E35" s="26" t="str">
        <x:v>2023</x:v>
      </x:c>
      <x:c r="F35" s="26" t="str">
        <x:v>https://competition-bureau.canada.ca/en/how-we-foster-competition/education-and-outreach/canada-needs-more-grocery-competition</x:v>
      </x:c>
      <x:c r="G35" s="26" t="str">
        <x:v>Sector_Tests</x:v>
      </x:c>
      <x:c r="H35" s="26" t="str">
        <x:v>Official structural finding; exact national HHI requires more data.</x:v>
      </x:c>
    </x:row>
    <x:row r="36">
      <x:c r="A36" s="26" t="str">
        <x:v>SRC-032</x:v>
      </x:c>
      <x:c r="B36" s="26" t="str">
        <x:v>Freight rail structure</x:v>
      </x:c>
      <x:c r="C36" s="26" t="str">
        <x:v>Transport Canada</x:v>
      </x:c>
      <x:c r="D36" s="26" t="str">
        <x:v>Transportation in Canada briefing</x:v>
      </x:c>
      <x:c r="E36" s="26" t="str">
        <x:v>2025</x:v>
      </x:c>
      <x:c r="F36" s="26" t="str">
        <x:v>https://tc.canada.ca/en/corporate-services/transparency/briefing-documents-transport-canada/2025/transportation-sector/transportation-canada</x:v>
      </x:c>
      <x:c r="G36" s="26" t="str">
        <x:v>Sector_Tests</x:v>
      </x:c>
      <x:c r="H36" s="26" t="str">
        <x:v>CN 50.1% and CPKC 30.1% of route-kilometres.</x:v>
      </x:c>
    </x:row>
    <x:row r="37">
      <x:c r="A37" s="26" t="str">
        <x:v>SRC-033</x:v>
      </x:c>
      <x:c r="B37" s="26" t="str">
        <x:v>Beef processing concentration</x:v>
      </x:c>
      <x:c r="C37" s="26" t="str">
        <x:v>House of Commons</x:v>
      </x:c>
      <x:c r="D37" s="26" t="str">
        <x:v>AGRI report on processing capacity</x:v>
      </x:c>
      <x:c r="E37" s="26" t="str">
        <x:v>2022/confirmed in later testimony</x:v>
      </x:c>
      <x:c r="F37" s="26" t="str">
        <x:v>https://www.ourcommons.ca/DocumentViewer/en/44-1/AGRI/report-5/page-30</x:v>
      </x:c>
      <x:c r="G37" s="26" t="str">
        <x:v>Sector_Tests</x:v>
      </x:c>
      <x:c r="H37" s="26" t="str">
        <x:v>Three plants account for more than 85% of Canadian beef processing capacity.</x:v>
      </x:c>
    </x:row>
    <x:row r="38">
      <x:c r="A38" s="26" t="str">
        <x:v>SRC-034</x:v>
      </x:c>
      <x:c r="B38" s="26" t="str">
        <x:v>National property taxes</x:v>
      </x:c>
      <x:c r="C38" s="26" t="str">
        <x:v>Statistics Canada</x:v>
      </x:c>
      <x:c r="D38" s="26" t="str">
        <x:v>Table 10-10-0172-01</x:v>
      </x:c>
      <x:c r="E38" s="26" t="str">
        <x:v>2024-2025</x:v>
      </x:c>
      <x:c r="F38" s="26" t="str">
        <x:v>https://www150.statcan.gc.ca/t1/tbl1/en/tv.action?pid=1010017201</x:v>
      </x:c>
      <x:c r="G38" s="26" t="str">
        <x:v>Land_Property; Rent_Flow_Method; Dashboard</x:v>
      </x:c>
      <x:c r="H38" s="26" t="str">
        <x:v>$103.254B in 2024 and $104.339B in 2025 for consolidated-government taxes on property.</x:v>
      </x:c>
    </x:row>
    <x:row r="39">
      <x:c r="A39" s="26" t="str">
        <x:v>SRC-035</x:v>
      </x:c>
      <x:c r="B39" s="26" t="str">
        <x:v>NWT resource revenue</x:v>
      </x:c>
      <x:c r="C39" s="26" t="str">
        <x:v>Government of the Northwest Territories</x:v>
      </x:c>
      <x:c r="D39" s="26" t="str">
        <x:v>Public Accounts 2024-25</x:v>
      </x:c>
      <x:c r="E39" s="26" t="str">
        <x:v>2024-25</x:v>
      </x:c>
      <x:c r="F39" s="26" t="str">
        <x:v>https://www.fin.gov.nt.ca/sites/fin/files/resources/2024-2025_public_accounts_section_i_-_consolidated_financial_statements.pdf</x:v>
      </x:c>
      <x:c r="G39" s="26" t="str">
        <x:v>Royalty_Capture; Jurisdiction_Queue; Discovery_Log</x:v>
      </x:c>
      <x:c r="H39" s="26" t="str">
        <x:v>Actual non-renewable resource revenue was -$4.492M after an accrual revision.</x:v>
      </x:c>
    </x:row>
    <x:row r="40">
      <x:c r="A40" s="26" t="str">
        <x:v>SRC-036</x:v>
      </x:c>
      <x:c r="B40" s="26" t="str">
        <x:v>Alberta closure liability</x:v>
      </x:c>
      <x:c r="C40" s="26" t="str">
        <x:v>Alberta Energy Regulator</x:v>
      </x:c>
      <x:c r="D40" s="26" t="str">
        <x:v>Oil and Gas Liability Management</x:v>
      </x:c>
      <x:c r="E40" s="26" t="str">
        <x:v>2024-12-31</x:v>
      </x:c>
      <x:c r="F40" s="26" t="str">
        <x:v>https://www.aer.ca/understanding-resource-development/how-we-regulate/oil-and-gas-liability-management</x:v>
      </x:c>
      <x:c r="G40" s="26" t="str">
        <x:v>Closure_Security; Rent_Flow_Method; Dashboard</x:v>
      </x:c>
      <x:c r="H40" s="26" t="str">
        <x:v>Estimated active and inactive oil/gas closure liability $36.6B.</x:v>
      </x:c>
    </x:row>
    <x:row r="41">
      <x:c r="A41" s="26" t="str">
        <x:v>SRC-037</x:v>
      </x:c>
      <x:c r="B41" s="26" t="str">
        <x:v>Alberta closure spending</x:v>
      </x:c>
      <x:c r="C41" s="26" t="str">
        <x:v>Alberta Energy Regulator</x:v>
      </x:c>
      <x:c r="D41" s="26" t="str">
        <x:v>Liability Management Performance Report</x:v>
      </x:c>
      <x:c r="E41" s="26" t="str">
        <x:v>2024</x:v>
      </x:c>
      <x:c r="F41" s="26" t="str">
        <x:v>https://www.aer.ca/data-and-performance-reports/industry-performance/liability-management-performance-report</x:v>
      </x:c>
      <x:c r="G41" s="26" t="str">
        <x:v>Closure_Security; Dashboard</x:v>
      </x:c>
      <x:c r="H41" s="26" t="str">
        <x:v>$900M licensee eligible spend plus $119M OWA spend; $700M requirement.</x:v>
      </x:c>
    </x:row>
    <x:row r="42">
      <x:c r="A42" s="26" t="str">
        <x:v>SRC-038</x:v>
      </x:c>
      <x:c r="B42" s="26" t="str">
        <x:v>Alberta 2025 closure quota</x:v>
      </x:c>
      <x:c r="C42" s="26" t="str">
        <x:v>Alberta Energy Regulator</x:v>
      </x:c>
      <x:c r="D42" s="26" t="str">
        <x:v>Bulletin 2024-19</x:v>
      </x:c>
      <x:c r="E42" s="26" t="str">
        <x:v>2025</x:v>
      </x:c>
      <x:c r="F42" s="26" t="str">
        <x:v>https://www.aer.ca/about-aer/media-centre/bulletins/bulletin-2024-19</x:v>
      </x:c>
      <x:c r="G42" s="26" t="str">
        <x:v>Closure_Security</x:v>
      </x:c>
      <x:c r="H42" s="26" t="str">
        <x:v>$750M industry-wide requirement.</x:v>
      </x:c>
    </x:row>
    <x:row r="43">
      <x:c r="A43" s="26" t="str">
        <x:v>SRC-039</x:v>
      </x:c>
      <x:c r="B43" s="26" t="str">
        <x:v>Alberta 2026 closure quota</x:v>
      </x:c>
      <x:c r="C43" s="26" t="str">
        <x:v>Alberta Energy Regulator</x:v>
      </x:c>
      <x:c r="D43" s="26" t="str">
        <x:v>Bulletin 2025-27</x:v>
      </x:c>
      <x:c r="E43" s="26" t="str">
        <x:v>2026</x:v>
      </x:c>
      <x:c r="F43" s="26" t="str">
        <x:v>https://www.aer.ca/about-aer/media-centre/bulletins/bulletin-2025-27</x:v>
      </x:c>
      <x:c r="G43" s="26" t="str">
        <x:v>Closure_Security</x:v>
      </x:c>
      <x:c r="H43" s="26" t="str">
        <x:v>$750M industry-wide requirement.</x:v>
      </x:c>
    </x:row>
    <x:row r="44">
      <x:c r="A44" s="26" t="str">
        <x:v>SRC-040</x:v>
      </x:c>
      <x:c r="B44" s="26" t="str">
        <x:v>B.C. mine reclamation security</x:v>
      </x:c>
      <x:c r="C44" s="26" t="str">
        <x:v>Government of British Columbia</x:v>
      </x:c>
      <x:c r="D44" s="26" t="str">
        <x:v>Reclamation securities for mines</x:v>
      </x:c>
      <x:c r="E44" s="26" t="str">
        <x:v>Current</x:v>
      </x:c>
      <x:c r="F44" s="26" t="str">
        <x:v>https://www2.gov.bc.ca/gov/content/industry/mineral-exploration-mining/permitting/mine-reclamation-securities</x:v>
      </x:c>
      <x:c r="G44" s="26" t="str">
        <x:v>Closure_Security</x:v>
      </x:c>
      <x:c r="H44" s="26" t="str">
        <x:v>Site-specific security framework and links to aggregate major-mine reporting.</x:v>
      </x:c>
    </x:row>
    <x:row r="45">
      <x:c r="A45" s="26" t="str">
        <x:v>SRC-041</x:v>
      </x:c>
      <x:c r="B45" s="26" t="str">
        <x:v>B.C. mine annual reports</x:v>
      </x:c>
      <x:c r="C45" s="26" t="str">
        <x:v>Government of British Columbia</x:v>
      </x:c>
      <x:c r="D45" s="26" t="str">
        <x:v>Chief Inspector annual reports</x:v>
      </x:c>
      <x:c r="E45" s="26" t="str">
        <x:v>2024-25</x:v>
      </x:c>
      <x:c r="F45" s="26" t="str">
        <x:v>https://www2.gov.bc.ca/gov/content/industry/mineral-exploration-mining/health-safety/chief-inspector-s-annual-reports</x:v>
      </x:c>
      <x:c r="G45" s="26" t="str">
        <x:v>Closure_Security; Jurisdiction_Queue</x:v>
      </x:c>
      <x:c r="H45" s="26" t="str">
        <x:v>Current report source located; aggregate liability/security table still requires extraction.</x:v>
      </x:c>
    </x:row>
    <x:row r="46">
      <x:c r="A46" s="26" t="str">
        <x:v>SRC-042</x:v>
      </x:c>
      <x:c r="B46" s="26" t="str">
        <x:v>Resource-rent method</x:v>
      </x:c>
      <x:c r="C46" s="26" t="str">
        <x:v>Statistics Canada</x:v>
      </x:c>
      <x:c r="D46" s="26" t="str">
        <x:v>Natural resource wealth statistics in the National Balance Sheet Accounts</x:v>
      </x:c>
      <x:c r="E46" s="26" t="str">
        <x:v>Methodology</x:v>
      </x:c>
      <x:c r="F46" s="26" t="str">
        <x:v>https://www150.statcan.gc.ca/n1/pub/13-605-x/2015009/article/14239-eng.htm</x:v>
      </x:c>
      <x:c r="G46" s="26" t="str">
        <x:v>Commodity_Rent_Bridge; Rent_Flow_Method</x:v>
      </x:c>
      <x:c r="H46" s="26" t="str">
        <x:v>Resource rent is derived from sales revenue less extraction costs; resource wealth is the NPV of future rents.</x:v>
      </x:c>
    </x:row>
    <x:row r="47">
      <x:c r="A47" s="26" t="str">
        <x:v>SRC-043</x:v>
      </x:c>
      <x:c r="B47" s="26" t="str">
        <x:v>Selected resource reserve categories</x:v>
      </x:c>
      <x:c r="C47" s="26" t="str">
        <x:v>Statistics Canada</x:v>
      </x:c>
      <x:c r="D47" s="26" t="str">
        <x:v>Table 38-10-0006-01</x:v>
      </x:c>
      <x:c r="E47" s="26" t="str">
        <x:v>2024</x:v>
      </x:c>
      <x:c r="F47" s="26" t="str">
        <x:v>https://www150.statcan.gc.ca/t1/tbl1/en/tv.action?pid=3810000601</x:v>
      </x:c>
      <x:c r="G47" s="26" t="str">
        <x:v>Commodity_Rent_Bridge</x:v>
      </x:c>
      <x:c r="H47" s="26" t="str">
        <x:v>Official reserve categories and annual asset values.</x:v>
      </x:c>
    </x:row>
    <x:row r="48">
      <x:c r="A48" s="26" t="str">
        <x:v>SRC-044</x:v>
      </x:c>
      <x:c r="B48" s="26" t="str">
        <x:v>Provincial government finance extraction</x:v>
      </x:c>
      <x:c r="C48" s="26" t="str">
        <x:v>Statistics Canada</x:v>
      </x:c>
      <x:c r="D48" s="26" t="str">
        <x:v>Table 10-10-0017-01</x:v>
      </x:c>
      <x:c r="E48" s="26" t="str">
        <x:v>2024</x:v>
      </x:c>
      <x:c r="F48" s="26" t="str">
        <x:v>https://www150.statcan.gc.ca/t1/tbl1/en/tv.action?pid=1010001701</x:v>
      </x:c>
      <x:c r="G48" s="26" t="str">
        <x:v>Jurisdiction_Queue</x:v>
      </x:c>
      <x:c r="H48" s="26" t="str">
        <x:v>Standardized provincial and territorial rent and property-tax source.</x:v>
      </x:c>
    </x:row>
    <x:row r="49">
      <x:c r="A49" s="26" t="str">
        <x:v>SRC-045</x:v>
      </x:c>
      <x:c r="B49" s="26" t="str">
        <x:v>Federal CGFS vector metadata</x:v>
      </x:c>
      <x:c r="C49" s="26" t="str">
        <x:v>Statistics Canada</x:v>
      </x:c>
      <x:c r="D49" s="26" t="str">
        <x:v>Table 10-10-0016-01 vector list</x:v>
      </x:c>
      <x:c r="E49" s="26" t="str">
        <x:v>Current metadata</x:v>
      </x:c>
      <x:c r="F49" s="26" t="str">
        <x:v>https://www150.statcan.gc.ca/n1/pub/13-607-x/2016001/489-eng.htm</x:v>
      </x:c>
      <x:c r="G49" s="26" t="str">
        <x:v>StatsCan_Vector_Map</x:v>
      </x:c>
      <x:c r="H49" s="26" t="str">
        <x:v>Federal rent v91574770; taxes on property v91574742.</x:v>
      </x:c>
    </x:row>
    <x:row r="50">
      <x:c r="A50" s="26" t="str">
        <x:v>SRC-046</x:v>
      </x:c>
      <x:c r="B50" s="26" t="str">
        <x:v>Provincial/territorial CGFS vector metadata</x:v>
      </x:c>
      <x:c r="C50" s="26" t="str">
        <x:v>Statistics Canada</x:v>
      </x:c>
      <x:c r="D50" s="26" t="str">
        <x:v>Table 10-10-0017-01 vector list</x:v>
      </x:c>
      <x:c r="E50" s="26" t="str">
        <x:v>Current metadata</x:v>
      </x:c>
      <x:c r="F50" s="26" t="str">
        <x:v>https://www150.statcan.gc.ca/n1/pub/13-607-x/2016001/505-eng.htm</x:v>
      </x:c>
      <x:c r="G50" s="26" t="str">
        <x:v>StatsCan_Vector_Map; Jurisdiction_Queue</x:v>
      </x:c>
      <x:c r="H50" s="26" t="str">
        <x:v>Exact rent and property-tax vector identifiers for all provinces and territories.</x:v>
      </x:c>
    </x:row>
    <x:row r="51">
      <x:c r="A51" s="26" t="str">
        <x:v>SRC-047</x:v>
      </x:c>
      <x:c r="B51" s="26" t="str">
        <x:v>Statistics Canada WDS methods</x:v>
      </x:c>
      <x:c r="C51" s="26" t="str">
        <x:v>Statistics Canada</x:v>
      </x:c>
      <x:c r="D51" s="26" t="str">
        <x:v>Web Data Service User Guide</x:v>
      </x:c>
      <x:c r="E51" s="26" t="str">
        <x:v>Current</x:v>
      </x:c>
      <x:c r="F51" s="26" t="str">
        <x:v>https://www.statcan.gc.ca/en/developers/wds/user-guide</x:v>
      </x:c>
      <x:c r="G51" s="26" t="str">
        <x:v>StatsCan_Vector_Map</x:v>
      </x:c>
      <x:c r="H51" s="26" t="str">
        <x:v>Official retrieval methods and scalar-code warning.</x:v>
      </x:c>
    </x:row>
    <x:row r="52">
      <x:c r="A52" s="26" t="str">
        <x:v>SRC-048</x:v>
      </x:c>
      <x:c r="B52" s="26" t="str">
        <x:v>Alberta transfer-related security</x:v>
      </x:c>
      <x:c r="C52" s="26" t="str">
        <x:v>Alberta Energy Regulator</x:v>
      </x:c>
      <x:c r="D52" s="26" t="str">
        <x:v>Estimated Liability and Licensee Capability</x:v>
      </x:c>
      <x:c r="E52" s="26" t="str">
        <x:v>2024 data</x:v>
      </x:c>
      <x:c r="F52" s="26" t="str">
        <x:v>https://www.aer.ca/data-and-performance-reports/industry-performance/liability-management-performance-report/estimated-liability-and-licensee-capability</x:v>
      </x:c>
      <x:c r="G52" s="26" t="str">
        <x:v>Closure_Security; Discovery_Log</x:v>
      </x:c>
      <x:c r="H52" s="26" t="str">
        <x:v>$25.4M sum of published transfer-security rows; narrative percentage discrepancy retained.</x:v>
      </x:c>
    </x:row>
    <x:row r="53">
      <x:c r="A53" s="26" t="str">
        <x:v>SRC-049</x:v>
      </x:c>
      <x:c r="B53" s="26" t="str">
        <x:v>Alberta outstanding security owed</x:v>
      </x:c>
      <x:c r="C53" s="26" t="str">
        <x:v>Alberta Energy Regulator</x:v>
      </x:c>
      <x:c r="D53" s="26" t="str">
        <x:v>Impact on Liability Estimates</x:v>
      </x:c>
      <x:c r="E53" s="26" t="str">
        <x:v>2022-2024</x:v>
      </x:c>
      <x:c r="F53" s="26" t="str">
        <x:v>https://www.aer.ca/data-and-performance-reports/industry-performance/liability-management-performance-report/impact-liability-estimates</x:v>
      </x:c>
      <x:c r="G53" s="26" t="str">
        <x:v>Closure_Security; Discovery_Log</x:v>
      </x:c>
      <x:c r="H53" s="26" t="str">
        <x:v>$6.4M outstanding for 2024; $13.3M cumulative, data as of October 2025.</x:v>
      </x:c>
    </x:row>
    <x:row r="54">
      <x:c r="A54" s="26" t="str">
        <x:v>SRC-050</x:v>
      </x:c>
      <x:c r="B54" s="26" t="str">
        <x:v>Alberta Heritage Fund deposit</x:v>
      </x:c>
      <x:c r="C54" s="26" t="str">
        <x:v>Government of Alberta</x:v>
      </x:c>
      <x:c r="D54" s="26" t="str">
        <x:v>Heritage Savings Trust Fund</x:v>
      </x:c>
      <x:c r="E54" s="26" t="str">
        <x:v>2025-26</x:v>
      </x:c>
      <x:c r="F54" s="26" t="str">
        <x:v>https://www.alberta.ca/heritage-savings-trust-fund</x:v>
      </x:c>
      <x:c r="G54" s="26" t="str">
        <x:v>Revenue_Use; Dashboard; Discovery_Log</x:v>
      </x:c>
      <x:c r="H54" s="26" t="str">
        <x:v>$2.8B deposit using available surplus cash from fiscal 2024-25.</x:v>
      </x:c>
    </x:row>
    <x:row r="55">
      <x:c r="A55" s="26" t="str">
        <x:v>SRC-051</x:v>
      </x:c>
      <x:c r="B55" s="26" t="str">
        <x:v>Newfoundland and Labrador resource revenue</x:v>
      </x:c>
      <x:c r="C55" s="26" t="str">
        <x:v>Government of Newfoundland and Labrador</x:v>
      </x:c>
      <x:c r="D55" s="26" t="str">
        <x:v>Program Expenditures and Revenues of the Consolidated Revenue Fund</x:v>
      </x:c>
      <x:c r="E55" s="26" t="str">
        <x:v>2024-25</x:v>
      </x:c>
      <x:c r="F55" s="26" t="str">
        <x:v>https://www.gov.nl.ca/exec/tbs/files/Cash-Statements-2025-with-signed-letter-Final.pdf</x:v>
      </x:c>
      <x:c r="G55" s="26" t="str">
        <x:v>Royalty_Capture; Revenue_Use; Public_Account_Recon</x:v>
      </x:c>
      <x:c r="H55" s="26" t="str">
        <x:v>Direct rents/royalties $1.209040B; mining tax/royalties $0.097532B; Future Fund contribution $72.614M.</x:v>
      </x:c>
    </x:row>
    <x:row r="56">
      <x:c r="A56" s="26" t="str">
        <x:v>SRC-052</x:v>
      </x:c>
      <x:c r="B56" s="26" t="str">
        <x:v>New Brunswick royalties and leases</x:v>
      </x:c>
      <x:c r="C56" s="26" t="str">
        <x:v>Government of New Brunswick</x:v>
      </x:c>
      <x:c r="D56" s="26" t="str">
        <x:v>Public Accounts Volume II</x:v>
      </x:c>
      <x:c r="E56" s="26" t="str">
        <x:v>2024-25</x:v>
      </x:c>
      <x:c r="F56" s="26" t="str">
        <x:v>https://www.gnb.ca/content/dam/GNB3/org/ftb-fct/doc/2025-public-accounts-vol-2-comptes-publics-vol-2.pdf</x:v>
      </x:c>
      <x:c r="G56" s="26" t="str">
        <x:v>Royalty_Capture; Revenue_Use; Public_Account_Recon</x:v>
      </x:c>
      <x:c r="H56" s="26" t="str">
        <x:v>Direct royalties $71.817M; selected resource leases $0.4119M; supplementary detail is unaudited.</x:v>
      </x:c>
    </x:row>
    <x:row r="57">
      <x:c r="A57" s="26" t="str">
        <x:v>SRC-053</x:v>
      </x:c>
      <x:c r="B57" s="26" t="str">
        <x:v>New Brunswick mine reclamation</x:v>
      </x:c>
      <x:c r="C57" s="26" t="str">
        <x:v>Government of New Brunswick</x:v>
      </x:c>
      <x:c r="D57" s="26" t="str">
        <x:v>Public Accounts Volume II — capital expenditure</x:v>
      </x:c>
      <x:c r="E57" s="26" t="str">
        <x:v>2024-25</x:v>
      </x:c>
      <x:c r="F57" s="26" t="str">
        <x:v>https://www.gnb.ca/content/dam/GNB3/org/ftb-fct/doc/2025-public-accounts-vol-2-comptes-publics-vol-2.pdf</x:v>
      </x:c>
      <x:c r="G57" s="26" t="str">
        <x:v>Revenue_Use; Public_Account_Recon</x:v>
      </x:c>
      <x:c r="H57" s="26" t="str">
        <x:v>Mine reclamation capital expenditure $0.5103M.</x:v>
      </x:c>
    </x:row>
    <x:row r="58">
      <x:c r="A58" s="26" t="str">
        <x:v>SRC-054</x:v>
      </x:c>
      <x:c r="B58" s="26" t="str">
        <x:v>Input-output detail</x:v>
      </x:c>
      <x:c r="C58" s="26" t="str">
        <x:v>Statistics Canada</x:v>
      </x:c>
      <x:c r="D58" s="26" t="str">
        <x:v>Table 36-10-0001-01</x:v>
      </x:c>
      <x:c r="E58" s="26" t="str">
        <x:v>2024</x:v>
      </x:c>
      <x:c r="F58" s="26" t="str">
        <x:v>https://www150.statcan.gc.ca/t1/tbl1/en/tv.action?pid=3610000101</x:v>
      </x:c>
      <x:c r="G58" s="26" t="str">
        <x:v>Commodity_Data_Map</x:v>
      </x:c>
      <x:c r="H58" s="26" t="str">
        <x:v>Industry purchases, imports and value-added components; commodity allocation still required.</x:v>
      </x:c>
    </x:row>
    <x:row r="59">
      <x:c r="A59" s="26" t="str">
        <x:v>SRC-055</x:v>
      </x:c>
      <x:c r="B59" s="26" t="str">
        <x:v>Labour compensation by industry</x:v>
      </x:c>
      <x:c r="C59" s="26" t="str">
        <x:v>Statistics Canada</x:v>
      </x:c>
      <x:c r="D59" s="26" t="str">
        <x:v>Table 36-10-0209-01</x:v>
      </x:c>
      <x:c r="E59" s="26" t="str">
        <x:v>Annual</x:v>
      </x:c>
      <x:c r="F59" s="26" t="str">
        <x:v>https://www150.statcan.gc.ca/t1/tbl1/en/tv.action?pid=3610020901</x:v>
      </x:c>
      <x:c r="G59" s="26" t="str">
        <x:v>Commodity_Data_Map</x:v>
      </x:c>
      <x:c r="H59" s="26" t="str">
        <x:v>Hours worked and labour compensation by worker type and industry.</x:v>
      </x:c>
    </x:row>
    <x:row r="60">
      <x:c r="A60" s="26" t="str">
        <x:v>SRC-056</x:v>
      </x:c>
      <x:c r="B60" s="26" t="str">
        <x:v>Capital stock and depreciation</x:v>
      </x:c>
      <x:c r="C60" s="26" t="str">
        <x:v>Statistics Canada</x:v>
      </x:c>
      <x:c r="D60" s="26" t="str">
        <x:v>Table 36-10-0096-01</x:v>
      </x:c>
      <x:c r="E60" s="26" t="str">
        <x:v>2024</x:v>
      </x:c>
      <x:c r="F60" s="26" t="str">
        <x:v>https://www150.statcan.gc.ca/t1/tbl1/en/tv.action?pid=3610009601</x:v>
      </x:c>
      <x:c r="G60" s="26" t="str">
        <x:v>Commodity_Data_Map</x:v>
      </x:c>
      <x:c r="H60" s="26" t="str">
        <x:v>Industry and asset capital flows/stocks; use nominal current-price measures where required.</x:v>
      </x:c>
    </x:row>
    <x:row r="61">
      <x:c r="A61" s="26" t="str">
        <x:v>SRC-057</x:v>
      </x:c>
      <x:c r="B61" s="26" t="str">
        <x:v>Five-year benchmark bond yield</x:v>
      </x:c>
      <x:c r="C61" s="26" t="str">
        <x:v>Bank of Canada</x:v>
      </x:c>
      <x:c r="D61" s="26" t="str">
        <x:v>Selected bond yields</x:v>
      </x:c>
      <x:c r="E61" s="26" t="str">
        <x:v>Daily/historical</x:v>
      </x:c>
      <x:c r="F61" s="26" t="str">
        <x:v>https://www.bankofcanada.ca/rates/interest-rates/canadian-bonds/</x:v>
      </x:c>
      <x:c r="G61" s="26" t="str">
        <x:v>Commodity_Data_Map</x:v>
      </x:c>
      <x:c r="H61" s="26" t="str">
        <x:v>Normal-return input must follow the Statistics Canada resource-wealth methodology and chosen annual averaging rule.</x:v>
      </x:c>
    </x:row>
    <x:row r="62">
      <x:c r="A62" s="26" t="str">
        <x:v>SRC-058</x:v>
      </x:c>
      <x:c r="B62" s="26" t="str">
        <x:v>Provincial CGFS annual table</x:v>
      </x:c>
      <x:c r="C62" s="26" t="str">
        <x:v>Statistics Canada</x:v>
      </x:c>
      <x:c r="D62" s="26" t="str">
        <x:v>Table 10-10-0017-01</x:v>
      </x:c>
      <x:c r="E62" s="26" t="str">
        <x:v>Annual</x:v>
      </x:c>
      <x:c r="F62" s="26" t="str">
        <x:v>https://www150.statcan.gc.ca/t1/tbl1/en/tv.action?pid=1010001701</x:v>
      </x:c>
      <x:c r="G62" s="26" t="str">
        <x:v>CGFS_Extraction; StatsCan_Vector_Map</x:v>
      </x:c>
      <x:c r="H62" s="26" t="str">
        <x:v>Official provincial and territorial CGFS cube; transaction and stock displays must not be confused.</x:v>
      </x:c>
    </x:row>
    <x:row r="63">
      <x:c r="A63" s="26" t="str">
        <x:v>SRC-059</x:v>
      </x:c>
      <x:c r="B63" s="26" t="str">
        <x:v>Federal CGFS annual table</x:v>
      </x:c>
      <x:c r="C63" s="26" t="str">
        <x:v>Statistics Canada</x:v>
      </x:c>
      <x:c r="D63" s="26" t="str">
        <x:v>Table 10-10-0016-01</x:v>
      </x:c>
      <x:c r="E63" s="26" t="str">
        <x:v>Annual</x:v>
      </x:c>
      <x:c r="F63" s="26" t="str">
        <x:v>https://www150.statcan.gc.ca/t1/tbl1/en/tv.action?pid=1010001601</x:v>
      </x:c>
      <x:c r="G63" s="26" t="str">
        <x:v>CGFS_Extraction; StatsCan_Vector_Map</x:v>
      </x:c>
      <x:c r="H63" s="26" t="str">
        <x:v>Official federal CGFS cube.</x:v>
      </x:c>
    </x:row>
    <x:row r="64">
      <x:c r="A64" s="26" t="str">
        <x:v>SRC-060</x:v>
      </x:c>
      <x:c r="B64" s="26" t="str">
        <x:v>Statistics Canada Web Data Service</x:v>
      </x:c>
      <x:c r="C64" s="26" t="str">
        <x:v>Statistics Canada</x:v>
      </x:c>
      <x:c r="D64" s="26" t="str">
        <x:v>WDS User Guide</x:v>
      </x:c>
      <x:c r="E64" s="26" t="str">
        <x:v>Current</x:v>
      </x:c>
      <x:c r="F64" s="26" t="str">
        <x:v>https://www.statcan.gc.ca/en/developers/wds/user-guide</x:v>
      </x:c>
      <x:c r="G64" s="26" t="str">
        <x:v>CGFS_Extraction</x:v>
      </x:c>
      <x:c r="H64" s="26" t="str">
        <x:v>Returned values require scalarFactorCode, decimals, statusCode and symbolCode handling.</x:v>
      </x:c>
    </x:row>
    <x:row r="65">
      <x:c r="A65" s="26" t="str">
        <x:v>SRC-061</x:v>
      </x:c>
      <x:c r="B65" s="26" t="str">
        <x:v>Oil and gas financial performance</x:v>
      </x:c>
      <x:c r="C65" s="26" t="str">
        <x:v>Statistics Canada</x:v>
      </x:c>
      <x:c r="D65" s="26" t="str">
        <x:v>Table 25-10-0065-01</x:v>
      </x:c>
      <x:c r="E65" s="26" t="str">
        <x:v>2024</x:v>
      </x:c>
      <x:c r="F65" s="26" t="str">
        <x:v>https://www150.statcan.gc.ca/t1/tbl1/en/tv.action?pid=2510006501</x:v>
      </x:c>
      <x:c r="G65" s="26" t="str">
        <x:v>Commodity_Diagnostics</x:v>
      </x:c>
      <x:c r="H65" s="26" t="str">
        <x:v>2024 assets $496.7633B; revenue $217.7567B; expenses $192.1405B; net income $25.6161B.</x:v>
      </x:c>
    </x:row>
    <x:row r="66">
      <x:c r="A66" s="26" t="str">
        <x:v>SRC-062</x:v>
      </x:c>
      <x:c r="B66" s="26" t="str">
        <x:v>Full table CSV method</x:v>
      </x:c>
      <x:c r="C66" s="26" t="str">
        <x:v>Statistics Canada</x:v>
      </x:c>
      <x:c r="D66" s="26" t="str">
        <x:v>Download options and developer access</x:v>
      </x:c>
      <x:c r="E66" s="26" t="str">
        <x:v>Current</x:v>
      </x:c>
      <x:c r="F66" s="26" t="str">
        <x:v>https://www.statcan.gc.ca/en/developers/wds/user-guide</x:v>
      </x:c>
      <x:c r="G66" s="26" t="str">
        <x:v>CGFS_Extraction</x:v>
      </x:c>
      <x:c r="H66" s="26" t="str">
        <x:v>Full table fallback uses the eight-digit table identifier; exact URLs are stored in the workbook.</x:v>
      </x:c>
    </x:row>
    <x:row r="67">
      <x:c r="A67" s="26" t="str">
        <x:v>SRC-063</x:v>
      </x:c>
      <x:c r="B67" s="26" t="str">
        <x:v>Natural resource output by sector</x:v>
      </x:c>
      <x:c r="C67" s="26" t="str">
        <x:v>Statistics Canada</x:v>
      </x:c>
      <x:c r="D67" s="26" t="str">
        <x:v>Table 36-10-0624-01</x:v>
      </x:c>
      <x:c r="E67" s="26" t="str">
        <x:v>2024</x:v>
      </x:c>
      <x:c r="F67" s="26" t="str">
        <x:v>https://www150.statcan.gc.ca/t1/tbl1/en/tv.action?pid=3610062401</x:v>
      </x:c>
      <x:c r="G67" s="26" t="str">
        <x:v>Commodity_Output_Crosswalk; Commodity_Input_Staging</x:v>
      </x:c>
      <x:c r="H67" s="26" t="str">
        <x:v>Official 2024 output controls for crude, bitumen, gas, coal, forestry and mineral aggregates.</x:v>
      </x:c>
    </x:row>
    <x:row r="68">
      <x:c r="A68" s="26" t="str">
        <x:v>SRC-064</x:v>
      </x:c>
      <x:c r="B68" s="26" t="str">
        <x:v>Input-output industry supply</x:v>
      </x:c>
      <x:c r="C68" s="26" t="str">
        <x:v>Statistics Canada</x:v>
      </x:c>
      <x:c r="D68" s="26" t="str">
        <x:v>Table 36-10-0001-01</x:v>
      </x:c>
      <x:c r="E68" s="26" t="str">
        <x:v>2024</x:v>
      </x:c>
      <x:c r="F68" s="26" t="str">
        <x:v>https://www150.statcan.gc.ca/t1/tbl1/en/tv.action?pid=3610000101</x:v>
      </x:c>
      <x:c r="G68" s="26" t="str">
        <x:v>Commodity_Output_Crosswalk</x:v>
      </x:c>
      <x:c r="H68" s="26" t="str">
        <x:v>Official basic-price industry supply controls; industry and commodity boundaries differ.</x:v>
      </x:c>
    </x:row>
    <x:row r="69">
      <x:c r="A69" s="26" t="str">
        <x:v>SRC-065</x:v>
      </x:c>
      <x:c r="B69" s="26" t="str">
        <x:v>CGFS component-rent metadata</x:v>
      </x:c>
      <x:c r="C69" s="26" t="str">
        <x:v>Statistics Canada</x:v>
      </x:c>
      <x:c r="D69" s="26" t="str">
        <x:v>Tables 10-10-0016-01 and 10-10-0017-01</x:v>
      </x:c>
      <x:c r="E69" s="26" t="str">
        <x:v>2024</x:v>
      </x:c>
      <x:c r="F69" s="26" t="str">
        <x:v>https://www150.statcan.gc.ca/t1/tbl1/en/tv.action?pid=1010001701</x:v>
      </x:c>
      <x:c r="G69" s="26" t="str">
        <x:v>CGFS_Rent_Components; Jurisdiction_Reconciliation</x:v>
      </x:c>
      <x:c r="H69" s="26" t="str">
        <x:v>Total rent decomposes into oil/gas, forestry, mineral/other, water and other rent.</x:v>
      </x:c>
    </x:row>
    <x:row r="70">
      <x:c r="A70" s="26" t="str">
        <x:v>SRC-066</x:v>
      </x:c>
      <x:c r="B70" s="26" t="str">
        <x:v>Resource-rent method</x:v>
      </x:c>
      <x:c r="C70" s="26" t="str">
        <x:v>Statistics Canada</x:v>
      </x:c>
      <x:c r="D70" s="26" t="str">
        <x:v>Natural resource wealth statistics in the National Balance Sheet Accounts</x:v>
      </x:c>
      <x:c r="E70" s="26" t="str">
        <x:v>Methodology</x:v>
      </x:c>
      <x:c r="F70" s="26" t="str">
        <x:v>https://www150.statcan.gc.ca/n1/pub/13-605-x/2015009/article/14239-eng.htm</x:v>
      </x:c>
      <x:c r="G70" s="26" t="str">
        <x:v>Commodity_Input_Staging; Commodity_Rent_Bridge</x:v>
      </x:c>
      <x:c r="H70" s="26" t="str">
        <x:v>Rent equals resource revenue less operating costs, depreciation and normal return on produced capital.</x:v>
      </x:c>
    </x:row>
    <x:row r="71">
      <x:c r="A71" s="26" t="str">
        <x:v>SRC-067</x:v>
      </x:c>
      <x:c r="B71" s="26" t="str">
        <x:v>Federal CGFS component metadata</x:v>
      </x:c>
      <x:c r="C71" s="26" t="str">
        <x:v>Statistics Canada</x:v>
      </x:c>
      <x:c r="D71" s="26" t="str">
        <x:v>Table 10-10-0016-01 vector metadata</x:v>
      </x:c>
      <x:c r="E71" s="26" t="str">
        <x:v>2024</x:v>
      </x:c>
      <x:c r="F71" s="26" t="str">
        <x:v>https://www150.statcan.gc.ca/n1/pub/13-607-x/2016001/489-eng.htm</x:v>
      </x:c>
      <x:c r="G71" s="26" t="str">
        <x:v>Rent_Component_Vectors; CGFS_Rent_Components; Extractor_Errata</x:v>
      </x:c>
      <x:c r="H71" s="26" t="str">
        <x:v>Federal rent contains oil/gas, mineral and other rent; subsequent vectors are sales and fees.</x:v>
      </x:c>
    </x:row>
    <x:row r="72">
      <x:c r="A72" s="26" t="str">
        <x:v>SRC-068</x:v>
      </x:c>
      <x:c r="B72" s="26" t="str">
        <x:v>Current SNA-consistent labour statistics</x:v>
      </x:c>
      <x:c r="C72" s="26" t="str">
        <x:v>Statistics Canada</x:v>
      </x:c>
      <x:c r="D72" s="26" t="str">
        <x:v>Table 36-10-0215-01</x:v>
      </x:c>
      <x:c r="E72" s="26" t="str">
        <x:v>2024</x:v>
      </x:c>
      <x:c r="F72" s="26" t="str">
        <x:v>https://www150.statcan.gc.ca/t1/tbl1/en/tv.action?pid=3610021501</x:v>
      </x:c>
      <x:c r="G72" s="26" t="str">
        <x:v>Extractor_Errata; Industry_Input_Summary</x:v>
      </x:c>
      <x:c r="H72" s="26" t="str">
        <x:v>Replacement source for current industry labour and compensation evidence.</x:v>
      </x:c>
    </x:row>
    <x:row r="73">
      <x:c r="A73" s="26" t="str">
        <x:v>SRC-069</x:v>
      </x:c>
      <x:c r="B73" s="26" t="str">
        <x:v>Input-output primary inputs</x:v>
      </x:c>
      <x:c r="C73" s="26" t="str">
        <x:v>Statistics Canada</x:v>
      </x:c>
      <x:c r="D73" s="26" t="str">
        <x:v>Table 36-10-0001-01</x:v>
      </x:c>
      <x:c r="E73" s="26" t="str">
        <x:v>2024</x:v>
      </x:c>
      <x:c r="F73" s="26" t="str">
        <x:v>https://www150.statcan.gc.ca/t1/tbl1/en/tv.action?pid=3610000101</x:v>
      </x:c>
      <x:c r="G73" s="26" t="str">
        <x:v>Industry_Input_Summary</x:v>
      </x:c>
      <x:c r="H73" s="26" t="str">
        <x:v>Industry supply, wages, employer contributions, taxes, subsidies, mixed income and gross operating surplus.</x:v>
      </x:c>
    </x:row>
    <x:row r="74">
      <x:c r="A74" s="26" t="str">
        <x:v>SRC-070</x:v>
      </x:c>
      <x:c r="B74" s="26" t="str">
        <x:v>Capital stock and geometric depreciation</x:v>
      </x:c>
      <x:c r="C74" s="26" t="str">
        <x:v>Statistics Canada</x:v>
      </x:c>
      <x:c r="D74" s="26" t="str">
        <x:v>Table 36-10-0096-01</x:v>
      </x:c>
      <x:c r="E74" s="26" t="str">
        <x:v>2024</x:v>
      </x:c>
      <x:c r="F74" s="26" t="str">
        <x:v>https://www150.statcan.gc.ca/t1/tbl1/en/tv.action?pid=3610009601</x:v>
      </x:c>
      <x:c r="G74" s="26" t="str">
        <x:v>Industry_Input_Summary</x:v>
      </x:c>
      <x:c r="H74" s="26" t="str">
        <x:v>Current-price geometric depreciation and end-year net stock controls.</x:v>
      </x:c>
    </x:row>
    <x:row r="75">
      <x:c r="A75" s="26" t="str">
        <x:v>SRC-071</x:v>
      </x:c>
      <x:c r="B75" s="26" t="str">
        <x:v>Detailed labour compensation benchmark</x:v>
      </x:c>
      <x:c r="C75" s="26" t="str">
        <x:v>Statistics Canada</x:v>
      </x:c>
      <x:c r="D75" s="26" t="str">
        <x:v>Table 36-10-0489-04</x:v>
      </x:c>
      <x:c r="E75" s="26" t="str">
        <x:v>2024</x:v>
      </x:c>
      <x:c r="F75" s="26" t="str">
        <x:v>https://www150.statcan.gc.ca/t1/tbl1/en/tv.action?pid=3610048904</x:v>
      </x:c>
      <x:c r="G75" s="26" t="str">
        <x:v>Labour_Benchmark_2024</x:v>
      </x:c>
      <x:c r="H75" s="26" t="str">
        <x:v>Total compensation for all jobs by detailed NAICS industry; official 2024 benchmark.</x:v>
      </x:c>
    </x:row>
    <x:row r="76">
      <x:c r="A76" s="26" t="str">
        <x:v>SRC-072</x:v>
      </x:c>
      <x:c r="B76" s="26" t="str">
        <x:v>Historical labour table</x:v>
      </x:c>
      <x:c r="C76" s="26" t="str">
        <x:v>Statistics Canada</x:v>
      </x:c>
      <x:c r="D76" s="26" t="str">
        <x:v>Table 36-10-0215-01</x:v>
      </x:c>
      <x:c r="E76" s="26" t="str">
        <x:v>1997-2015</x:v>
      </x:c>
      <x:c r="F76" s="26" t="str">
        <x:v>https://www150.statcan.gc.ca/t1/tbl1/en/tv.action?pid=3610021501</x:v>
      </x:c>
      <x:c r="G76" s="26" t="str">
        <x:v>Extractor_Errata; Labour_Benchmark_2024</x:v>
      </x:c>
      <x:c r="H76" s="26" t="str">
        <x:v>Archived historical table; cannot produce 2024 rows.</x:v>
      </x:c>
    </x:row>
    <x:row r="77">
      <x:c r="A77" s="26" t="str">
        <x:v>SRC-073</x:v>
      </x:c>
      <x:c r="B77" s="26" t="str">
        <x:v>Current replacement labour table</x:v>
      </x:c>
      <x:c r="C77" s="26" t="str">
        <x:v>Statistics Canada</x:v>
      </x:c>
      <x:c r="D77" s="26" t="str">
        <x:v>Table 36-10-0713-01</x:v>
      </x:c>
      <x:c r="E77" s="26" t="str">
        <x:v>Current release</x:v>
      </x:c>
      <x:c r="F77" s="26" t="str">
        <x:v>https://www150.statcan.gc.ca/t1/tbl1/en/tv.action?pid=3610071301</x:v>
      </x:c>
      <x:c r="G77" s="26" t="str">
        <x:v>Labour_Benchmark_2024</x:v>
      </x:c>
      <x:c r="H77" s="26" t="str">
        <x:v>Listed as the replacement, but table viewer reported data unavailable during this pass.</x:v>
      </x:c>
    </x:row>
    <x:row r="78">
      <x:c r="A78" s="26" t="str">
        <x:v>SRC-074</x:v>
      </x:c>
      <x:c r="B78" s="26" t="str">
        <x:v>Input-output labour components</x:v>
      </x:c>
      <x:c r="C78" s="26" t="str">
        <x:v>Statistics Canada</x:v>
      </x:c>
      <x:c r="D78" s="26" t="str">
        <x:v>Table 36-10-0001-01</x:v>
      </x:c>
      <x:c r="E78" s="26" t="str">
        <x:v>2024</x:v>
      </x:c>
      <x:c r="F78" s="26" t="str">
        <x:v>https://www150.statcan.gc.ca/n1/en/catalogue/3610000101</x:v>
      </x:c>
      <x:c r="G78" s="26" t="str">
        <x:v>Industry_Input_Summary; Labour_Benchmark_2024</x:v>
      </x:c>
      <x:c r="H78" s="26" t="str">
        <x:v>Wages and employer social contributions form employee compensation in the production account.</x:v>
      </x:c>
    </x:row>
    <x:row r="79">
      <x:c r="A79" s="26" t="str">
        <x:v>SRC-075</x:v>
      </x:c>
      <x:c r="B79" s="26" t="str">
        <x:v>Labour full-table archive</x:v>
      </x:c>
      <x:c r="C79" s="26" t="str">
        <x:v>Statistics Canada</x:v>
      </x:c>
      <x:c r="D79" s="26" t="str">
        <x:v>Table 36-10-0489-04 full CSV</x:v>
      </x:c>
      <x:c r="E79" s="26" t="str">
        <x:v>2024</x:v>
      </x:c>
      <x:c r="F79" s="26" t="str">
        <x:v>https://www150.statcan.gc.ca/n1/tbl/csv/36100489-eng.zip</x:v>
      </x:c>
      <x:c r="G79" s="26" t="str">
        <x:v>Labour_Benchmark_2024; Labour_Scaling_Audit</x:v>
      </x:c>
      <x:c r="H79" s="26" t="str">
        <x:v>UOM is Thousands of dollars and SCALAR_FACTOR is units; both metadata fields must be applied.</x:v>
      </x:c>
    </x:row>
    <x:row r="80">
      <x:c r="A80" s="26" t="str">
        <x:v>SRC-076</x:v>
      </x:c>
      <x:c r="B80" s="26" t="str">
        <x:v>Produced capital controls</x:v>
      </x:c>
      <x:c r="C80" s="26" t="str">
        <x:v>Statistics Canada</x:v>
      </x:c>
      <x:c r="D80" s="26" t="str">
        <x:v>Table 36-10-0096-01</x:v>
      </x:c>
      <x:c r="E80" s="26" t="str">
        <x:v>2024</x:v>
      </x:c>
      <x:c r="F80" s="26" t="str">
        <x:v>https://www150.statcan.gc.ca/t1/tbl1/en/tv.action?pid=3610009601</x:v>
      </x:c>
      <x:c r="G80" s="26" t="str">
        <x:v>Capital_Boundary_Map</x:v>
      </x:c>
      <x:c r="H80" s="26" t="str">
        <x:v>Direct detailed controls exist for forestry and conventional oil/gas; broader mining/oil aggregate retained.</x:v>
      </x:c>
    </x:row>
    <x:row r="81">
      <x:c r="A81" s="26" t="str">
        <x:v>SRC-077</x:v>
      </x:c>
      <x:c r="B81" s="26" t="str">
        <x:v>Extractor v0.2.2 receipt</x:v>
      </x:c>
      <x:c r="C81" s="26" t="str">
        <x:v>Local deterministic extraction</x:v>
      </x:c>
      <x:c r="D81" s="26" t="str">
        <x:v>Receipt and manifest</x:v>
      </x:c>
      <x:c r="E81" s="26" t="str">
        <x:v>2024</x:v>
      </x:c>
      <x:c r="F81" s="26" t="str">
        <x:v>Local uploaded artifacts</x:v>
      </x:c>
      <x:c r="G81" s="26" t="str">
        <x:v>Rent_Evidence_Receipt; Extractor_Errata</x:v>
      </x:c>
      <x:c r="H81" s="26" t="str">
        <x:v>Receipt proves source presence and row counts but did not validate monetary UOM conversion.</x:v>
      </x:c>
    </x:row>
    <x:row r="82">
      <x:c r="A82" t="str">
        <x:v>SRC-078</x:v>
      </x:c>
      <x:c r="B82" t="str">
        <x:v>Oil-sands industry production account</x:v>
      </x:c>
      <x:c r="C82" t="str">
        <x:v>Statistics Canada</x:v>
      </x:c>
      <x:c r="D82" t="str">
        <x:v>Table 36-10-0001-01</x:v>
      </x:c>
      <x:c r="E82" t="str">
        <x:v>2024</x:v>
      </x:c>
      <x:c r="F82" t="str">
        <x:v>https://www150.statcan.gc.ca/n1/en/catalogue/3610000101</x:v>
      </x:c>
      <x:c r="G82" t="str">
        <x:v>Oil_Sands_Bridge_2024</x:v>
      </x:c>
      <x:c r="H82" t="str">
        <x:v>Output, intermediate inputs, labour, net production taxes and GOS reconcile at the BS211140 industry boundary.</x:v>
      </x:c>
    </x:row>
    <x:row r="83">
      <x:c r="A83" t="str">
        <x:v>SRC-079</x:v>
      </x:c>
      <x:c r="B83" t="str">
        <x:v>Natural-resource commodity outputs</x:v>
      </x:c>
      <x:c r="C83" t="str">
        <x:v>Statistics Canada</x:v>
      </x:c>
      <x:c r="D83" t="str">
        <x:v>Full-table CSV 36100624</x:v>
      </x:c>
      <x:c r="E83" t="str">
        <x:v>2024</x:v>
      </x:c>
      <x:c r="F83" t="str">
        <x:v>https://www150.statcan.gc.ca/n1/tbl/csv/36100624-eng.zip</x:v>
      </x:c>
      <x:c r="G83" t="str">
        <x:v>Oil_Sands_Bridge_2024; Commodity_Input_Staging</x:v>
      </x:c>
      <x:c r="H83" t="str">
        <x:v>Crude bitumen is observed separately; conventional and synthetic crude remain combined.</x:v>
      </x:c>
    </x:row>
    <x:row r="84">
      <x:c r="A84" t="str">
        <x:v>SRC-080</x:v>
      </x:c>
      <x:c r="B84" t="str">
        <x:v>Oil and gas financial diagnostic</x:v>
      </x:c>
      <x:c r="C84" t="str">
        <x:v>Statistics Canada</x:v>
      </x:c>
      <x:c r="D84" t="str">
        <x:v>Table 25-10-0065-01</x:v>
      </x:c>
      <x:c r="E84" t="str">
        <x:v>2024</x:v>
      </x:c>
      <x:c r="F84" t="str">
        <x:v>https://www150.statcan.gc.ca/n1/en/catalogue/2510006501</x:v>
      </x:c>
      <x:c r="G84" t="str">
        <x:v>Oil_Sands_Bridge_2024</x:v>
      </x:c>
      <x:c r="H84" t="str">
        <x:v>Whole-sector operating costs are displayed only as an excluded diagnostic, not as an oil-sands cost input.</x:v>
      </x:c>
    </x:row>
    <x:row r="85">
      <x:c r="A85" t="str">
        <x:v>SRC-081</x:v>
      </x:c>
      <x:c r="B85" t="str">
        <x:v>Oil-sands bridge receipt</x:v>
      </x:c>
      <x:c r="C85" t="str">
        <x:v>Local deterministic build</x:v>
      </x:c>
      <x:c r="D85" t="str">
        <x:v>Receipt and workbook</x:v>
      </x:c>
      <x:c r="E85" t="str">
        <x:v>2024</x:v>
      </x:c>
      <x:c r="F85" t="str">
        <x:v>Local uploaded artifacts</x:v>
      </x:c>
      <x:c r="G85" t="str">
        <x:v>Oil_Sands_Bridge_2024</x:v>
      </x:c>
      <x:c r="H85" t="str">
        <x:v>Core SHA-256 67d5d27c2115c208771bad4d5a142898addfd6d1fb177d0b653fd2a49992871a; industry bridge pass, commodity rent locked.</x:v>
      </x:c>
    </x:row>
    <x:row r="86">
      <x:c r="A86" s="26" t="str">
        <x:v>SRC-082</x:v>
      </x:c>
      <x:c r="B86" s="26" t="str">
        <x:v>Historical potash capital expenditures</x:v>
      </x:c>
      <x:c r="C86" s="26" t="str">
        <x:v>Statistics Canada</x:v>
      </x:c>
      <x:c r="D86" s="26" t="str">
        <x:v>Table 34-10-0036-01</x:v>
      </x:c>
      <x:c r="E86" s="1468" t="str">
        <x:v>2006–2024</x:v>
      </x:c>
      <x:c r="F86" s="1468" t="str">
        <x:v>https://www150.statcan.gc.ca/n1/en/catalogue/3410003601</x:v>
      </x:c>
      <x:c r="G86" s="26" t="str">
        <x:v>Historical_Capital_Evidence; Capital_Data_Request</x:v>
      </x:c>
      <x:c r="H86" s="26" t="str">
        <x:v>Annual detailed potash investment flow exists; it is not an observed stock.</x:v>
      </x:c>
    </x:row>
    <x:row r="87">
      <x:c r="A87" s="26" t="str">
        <x:v>SRC-083</x:v>
      </x:c>
      <x:c r="B87" s="26" t="str">
        <x:v>Potash investment by asset candidate</x:v>
      </x:c>
      <x:c r="C87" s="26" t="str">
        <x:v>Statistics Canada</x:v>
      </x:c>
      <x:c r="D87" s="26" t="str">
        <x:v>Table 34-10-0039-01</x:v>
      </x:c>
      <x:c r="E87" s="1468" t="str">
        <x:v>2006–2024</x:v>
      </x:c>
      <x:c r="F87" s="1468" t="str">
        <x:v>https://www150.statcan.gc.ca/n1/en/catalogue/3410003901</x:v>
      </x:c>
      <x:c r="G87" s="26" t="str">
        <x:v>Historical_Capital_Evidence; Potash_PIM_Evidence_Gate</x:v>
      </x:c>
      <x:c r="H87" s="26" t="str">
        <x:v>Table exists by industry and asset; exact continuous NAICS 212396 availability remains to be validated.</x:v>
      </x:c>
    </x:row>
    <x:row r="88">
      <x:c r="A88" s="26" t="str">
        <x:v>SRC-084</x:v>
      </x:c>
      <x:c r="B88" s="26" t="str">
        <x:v>Stock and Consumption of Fixed Non-residential Capital</x:v>
      </x:c>
      <x:c r="C88" s="26" t="str">
        <x:v>Statistics Canada</x:v>
      </x:c>
      <x:c r="D88" s="26" t="str">
        <x:v>Program 2820</x:v>
      </x:c>
      <x:c r="E88" s="1468" t="str">
        <x:v>2024 method vintage</x:v>
      </x:c>
      <x:c r="F88" s="1468" t="str">
        <x:v>https://www23.statcan.gc.ca/imdb/p2SV.pl?Function=getSurvey&amp;SDDS=2820</x:v>
      </x:c>
      <x:c r="G88" s="26" t="str">
        <x:v>Potash_PIM_Evidence_Gate; Capital_Data_Request</x:v>
      </x:c>
      <x:c r="H88" s="26" t="str">
        <x:v>Authoritative PIM method and target for a direct detailed stock/CFC custom extract.</x:v>
      </x:c>
    </x:row>
    <x:row r="89">
      <x:c r="A89" s="26" t="str">
        <x:v>SRC-085</x:v>
      </x:c>
      <x:c r="B89" s="26" t="str">
        <x:v>Historical investment and capital stock</x:v>
      </x:c>
      <x:c r="C89" s="26" t="str">
        <x:v>Statistics Canada</x:v>
      </x:c>
      <x:c r="D89" s="26" t="str">
        <x:v>Table 36-10-0210-01</x:v>
      </x:c>
      <x:c r="E89" s="1468" t="str">
        <x:v>1961–2008</x:v>
      </x:c>
      <x:c r="F89" s="1468" t="str">
        <x:v>https://www150.statcan.gc.ca/n1/en/catalogue/3610021001</x:v>
      </x:c>
      <x:c r="G89" s="26" t="str">
        <x:v>Historical_Capital_Evidence</x:v>
      </x:c>
      <x:c r="H89" s="26" t="str">
        <x:v>Published industry detail is broad mining [212], not Potash mining [212396].</x:v>
      </x:c>
    </x:row>
    <x:row r="90">
      <x:c r="A90" t="str">
        <x:v>SRC-086</x:v>
      </x:c>
      <x:c r="B90" t="str">
        <x:v>Current Canadian merger structural thresholds</x:v>
      </x:c>
      <x:c r="C90" t="str">
        <x:v>Competition Bureau Canada</x:v>
      </x:c>
      <x:c r="D90" t="str">
        <x:v>Proposed Merger Enforcement Guidelines / Competition Act thresholds</x:v>
      </x:c>
      <x:c r="E90" t="str">
        <x:v>Current</x:v>
      </x:c>
      <x:c r="F90" t="str">
        <x:v>https://competition-bureau.canada.ca/en/how-we-foster-competition/consultations/proposed-merger-enforcement-guidelines</x:v>
      </x:c>
      <x:c r="G90" t="str">
        <x:v>Model_Parameters; Sector_Tests; Concentration</x:v>
      </x:c>
      <x:c r="H90" t="str">
        <x:v>Structural presumption requires HHI above 1,800 and an HHI increase above 100, or combined party share above 30% with the increase test. Workbook screens do not calculate a merger delta.</x:v>
      </x:c>
    </x:row>
    <x:row r="91">
      <x:c r="A91" t="str">
        <x:v>SRC-087</x:v>
      </x:c>
      <x:c r="B91" t="str">
        <x:v>Canada housing asset stock</x:v>
      </x:c>
      <x:c r="C91" t="str">
        <x:v>Statistics Canada</x:v>
      </x:c>
      <x:c r="D91" t="str">
        <x:v>Housing Economic Account, 2025</x:v>
      </x:c>
      <x:c r="E91" t="str">
        <x:v>2025</x:v>
      </x:c>
      <x:c r="F91" t="str">
        <x:v>https://www150.statcan.gc.ca/n1/daily-quotidien/260409/dq260409b-eng.htm</x:v>
      </x:c>
      <x:c r="G91" t="str">
        <x:v>Land_Property; Source_Lineage_Register</x:v>
      </x:c>
      <x:c r="H91" t="str">
        <x:v>Canada's nominal net stock of housing assets was reported as $4.4 trillion in 2025; used only as a scenario input before assumed land shares.</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18" hidden="0" customWidth="1"/>
    <x:col min="3" max="3" width="20" hidden="0" customWidth="1"/>
    <x:col min="4" max="4" width="48" hidden="0" customWidth="1"/>
    <x:col min="6" max="6" width="28" hidden="0" customWidth="1"/>
    <x:col min="7" max="7" width="18" hidden="0" customWidth="1"/>
    <x:col min="8" max="8" width="18" hidden="0" customWidth="1"/>
  </x:cols>
  <x:sheetData>
    <x:row r="1" ht="28" customHeight="1">
      <x:c r="A1" s="1820" t="str">
        <x:v>Legacy Mixed Dashboard — Scenario / Diagnostic Only</x:v>
      </x:c>
      <x:c r="B1" s="1820"/>
      <x:c r="C1" s="1820"/>
      <x:c r="D1" s="1820"/>
      <x:c r="E1" s="1820"/>
      <x:c r="F1" s="1820"/>
      <x:c r="G1" s="1820"/>
      <x:c r="H1" s="1820"/>
      <x:c r="I1" s="5"/>
      <x:c r="J1" s="5"/>
      <x:c r="K1" s="5"/>
      <x:c r="L1" s="5"/>
    </x:row>
    <x:row r="2" ht="34" customHeight="1">
      <x:c r="A2" s="1821" t="str">
        <x:v>NOT FOR PUBLICATION AS AN EMPIRICAL NATIONAL RENT ACCOUNT. This legacy dashboard mixes observed controls, modelled scenarios and incomplete lower bounds. Use Evidence_Dashboard for publication-status reporting.</x:v>
      </x:c>
      <x:c r="B2" s="1821"/>
      <x:c r="C2" s="1821"/>
      <x:c r="D2" s="1821"/>
      <x:c r="E2" s="1821"/>
      <x:c r="F2" s="1821"/>
      <x:c r="G2" s="1821"/>
      <x:c r="H2" s="1821"/>
      <x:c r="I2" s="14"/>
      <x:c r="J2" s="14"/>
      <x:c r="K2" s="14"/>
      <x:c r="L2" s="14"/>
    </x:row>
    <x:row r="4" ht="22" customHeight="1">
      <x:c r="A4" s="22" t="str">
        <x:v>Core indicators</x:v>
      </x:c>
      <x:c r="B4" s="22"/>
      <x:c r="C4" s="22"/>
      <x:c r="D4" s="22"/>
      <x:c r="E4" s="22"/>
      <x:c r="F4" s="22"/>
      <x:c r="G4" s="22"/>
      <x:c r="H4" s="22"/>
      <x:c r="I4" s="22"/>
      <x:c r="J4" s="22"/>
      <x:c r="K4" s="22"/>
      <x:c r="L4" s="22"/>
    </x:row>
    <x:row r="5" ht="30" customHeight="1">
      <x:c r="A5" s="32" t="str">
        <x:v>Indicator</x:v>
      </x:c>
      <x:c r="B5" s="32" t="str">
        <x:v>Value</x:v>
      </x:c>
      <x:c r="C5" s="32" t="str">
        <x:v>Status</x:v>
      </x:c>
      <x:c r="D5" s="32" t="str">
        <x:v>Interpretation</x:v>
      </x:c>
      <x:c r="F5" s="32" t="str">
        <x:v>Metric</x:v>
      </x:c>
      <x:c r="G5" s="32" t="str">
        <x:v>Base ($B)</x:v>
      </x:c>
      <x:c r="H5" s="32" t="str">
        <x:v>Type</x:v>
      </x:c>
    </x:row>
    <x:row r="6">
      <x:c r="A6" s="26" t="str">
        <x:v>Selected natural-resource asset value ($B)</x:v>
      </x:c>
      <x:c r="B6" s="93" t="n">
        <x:f>Resource_Rent!C11</x:f>
        <x:v>1362</x:v>
      </x:c>
      <x:c r="C6" s="26" t="str">
        <x:v>Verified</x:v>
      </x:c>
      <x:c r="D6" s="26" t="str">
        <x:v>Observed selected reserves</x:v>
      </x:c>
      <x:c r="F6" t="str">
        <x:v>Modelled resource rent</x:v>
      </x:c>
      <x:c r="G6" s="60" t="n">
        <x:f>B7</x:f>
        <x:v>95.18</x:v>
      </x:c>
      <x:c r="H6" t="str">
        <x:v>Modelled</x:v>
      </x:c>
    </x:row>
    <x:row r="7">
      <x:c r="A7" s="26" t="str">
        <x:v>Modelled annual resource rent — Base ($B)</x:v>
      </x:c>
      <x:c r="B7" s="93" t="n">
        <x:f>Resource_Rent!H11</x:f>
        <x:v>95.18</x:v>
      </x:c>
      <x:c r="C7" s="26" t="str">
        <x:v>Modelled</x:v>
      </x:c>
      <x:c r="D7" s="26" t="str">
        <x:v>Asset value × assumed rent yield</x:v>
      </x:c>
      <x:c r="F7" t="str">
        <x:v>Effective public capture</x:v>
      </x:c>
      <x:c r="G7" s="60" t="n">
        <x:f>B8</x:f>
        <x:v>29.127059697000004</x:v>
      </x:c>
      <x:c r="H7" t="str">
        <x:v>Observed/fallback</x:v>
      </x:c>
    </x:row>
    <x:row r="8">
      <x:c r="A8" s="26" t="str">
        <x:v>Effective public resource capture ($B)</x:v>
      </x:c>
      <x:c r="B8" s="93" t="n">
        <x:f>Royalty_Capture!B27</x:f>
        <x:v>29.127059697000004</x:v>
      </x:c>
      <x:c r="C8" s="26" t="str">
        <x:v>Observed incomplete</x:v>
      </x:c>
      <x:c r="D8" s="26" t="str">
        <x:v>Verified jurisdiction sum; incomplete national lower bound</x:v>
      </x:c>
      <x:c r="F8" t="str">
        <x:v>Unobserved / modelled residual</x:v>
      </x:c>
      <x:c r="G8" s="60" t="n">
        <x:f>MAX(0,G6-G7)</x:f>
        <x:v>66.052940303</x:v>
      </x:c>
      <x:c r="H8" t="str">
        <x:v>Not publishable</x:v>
      </x:c>
    </x:row>
    <x:row r="9">
      <x:c r="A9" s="499" t="str">
        <x:v>Scenario comparator ratio — NOT a rent-capture rate</x:v>
      </x:c>
      <x:c r="B9" s="500"/>
      <x:c r="C9" s="501" t="str">
        <x:v>NOT CALCULATED</x:v>
      </x:c>
      <x:c r="D9" s="502" t="str">
        <x:v>No rent-capture rate is shown because the annual economic-rent denominator is not observed.</x:v>
      </x:c>
    </x:row>
    <x:row r="10">
      <x:c r="A10" s="26" t="str">
        <x:v>Estimated taxable land value ($B)</x:v>
      </x:c>
      <x:c r="B10" s="93" t="n">
        <x:f>Land_Property!G6</x:f>
        <x:v>2112</x:v>
      </x:c>
      <x:c r="C10" s="26" t="str">
        <x:v>Modelled</x:v>
      </x:c>
      <x:c r="D10" s="26" t="str">
        <x:v>Housing assets × assumed land shares</x:v>
      </x:c>
      <x:c r="F10" s="26" t="str">
        <x:v>Observed verified resource revenue</x:v>
      </x:c>
      <x:c r="G10" s="126" t="n">
        <x:f>Royalty_Capture!G21</x:f>
        <x:v>29.127059697000004</x:v>
      </x:c>
      <x:c r="H10" s="26" t="str">
        <x:v>Incomplete lower bound</x:v>
      </x:c>
    </x:row>
    <x:row r="11">
      <x:c r="A11" s="26" t="str">
        <x:v>Modelled recurring land/property revenue ($B)</x:v>
      </x:c>
      <x:c r="B11" s="93" t="n">
        <x:f>Land_Property!I6</x:f>
        <x:v>21.12</x:v>
      </x:c>
      <x:c r="C11" s="26" t="str">
        <x:v>Modelled</x:v>
      </x:c>
      <x:c r="D11" s="26" t="str">
        <x:v>Estimated taxable land × assumed effective rate</x:v>
      </x:c>
      <x:c r="F11" s="26" t="str">
        <x:v>Recognized remediation residual</x:v>
      </x:c>
      <x:c r="G11" s="126" t="n">
        <x:f>Liability_Ledger!G15</x:f>
        <x:v>0.313</x:v>
      </x:c>
      <x:c r="H11" s="26" t="str">
        <x:v>Partial liability coverage</x:v>
      </x:c>
    </x:row>
    <x:row r="12">
      <x:c r="A12" s="26" t="str">
        <x:v>Modelled infrastructure-created land value ($B)</x:v>
      </x:c>
      <x:c r="B12" s="93" t="n">
        <x:f>Infrastructure_Gains!I10</x:f>
        <x:v>5</x:v>
      </x:c>
      <x:c r="C12" s="26" t="str">
        <x:v>Modelled</x:v>
      </x:c>
      <x:c r="D12" s="26" t="str">
        <x:v>Project-specific uplift beyond control area</x:v>
      </x:c>
      <x:c r="F12" s="26" t="str">
        <x:v>Seeded sector tests</x:v>
      </x:c>
      <x:c r="G12" s="26" t="n">
        <x:f>COUNTA(Sector_Tests!A5:A14)</x:f>
        <x:v>10</x:v>
      </x:c>
      <x:c r="H12" s="26" t="str">
        <x:v>Concentration is screening only</x:v>
      </x:c>
    </x:row>
    <x:row r="13">
      <x:c r="A13" s="26" t="str">
        <x:v>Potential infrastructure value capture ($B)</x:v>
      </x:c>
      <x:c r="B13" s="93" t="n">
        <x:f>Infrastructure_Gains!K10</x:f>
        <x:v>1</x:v>
      </x:c>
      <x:c r="C13" s="26" t="str">
        <x:v>Modelled</x:v>
      </x:c>
      <x:c r="D13" s="26" t="str">
        <x:v>Created value × capture rate</x:v>
      </x:c>
      <x:c r="F13" s="26" t="str">
        <x:v>Indigenous model records</x:v>
      </x:c>
      <x:c r="G13" s="26" t="n">
        <x:f>COUNTA(Indigenous_Models!A5:A14)</x:f>
        <x:v>10</x:v>
      </x:c>
      <x:c r="H13" s="26" t="str">
        <x:v>Ownership and revenue mechanisms</x:v>
      </x:c>
    </x:row>
    <x:row r="14">
      <x:c r="A14" s="26" t="str">
        <x:v>Included existing public-fund base ($B)</x:v>
      </x:c>
      <x:c r="B14" s="93" t="n">
        <x:f>Public_Funds!D11</x:f>
        <x:v>32.424727415999996</x:v>
      </x:c>
      <x:c r="C14" s="26" t="str">
        <x:v>Mixed</x:v>
      </x:c>
      <x:c r="D14" s="26" t="str">
        <x:v>Only funds marked 'Yes'</x:v>
      </x:c>
      <x:c r="F14" s="26" t="str">
        <x:v>Constitutional allocation records</x:v>
      </x:c>
      <x:c r="G14" s="26" t="n">
        <x:f>COUNTA(Constitution_Map!A5:A16)</x:f>
        <x:v>12</x:v>
      </x:c>
      <x:c r="H14" s="26" t="str">
        <x:v>Legal starting points</x:v>
      </x:c>
    </x:row>
    <x:row r="15">
      <x:c r="A15" s="26" t="str">
        <x:v>Base annual wealth-fund deposits ($B)</x:v>
      </x:c>
      <x:c r="B15" s="93" t="n">
        <x:f>SWF_Scenario!C10</x:f>
        <x:v>16.063529848500004</x:v>
      </x:c>
      <x:c r="C15" s="26" t="str">
        <x:v>Modelled</x:v>
      </x:c>
      <x:c r="D15" s="26" t="str">
        <x:v>Resource + infrastructure + industrial returns</x:v>
      </x:c>
      <x:c r="F15" s="26" t="str">
        <x:v>National taxes on property — 2024</x:v>
      </x:c>
      <x:c r="G15" s="126" t="n">
        <x:f>Land_Property!C10</x:f>
        <x:v>103.254</x:v>
      </x:c>
      <x:c r="H15" s="26" t="str">
        <x:v>Verified aggregate</x:v>
      </x:c>
    </x:row>
    <x:row r="16">
      <x:c r="A16" s="26" t="str">
        <x:v>Base fund value after 30 years ($B)</x:v>
      </x:c>
      <x:c r="B16" s="93" t="n">
        <x:f>SWF_Scenario!C47</x:f>
        <x:v>1357.1708846735053</x:v>
      </x:c>
      <x:c r="C16" s="26" t="str">
        <x:v>Modelled</x:v>
      </x:c>
      <x:c r="D16" s="26" t="str">
        <x:v>Scenario path, nominal dollars</x:v>
      </x:c>
      <x:c r="F16" s="26" t="str">
        <x:v>Alberta oil/gas closure liability</x:v>
      </x:c>
      <x:c r="G16" s="126" t="n">
        <x:f>Closure_Security!E5</x:f>
        <x:v>36.6</x:v>
      </x:c>
      <x:c r="H16" s="26" t="str">
        <x:v>Liability stock</x:v>
      </x:c>
    </x:row>
    <x:row r="17">
      <x:c r="A17" s="26" t="str">
        <x:v>High-concentration industries (HHI &gt;2,500)</x:v>
      </x:c>
      <x:c r="B17" s="111" t="n">
        <x:f>Concentration!F8</x:f>
        <x:v>27</x:v>
      </x:c>
      <x:c r="C17" s="26" t="str">
        <x:v>Verified 2018 benchmark</x:v>
      </x:c>
      <x:c r="D17" s="26" t="str">
        <x:v>Competition Bureau broad-industry count</x:v>
      </x:c>
      <x:c r="F17" s="26" t="str">
        <x:v>Alberta 2024 closure activity</x:v>
      </x:c>
      <x:c r="G17" s="126" t="n">
        <x:f>SUM(Closure_Security!E6:E7)</x:f>
        <x:v>1.0190000000000001</x:v>
      </x:c>
      <x:c r="H17" s="26" t="str">
        <x:v>Licensees + OWA</x:v>
      </x:c>
    </x:row>
    <x:row r="18">
      <x:c r="F18" s="26" t="str">
        <x:v>Commodity rent rows complete</x:v>
      </x:c>
      <x:c r="G18" s="26" t="n">
        <x:v>0</x:v>
      </x:c>
      <x:c r="H18" s="26" t="str">
        <x:v>0 of 12</x:v>
      </x:c>
    </x:row>
    <x:row r="19" ht="22" customHeight="1">
      <x:c r="A19" s="22"/>
      <x:c r="B19" s="22"/>
      <x:c r="C19" s="22"/>
      <x:c r="D19" s="22"/>
      <x:c r="E19" s="22"/>
      <x:c r="F19" s="92" t="str">
        <x:v>CGFS rent vectors mapped</x:v>
      </x:c>
      <x:c r="G19" s="92" t="n">
        <x:v>14</x:v>
      </x:c>
      <x:c r="H19" s="92" t="str">
        <x:v>Federal + 13 provinces/territories</x:v>
      </x:c>
      <x:c r="I19" s="22"/>
      <x:c r="J19" s="22"/>
      <x:c r="K19" s="22"/>
      <x:c r="L19" s="22"/>
    </x:row>
    <x:row r="20" ht="30" customHeight="1">
      <x:c r="A20" s="32"/>
      <x:c r="B20" s="32"/>
      <x:c r="C20" s="32"/>
      <x:c r="D20" s="32"/>
      <x:c r="F20" s="26" t="str">
        <x:v>CGFS standardized values extracted</x:v>
      </x:c>
      <x:c r="G20" s="26" t="n">
        <x:v>14</x:v>
      </x:c>
      <x:c r="H20" s="26" t="str">
        <x:v>PASS — 14 of 14</x:v>
      </x:c>
    </x:row>
    <x:row r="21">
      <x:c r="A21" s="26"/>
      <x:c r="B21" s="75"/>
      <x:c r="C21" s="26"/>
      <x:c r="D21" s="26"/>
      <x:c r="F21" s="26" t="str">
        <x:v>Alberta transfer security collected</x:v>
      </x:c>
      <x:c r="G21" s="401" t="n">
        <x:v>0.0254</x:v>
      </x:c>
      <x:c r="H21" s="26" t="str">
        <x:v>2024 table total</x:v>
      </x:c>
    </x:row>
    <x:row r="22">
      <x:c r="A22" s="26"/>
      <x:c r="B22" s="75"/>
      <x:c r="C22" s="26"/>
      <x:c r="D22" s="26"/>
      <x:c r="F22" s="26" t="str">
        <x:v>Alberta Heritage deposit</x:v>
      </x:c>
      <x:c r="G22" s="401" t="n">
        <x:v>2.8</x:v>
      </x:c>
      <x:c r="H22" s="26" t="str">
        <x:v>2025-26 from 2024-25 surplus cash</x:v>
      </x:c>
    </x:row>
    <x:row r="23">
      <x:c r="A23" s="26"/>
      <x:c r="B23" s="26"/>
      <x:c r="C23" s="26"/>
      <x:c r="D23" s="26"/>
      <x:c r="F23" s="26" t="str">
        <x:v>NL public-account comparator</x:v>
      </x:c>
      <x:c r="G23" s="183" t="n">
        <x:v>1.306572</x:v>
      </x:c>
      <x:c r="H23" s="26" t="str">
        <x:v>2024-25 partial</x:v>
      </x:c>
    </x:row>
    <x:row r="24">
      <x:c r="A24" s="26"/>
      <x:c r="B24" s="26"/>
      <x:c r="C24" s="26"/>
      <x:c r="D24" s="26"/>
      <x:c r="F24" s="26" t="str">
        <x:v>NL Future Fund contribution</x:v>
      </x:c>
      <x:c r="G24" s="183" t="n">
        <x:v>0.072614</x:v>
      </x:c>
      <x:c r="H24" s="26" t="str">
        <x:v>Traced saving transaction</x:v>
      </x:c>
    </x:row>
    <x:row r="25">
      <x:c r="A25" s="342"/>
      <x:c r="B25" s="342"/>
      <x:c r="C25" s="342"/>
      <x:c r="D25" s="342"/>
      <x:c r="F25" s="26" t="str">
        <x:v>NB public-account comparator</x:v>
      </x:c>
      <x:c r="G25" s="183" t="n">
        <x:v>0.0722289</x:v>
      </x:c>
      <x:c r="H25" s="26" t="str">
        <x:v>2024-25 partial</x:v>
      </x:c>
    </x:row>
    <x:row r="26">
      <x:c r="A26" s="363"/>
      <x:c r="B26" s="364"/>
      <x:c r="C26" s="364"/>
      <x:c r="D26" s="365"/>
      <x:c r="F26" s="26" t="str">
        <x:v>NB designated First Nations royalties</x:v>
      </x:c>
      <x:c r="G26" s="183" t="n">
        <x:v>0.0034889</x:v>
      </x:c>
      <x:c r="H26" s="26" t="str">
        <x:v>Inside gross royalty total</x:v>
      </x:c>
    </x:row>
    <x:row r="27">
      <x:c r="A27" s="366"/>
      <x:c r="B27" s="404"/>
      <x:c r="C27" s="153"/>
      <x:c r="D27" s="367"/>
      <x:c r="F27" s="26" t="str">
        <x:v>NB mine-reclamation capital spending</x:v>
      </x:c>
      <x:c r="G27" s="183" t="n">
        <x:v>0.0005103</x:v>
      </x:c>
      <x:c r="H27" s="26" t="str">
        <x:v>Annual spending flow</x:v>
      </x:c>
    </x:row>
    <x:row r="28">
      <x:c r="A28" s="366"/>
      <x:c r="B28" s="404"/>
      <x:c r="C28" s="153"/>
      <x:c r="D28" s="367"/>
      <x:c r="F28" s="26" t="str">
        <x:v>CGFS extraction URLs generated</x:v>
      </x:c>
      <x:c r="G28" s="26" t="n">
        <x:v>14</x:v>
      </x:c>
      <x:c r="H28" s="26" t="str">
        <x:v>All jurisdictions</x:v>
      </x:c>
    </x:row>
    <x:row r="29">
      <x:c r="A29" s="368"/>
      <x:c r="B29" s="369"/>
      <x:c r="C29" s="369"/>
      <x:c r="D29" s="370"/>
      <x:c r="F29" s="26" t="str">
        <x:v>CGFS scalar/precision records applied</x:v>
      </x:c>
      <x:c r="G29" s="26" t="n">
        <x:v>28</x:v>
      </x:c>
      <x:c r="H29" s="26" t="str">
        <x:v>PASS — 28 of 28</x:v>
      </x:c>
    </x:row>
    <x:row r="30">
      <x:c r="F30" s="26" t="str">
        <x:v>Official accounting diagnostics populated</x:v>
      </x:c>
      <x:c r="G30" s="26" t="n">
        <x:v>1</x:v>
      </x:c>
      <x:c r="H30" s="26" t="str">
        <x:v>Oil and gas sector</x:v>
      </x:c>
    </x:row>
    <x:row r="31">
      <x:c r="A31" s="465"/>
      <x:c r="B31" s="465"/>
      <x:c r="C31" s="465"/>
      <x:c r="D31" s="465"/>
      <x:c r="F31" s="26" t="str">
        <x:v>Economic-rent commodity rows complete</x:v>
      </x:c>
      <x:c r="G31" s="26" t="n">
        <x:v>0</x:v>
      </x:c>
      <x:c r="H31" s="26" t="str">
        <x:v>0 of 12</x:v>
      </x:c>
    </x:row>
    <x:row r="32">
      <x:c r="A32" s="427"/>
      <x:c r="B32" s="428"/>
      <x:c r="C32" s="428"/>
      <x:c r="D32" s="432"/>
      <x:c r="F32" s="499" t="str">
        <x:v>Observed national rent-capture rate</x:v>
      </x:c>
      <x:c r="G32" s="500"/>
      <x:c r="H32" s="502" t="str">
        <x:v>SUPPRESSED</x:v>
      </x:c>
    </x:row>
    <x:row r="33">
      <x:c r="A33" s="433"/>
      <x:c r="B33" s="404"/>
      <x:c r="C33" s="153"/>
      <x:c r="D33" s="436"/>
      <x:c r="F33" s="26" t="str">
        <x:v>Public-account reconciliations complete</x:v>
      </x:c>
      <x:c r="G33" s="26" t="n">
        <x:v>0</x:v>
      </x:c>
      <x:c r="H33" s="26" t="str">
        <x:v>0 of 14</x:v>
      </x:c>
    </x:row>
    <x:row r="34">
      <x:c r="A34" s="433"/>
      <x:c r="B34" s="404"/>
      <x:c r="C34" s="153"/>
      <x:c r="D34" s="436"/>
      <x:c r="F34" s="26" t="str">
        <x:v>2024 standardized CGFS rent total</x:v>
      </x:c>
      <x:c r="G34" s="126" t="n">
        <x:v>30.074</x:v>
      </x:c>
      <x:c r="H34" s="26" t="str">
        <x:v>Government-finance rent; preliminary</x:v>
      </x:c>
    </x:row>
    <x:row r="35">
      <x:c r="A35" s="437"/>
      <x:c r="B35" s="438"/>
      <x:c r="C35" s="438"/>
      <x:c r="D35" s="442"/>
      <x:c r="F35" s="26" t="str">
        <x:v>2024 standardized CGFS property tax</x:v>
      </x:c>
      <x:c r="G35" s="126" t="n">
        <x:v>16.011</x:v>
      </x:c>
      <x:c r="H35" s="26" t="str">
        <x:v>Federal + provincial/territorial</x:v>
      </x:c>
    </x:row>
    <x:row r="36">
      <x:c r="F36" s="26" t="str">
        <x:v>Preliminary observations</x:v>
      </x:c>
      <x:c r="G36" s="26" t="n">
        <x:v>28</x:v>
      </x:c>
      <x:c r="H36" s="26" t="str">
        <x:v>All symbol p</x:v>
      </x:c>
    </x:row>
    <x:row r="37">
      <x:c r="A37" s="505"/>
      <x:c r="B37" s="505"/>
      <x:c r="C37" s="505"/>
      <x:c r="D37" s="505"/>
      <x:c r="F37" s="26" t="str">
        <x:v>Jurisdiction differences provisionally classified</x:v>
      </x:c>
      <x:c r="G37" s="26" t="n">
        <x:v>8</x:v>
      </x:c>
      <x:c r="H37" s="26" t="str">
        <x:v>8 of 14</x:v>
      </x:c>
    </x:row>
    <x:row r="38">
      <x:c r="A38" s="514"/>
      <x:c r="B38" s="515"/>
      <x:c r="C38" s="515"/>
      <x:c r="D38" s="516"/>
      <x:c r="F38" s="26" t="str">
        <x:v>Jurisdiction final reconciliations</x:v>
      </x:c>
      <x:c r="G38" s="26" t="n">
        <x:v>0</x:v>
      </x:c>
      <x:c r="H38" s="26" t="str">
        <x:v>0 of 14</x:v>
      </x:c>
    </x:row>
    <x:row r="39">
      <x:c r="A39" s="517"/>
      <x:c r="B39" s="404"/>
      <x:c r="C39" s="153"/>
      <x:c r="D39" s="518"/>
      <x:c r="F39" s="26" t="str">
        <x:v>CGFS component observations imported</x:v>
      </x:c>
      <x:c r="G39" s="707" t="n">
        <x:f>Rent_Evidence_Receipt!B8</x:f>
        <x:v>82</x:v>
      </x:c>
      <x:c r="H39" s="26" t="str">
        <x:v>PASS — 82 valid official rent observations</x:v>
      </x:c>
    </x:row>
    <x:row r="40">
      <x:c r="A40" s="517"/>
      <x:c r="B40" s="404"/>
      <x:c r="C40" s="153"/>
      <x:c r="D40" s="518"/>
      <x:c r="F40" s="26" t="str">
        <x:v>Commodity output controls populated</x:v>
      </x:c>
      <x:c r="G40" s="26" t="n">
        <x:v>12</x:v>
      </x:c>
      <x:c r="H40" s="26" t="str">
        <x:v>Boundary diagnostics only</x:v>
      </x:c>
    </x:row>
    <x:row r="41">
      <x:c r="A41" s="519"/>
      <x:c r="B41" s="520"/>
      <x:c r="C41" s="520"/>
      <x:c r="D41" s="521"/>
      <x:c r="F41" s="26" t="str">
        <x:v>CGFS component jurisdictions balanced</x:v>
      </x:c>
      <x:c r="G41" s="26" t="n">
        <x:v>14</x:v>
      </x:c>
      <x:c r="H41" s="26" t="str">
        <x:v>14 of 14 after federal correction</x:v>
      </x:c>
    </x:row>
    <x:row r="42">
      <x:c r="F42" s="26" t="str">
        <x:v>Federal non-rent vectors rejected</x:v>
      </x:c>
      <x:c r="G42" s="26" t="n">
        <x:v>2</x:v>
      </x:c>
      <x:c r="H42" s="26" t="str">
        <x:v>Sales and administrative fees</x:v>
      </x:c>
    </x:row>
    <x:row r="43">
      <x:c r="F43" s="26" t="str">
        <x:v>NRSA target rows imported</x:v>
      </x:c>
      <x:c r="G43" s="26" t="n">
        <x:v>64</x:v>
      </x:c>
      <x:c r="H43" s="26" t="str">
        <x:v>Output and GDP controls</x:v>
      </x:c>
    </x:row>
    <x:row r="44">
      <x:c r="F44" s="26" t="str">
        <x:v>Input-output target rows imported</x:v>
      </x:c>
      <x:c r="G44" s="26" t="n">
        <x:v>12330</x:v>
      </x:c>
      <x:c r="H44" s="26" t="str">
        <x:v>Industry controls</x:v>
      </x:c>
    </x:row>
    <x:row r="45">
      <x:c r="F45" s="26" t="str">
        <x:v>Capital target rows imported</x:v>
      </x:c>
      <x:c r="G45" s="26" t="n">
        <x:v>480</x:v>
      </x:c>
      <x:c r="H45" s="26" t="str">
        <x:v>Geometric controls available</x:v>
      </x:c>
    </x:row>
    <x:row r="46">
      <x:c r="F46" s="26" t="str">
        <x:v>Labour target rows imported</x:v>
      </x:c>
      <x:c r="G46" s="26" t="n">
        <x:v>10</x:v>
      </x:c>
      <x:c r="H46" s="26" t="str">
        <x:v>Rows found; manifest amounts rejected</x:v>
      </x:c>
    </x:row>
    <x:row r="47">
      <x:c r="F47" s="26" t="str">
        <x:v>Detailed compensation benchmarks</x:v>
      </x:c>
      <x:c r="G47" s="26" t="n">
        <x:f>Rent_Evidence_Receipt!B13</x:f>
        <x:v>10</x:v>
      </x:c>
      <x:c r="H47" s="26" t="str">
        <x:v>Local archives verified; corrected values</x:v>
      </x:c>
    </x:row>
    <x:row r="48">
      <x:c r="A48" s="719"/>
      <x:c r="B48" s="719"/>
      <x:c r="C48" s="719"/>
      <x:c r="D48" s="719"/>
      <x:c r="F48" s="26" t="str">
        <x:v>Labour production-account rows</x:v>
      </x:c>
      <x:c r="G48" s="26" t="n">
        <x:v>10</x:v>
      </x:c>
      <x:c r="H48" s="26" t="str">
        <x:v>Already available in input-output table</x:v>
      </x:c>
    </x:row>
    <x:row r="49">
      <x:c r="A49" s="740"/>
      <x:c r="B49" s="741"/>
      <x:c r="C49" s="741"/>
      <x:c r="D49" s="742"/>
      <x:c r="F49" s="26" t="str">
        <x:v>Commodity labour allocations complete</x:v>
      </x:c>
      <x:c r="G49" s="26" t="n">
        <x:v>0</x:v>
      </x:c>
      <x:c r="H49" s="26" t="str">
        <x:v>0 of 12</x:v>
      </x:c>
    </x:row>
    <x:row r="50">
      <x:c r="A50" s="743"/>
      <x:c r="B50" s="404"/>
      <x:c r="C50" s="153"/>
      <x:c r="D50" s="744"/>
      <x:c r="F50" s="26" t="str">
        <x:v>Accepted v0.2.2 manifest writes</x:v>
      </x:c>
      <x:c r="G50" s="26" t="n">
        <x:v>170</x:v>
      </x:c>
      <x:c r="H50" s="26" t="str">
        <x:v>170 of 180</x:v>
      </x:c>
    </x:row>
    <x:row r="51">
      <x:c r="A51" s="888"/>
      <x:c r="B51" s="889"/>
      <x:c r="C51" s="890"/>
      <x:c r="D51" s="888"/>
      <x:c r="F51" s="26" t="str">
        <x:v>Rejected labour value writes</x:v>
      </x:c>
      <x:c r="G51" s="26" t="n">
        <x:v>10</x:v>
      </x:c>
      <x:c r="H51" s="26" t="str">
        <x:v>Corrected by UOM</x:v>
      </x:c>
    </x:row>
    <x:row r="52">
      <x:c r="A52" s="891"/>
      <x:c r="B52" s="892"/>
      <x:c r="C52" s="892"/>
      <x:c r="D52" s="893"/>
      <x:c r="F52" s="26" t="str">
        <x:v>Direct capital controls</x:v>
      </x:c>
      <x:c r="G52" s="26" t="n">
        <x:v>2</x:v>
      </x:c>
      <x:c r="H52" s="26" t="str">
        <x:v>Forestry and conventional oil/gas</x:v>
      </x:c>
    </x:row>
    <x:row r="53">
      <x:c r="A53" s="894"/>
      <x:c r="B53" s="404"/>
      <x:c r="C53" s="153"/>
      <x:c r="D53" s="895"/>
      <x:c r="F53" s="26" t="str">
        <x:v>Residual aggregate capital controls</x:v>
      </x:c>
      <x:c r="G53" s="26" t="n">
        <x:v>1</x:v>
      </x:c>
      <x:c r="H53" s="26" t="str">
        <x:v>Oil sands plus mining combined</x:v>
      </x:c>
    </x:row>
    <x:row r="54">
      <x:c r="A54" s="894"/>
      <x:c r="B54" s="404"/>
      <x:c r="C54" s="153"/>
      <x:c r="D54" s="895"/>
    </x:row>
    <x:row r="55">
      <x:c r="A55" s="976" t="str">
        <x:v>Evidence quality</x:v>
      </x:c>
      <x:c r="B55" s="976"/>
      <x:c r="C55" s="976"/>
      <x:c r="D55" s="976"/>
    </x:row>
    <x:row r="56">
      <x:c r="A56" s="977" t="str">
        <x:v>Metric</x:v>
      </x:c>
      <x:c r="B56" s="978" t="str">
        <x:v>Value</x:v>
      </x:c>
      <x:c r="C56" s="978" t="str">
        <x:v>Threshold</x:v>
      </x:c>
      <x:c r="D56" s="979" t="str">
        <x:v>Meaning</x:v>
      </x:c>
    </x:row>
    <x:row r="57">
      <x:c r="A57" s="980" t="str">
        <x:v>Verified input coverage</x:v>
      </x:c>
      <x:c r="B57" s="404"/>
      <x:c r="C57" s="153" t="str">
        <x:v>REMOVED</x:v>
      </x:c>
      <x:c r="D57" s="981" t="str">
        <x:v>Prior 55% coverage figure was a subjective approximation, not a mechanically reproducible statistic.</x:v>
      </x:c>
    </x:row>
    <x:row r="58">
      <x:c r="A58" s="980" t="str">
        <x:v>Data-needed coverage</x:v>
      </x:c>
      <x:c r="B58" s="404" t="n">
        <x:v>0.43</x:v>
      </x:c>
      <x:c r="C58" s="153" t="str">
        <x:v>&lt; 10%</x:v>
      </x:c>
      <x:c r="D58" s="981" t="str">
        <x:v>Commodity capital allocation, normal return and final reconciliation remain open</x:v>
      </x:c>
    </x:row>
    <x:row r="59">
      <x:c r="A59" s="982" t="str">
        <x:v>Publication gate</x:v>
      </x:c>
      <x:c r="B59" s="983" t="str">
        <x:v>NOT READY</x:v>
      </x:c>
      <x:c r="C59" s="983" t="str">
        <x:v>PASS only after all locked evidence gates pass</x:v>
      </x:c>
      <x:c r="D59" s="984" t="str">
        <x:v>Corrected labour evidence does not authorize commodity or national rent rates</x:v>
      </x:c>
    </x:row>
  </x:sheetData>
  <x:mergeCells>
    <x:mergeCell ref="A1:L1"/>
    <x:mergeCell ref="A2:L2"/>
    <x:mergeCell ref="A4:L4"/>
    <x:mergeCell ref="A19:L19"/>
  </x:mergeCells>
  <x:conditionalFormatting sqref="B24:B24">
    <x:cfRule type="expression" dxfId="0" priority="1">
      <x:formula>B24="PASS"</x:formula>
    </x:cfRule>
    <x:cfRule type="expression" dxfId="1" priority="2">
      <x:formula>B24&lt;&gt;"PASS"</x:formula>
    </x:cfRule>
  </x:conditionalFormatting>
  <x:pageMargins left="0.7" right="0.7" top="0.75" bottom="0.75" header="0.3" footer="0.3"/>
  <x:drawing xmlns:r="http://schemas.openxmlformats.org/officeDocument/2006/relationships" r:id="R5b43ab42248f40ec"/>
</x:worksheet>
</file>

<file path=xl/worksheets/sheet12.xml><?xml version="1.0" encoding="utf-8"?>
<x:worksheet xmlns:x="http://schemas.openxmlformats.org/spreadsheetml/2006/main">
  <x:sheetFormatPr defaultRowHeight="15"/>
  <x:cols>
    <x:col min="1" max="1" width="14" hidden="0" customWidth="1"/>
    <x:col min="2" max="2" width="13" hidden="0" customWidth="1"/>
    <x:col min="3" max="3" width="22" hidden="0" customWidth="1"/>
    <x:col min="4" max="4" width="44" hidden="0" customWidth="1"/>
    <x:col min="5" max="5" width="46" hidden="0" customWidth="1"/>
    <x:col min="6" max="6" width="23" hidden="0" customWidth="1"/>
    <x:col min="7" max="7" width="24" hidden="0" customWidth="1"/>
    <x:col min="8" max="8" width="42" hidden="0" customWidth="1"/>
  </x:cols>
  <x:sheetData>
    <x:row r="1" ht="28" customHeight="1">
      <x:c r="A1" s="131" t="str">
        <x:v>Canadian Rent Model — Research and Discovery Log</x:v>
      </x:c>
      <x:c r="B1" s="131"/>
      <x:c r="C1" s="131"/>
      <x:c r="D1" s="131"/>
      <x:c r="E1" s="131"/>
      <x:c r="F1" s="131"/>
      <x:c r="G1" s="131"/>
      <x:c r="H1" s="131"/>
    </x:row>
    <x:row r="2" ht="34" customHeight="1">
      <x:c r="A2" s="134" t="str">
        <x:v>Verified findings, model corrections and unresolved evidence gaps. No finding becomes a national headline until the underlying dataset is complete.</x:v>
      </x:c>
      <x:c r="B2" s="134"/>
      <x:c r="C2" s="134"/>
      <x:c r="D2" s="134"/>
      <x:c r="E2" s="134"/>
      <x:c r="F2" s="134"/>
      <x:c r="G2" s="134"/>
      <x:c r="H2" s="134"/>
    </x:row>
    <x:row r="4" ht="32" customHeight="1">
      <x:c r="A4" s="139" t="str">
        <x:v>Finding ID</x:v>
      </x:c>
      <x:c r="B4" s="139" t="str">
        <x:v>Verified date</x:v>
      </x:c>
      <x:c r="C4" s="139" t="str">
        <x:v>Topic</x:v>
      </x:c>
      <x:c r="D4" s="139" t="str">
        <x:v>Finding</x:v>
      </x:c>
      <x:c r="E4" s="139" t="str">
        <x:v>Model consequence</x:v>
      </x:c>
      <x:c r="F4" s="139" t="str">
        <x:v>Status</x:v>
      </x:c>
      <x:c r="G4" s="139" t="str">
        <x:v>Metric / value</x:v>
      </x:c>
      <x:c r="H4" s="139" t="str">
        <x:v>Source URL</x:v>
      </x:c>
    </x:row>
    <x:row r="5">
      <x:c r="A5" s="167" t="str">
        <x:v>RENT-001</x:v>
      </x:c>
      <x:c r="B5" s="173" t="str">
        <x:v>2026-08-02</x:v>
      </x:c>
      <x:c r="C5" s="159" t="str">
        <x:v>Resource revenue</x:v>
      </x:c>
      <x:c r="D5" s="159" t="str">
        <x:v>Alberta received $21.986B in actual non-renewable resource revenue in 2024-25.</x:v>
      </x:c>
      <x:c r="E5" s="159" t="str">
        <x:v>Use as an observed capture input; do not compare directly with a multi-year resource-wealth stock.</x:v>
      </x:c>
      <x:c r="F5" s="159" t="str">
        <x:v>Verified</x:v>
      </x:c>
      <x:c r="G5" s="170" t="str">
        <x:v>$21.986B</x:v>
      </x:c>
      <x:c r="H5" s="160" t="str">
        <x:v>https://www.alberta.ca/revenue</x:v>
      </x:c>
    </x:row>
    <x:row r="6">
      <x:c r="A6" s="168" t="str">
        <x:v>MODEL-001</x:v>
      </x:c>
      <x:c r="B6" s="174" t="str">
        <x:v>2026-08-02</x:v>
      </x:c>
      <x:c r="C6" s="162" t="str">
        <x:v>Stock versus flow</x:v>
      </x:c>
      <x:c r="D6" s="162" t="str">
        <x:v>Statistics Canada's natural-resource wealth is the discounted present value of future resource rents.</x:v>
      </x:c>
      <x:c r="E6" s="162" t="str">
        <x:v>The $1.362T resource-wealth stock cannot be treated as one year's rent or leakage.</x:v>
      </x:c>
      <x:c r="F6" s="162" t="str">
        <x:v>Model correction</x:v>
      </x:c>
      <x:c r="G6" s="171" t="str">
        <x:v>$1.362T stock</x:v>
      </x:c>
      <x:c r="H6" s="163" t="str">
        <x:v>https://www150.statcan.gc.ca/n1/pub/13-605-x/2015009/article/14239-eng.htm</x:v>
      </x:c>
    </x:row>
    <x:row r="7">
      <x:c r="A7" s="168" t="str">
        <x:v>TAX-001</x:v>
      </x:c>
      <x:c r="B7" s="174" t="str">
        <x:v>2026-08-02</x:v>
      </x:c>
      <x:c r="C7" s="162" t="str">
        <x:v>Property tax</x:v>
      </x:c>
      <x:c r="D7" s="162" t="str">
        <x:v>Property reassessment normally changes each owner's share, not the total revenue collected.</x:v>
      </x:c>
      <x:c r="E7" s="162" t="str">
        <x:v>Do not multiply rising assessments by a fixed rate and label the change observed public revenue.</x:v>
      </x:c>
      <x:c r="F7" s="162" t="str">
        <x:v>Model correction</x:v>
      </x:c>
      <x:c r="G7" s="171" t="str">
        <x:v>Revenue-neutral reassessment</x:v>
      </x:c>
      <x:c r="H7" s="163" t="str">
        <x:v>https://www.calgary.ca/property-owners/assessment/ask-the-assessor.html</x:v>
      </x:c>
    </x:row>
    <x:row r="8">
      <x:c r="A8" s="168" t="str">
        <x:v>TAX-002</x:v>
      </x:c>
      <x:c r="B8" s="174" t="str">
        <x:v>2026-08-02</x:v>
      </x:c>
      <x:c r="C8" s="162" t="str">
        <x:v>Property tax</x:v>
      </x:c>
      <x:c r="D8" s="162" t="str">
        <x:v>Newfoundland and Labrador local governments recorded $539M in taxes on property in 2024.</x:v>
      </x:c>
      <x:c r="E8" s="162" t="str">
        <x:v>First verified provincial property-tax input; national aggregation remains incomplete.</x:v>
      </x:c>
      <x:c r="F8" s="162" t="str">
        <x:v>Verified</x:v>
      </x:c>
      <x:c r="G8" s="171" t="str">
        <x:v>$0.539B</x:v>
      </x:c>
      <x:c r="H8" s="163" t="str">
        <x:v>https://www150.statcan.gc.ca/t1/tbl1/en/tv.action?pid=1010002001</x:v>
      </x:c>
    </x:row>
    <x:row r="9">
      <x:c r="A9" s="168" t="str">
        <x:v>FUND-001</x:v>
      </x:c>
      <x:c r="B9" s="174" t="str">
        <x:v>2026-08-02</x:v>
      </x:c>
      <x:c r="C9" s="162" t="str">
        <x:v>Permanent public funds</x:v>
      </x:c>
      <x:c r="D9" s="162" t="str">
        <x:v>Québec's Generations Fund had a $16.644B book value at March 31, 2026; fair value was $20.1B at December 31, 2025.</x:v>
      </x:c>
      <x:c r="E9" s="162" t="str">
        <x:v>Record separately from a distributable sovereign fund because its mandate is debt reduction.</x:v>
      </x:c>
      <x:c r="F9" s="162" t="str">
        <x:v>Verified</x:v>
      </x:c>
      <x:c r="G9" s="171" t="str">
        <x:v>$16.644B book value</x:v>
      </x:c>
      <x:c r="H9" s="163" t="str">
        <x:v>https://www.finances.gouv.qc.ca/Budget_and_update/budget/documents/Budget2627_BudgetPlan.pdf</x:v>
      </x:c>
    </x:row>
    <x:row r="10">
      <x:c r="A10" s="168" t="str">
        <x:v>FUND-002</x:v>
      </x:c>
      <x:c r="B10" s="174" t="str">
        <x:v>2026-08-02</x:v>
      </x:c>
      <x:c r="C10" s="162" t="str">
        <x:v>Permanent public funds</x:v>
      </x:c>
      <x:c r="D10" s="162" t="str">
        <x:v>Newfoundland and Labrador's Future Fund was worth $524.727M at December 31, 2025.</x:v>
      </x:c>
      <x:c r="E10" s="162" t="str">
        <x:v>Use fund value rather than contributions; disclose its restricted purpose.</x:v>
      </x:c>
      <x:c r="F10" s="162" t="str">
        <x:v>Verified</x:v>
      </x:c>
      <x:c r="G10" s="171" t="str">
        <x:v>$0.524727B</x:v>
      </x:c>
      <x:c r="H10" s="163" t="str">
        <x:v>https://investorrelations.gov.nl.ca/futurefund/default.aspx</x:v>
      </x:c>
    </x:row>
    <x:row r="11">
      <x:c r="A11" s="168" t="str">
        <x:v>GOV-001</x:v>
      </x:c>
      <x:c r="B11" s="174" t="str">
        <x:v>2026-08-02</x:v>
      </x:c>
      <x:c r="C11" s="162" t="str">
        <x:v>Fund governance</x:v>
      </x:c>
      <x:c r="D11" s="162" t="str">
        <x:v>Newfoundland and Labrador removed mandatory annual Future Fund deposits in 2026 while restricting withdrawals to debt and liabilities.</x:v>
      </x:c>
      <x:c r="E11" s="162" t="str">
        <x:v>Deposit rules are politically reversible; a Productive Commonwealth fund needs stronger governance and deposit discipline.</x:v>
      </x:c>
      <x:c r="F11" s="162" t="str">
        <x:v>Verified</x:v>
      </x:c>
      <x:c r="G11" s="171" t="str">
        <x:v>2026 statutory change</x:v>
      </x:c>
      <x:c r="H11" s="163" t="str">
        <x:v>https://www.gov.nl.ca/releases/2026/fin/0505n04/</x:v>
      </x:c>
    </x:row>
    <x:row r="12">
      <x:c r="A12" s="168" t="str">
        <x:v>VCAP-001</x:v>
      </x:c>
      <x:c r="B12" s="174" t="str">
        <x:v>2026-08-02</x:v>
      </x:c>
      <x:c r="C12" s="162" t="str">
        <x:v>Infrastructure value capture</x:v>
      </x:c>
      <x:c r="D12" s="162" t="str">
        <x:v>Calgary reports over $400M of East Village infrastructure investment and about $3.9B in planned private investment.</x:v>
      </x:c>
      <x:c r="E12" s="162" t="str">
        <x:v>Treat as a financing and leverage case, not proof that public spending caused all private value.</x:v>
      </x:c>
      <x:c r="F12" s="162" t="str">
        <x:v>Verified with limitation</x:v>
      </x:c>
      <x:c r="G12" s="171" t="str">
        <x:v>$0.4B / $3.9B planned</x:v>
      </x:c>
      <x:c r="H12" s="163" t="str">
        <x:v>https://www.calgarymlc.ca/districts/east-village</x:v>
      </x:c>
    </x:row>
    <x:row r="13">
      <x:c r="A13" s="168" t="str">
        <x:v>VCAP-002</x:v>
      </x:c>
      <x:c r="B13" s="174" t="str">
        <x:v>2026-08-02</x:v>
      </x:c>
      <x:c r="C13" s="162" t="str">
        <x:v>Infrastructure value capture</x:v>
      </x:c>
      <x:c r="D13" s="162" t="str">
        <x:v>Edmonton reports $383M in Downtown CRL projects and a separate $22.9M incentive supporting nine projects worth about $522M.</x:v>
      </x:c>
      <x:c r="E13" s="162" t="str">
        <x:v>Useful case evidence; causal uplift and net fiscal return still require counterfactual analysis.</x:v>
      </x:c>
      <x:c r="F13" s="162" t="str">
        <x:v>Verified with limitation</x:v>
      </x:c>
      <x:c r="G13" s="171" t="str">
        <x:v>$0.383B; $0.0229B / $0.522B</x:v>
      </x:c>
      <x:c r="H13" s="163" t="str">
        <x:v>https://www.edmonton.ca/projects_plans/downtown</x:v>
      </x:c>
    </x:row>
    <x:row r="14">
      <x:c r="A14" s="168" t="str">
        <x:v>MODEL-002</x:v>
      </x:c>
      <x:c r="B14" s="174" t="str">
        <x:v>2026-08-02</x:v>
      </x:c>
      <x:c r="C14" s="162" t="str">
        <x:v>Public-fund mandates</x:v>
      </x:c>
      <x:c r="D14" s="162" t="str">
        <x:v>Heritage, debt-reduction, strategic-investment and Indigenous funds are not interchangeable.</x:v>
      </x:c>
      <x:c r="E14" s="162" t="str">
        <x:v>Do not add all public funds into a freely distributable national starting balance.</x:v>
      </x:c>
      <x:c r="F14" s="162" t="str">
        <x:v>Model correction</x:v>
      </x:c>
      <x:c r="G14" s="171" t="str">
        <x:v>Mandate separation</x:v>
      </x:c>
      <x:c r="H14" s="163" t="str">
        <x:v>Multiple official sources</x:v>
      </x:c>
    </x:row>
    <x:row r="15">
      <x:c r="A15" s="169" t="str">
        <x:v>GATE-001</x:v>
      </x:c>
      <x:c r="B15" s="175" t="str">
        <x:v>2026-08-02</x:v>
      </x:c>
      <x:c r="C15" s="165" t="str">
        <x:v>Publication gate</x:v>
      </x:c>
      <x:c r="D15" s="165" t="str">
        <x:v>Most provincial resource-revenue and property-tax inputs remain unfilled.</x:v>
      </x:c>
      <x:c r="E15" s="165" t="str">
        <x:v>The national rent-capture total remains a prototype and must not be published as an observed figure.</x:v>
      </x:c>
      <x:c r="F15" s="165" t="str">
        <x:v>Data needed</x:v>
      </x:c>
      <x:c r="G15" s="172" t="str">
        <x:v>NOT READY</x:v>
      </x:c>
      <x:c r="H15" s="166" t="str">
        <x:v>Workbook evidence gate</x:v>
      </x:c>
    </x:row>
    <x:row r="16">
      <x:c r="A16" s="255" t="str">
        <x:v>RENT-002</x:v>
      </x:c>
      <x:c r="B16" s="222" t="str">
        <x:v>2026-08-02</x:v>
      </x:c>
      <x:c r="C16" s="222" t="str">
        <x:v>Resource revenue</x:v>
      </x:c>
      <x:c r="D16" s="222" t="str">
        <x:v>Saskatchewan recorded $2.573657B in non-renewable resource revenue in 2024-25.</x:v>
      </x:c>
      <x:c r="E16" s="222" t="str">
        <x:v>Adds a second large observed provincial capture input with audited commodity components.</x:v>
      </x:c>
      <x:c r="F16" s="222" t="str">
        <x:v>Verified</x:v>
      </x:c>
      <x:c r="G16" s="258" t="str">
        <x:v>$2.573657B</x:v>
      </x:c>
      <x:c r="H16" s="223" t="str">
        <x:v>https://www.saskatchewan.ca/-/media/news-release-backgrounders/2025/jun/2024-25-public-accounts-volume-1-4751.pdf</x:v>
      </x:c>
    </x:row>
    <x:row r="17">
      <x:c r="A17" s="256" t="str">
        <x:v>LIAB-001</x:v>
      </x:c>
      <x:c r="B17" s="162" t="str">
        <x:v>2026-08-02</x:v>
      </x:c>
      <x:c r="C17" s="162" t="str">
        <x:v>Remediation</x:v>
      </x:c>
      <x:c r="D17" s="162" t="str">
        <x:v>Saskatchewan recognized $313.403M of contaminated-site liabilities, including abandoned uranium and metal mines.</x:v>
      </x:c>
      <x:c r="E17" s="162" t="str">
        <x:v>Resource revenue must be displayed beside recognized liabilities and financial security, not as a gross public gain.</x:v>
      </x:c>
      <x:c r="F17" s="162" t="str">
        <x:v>Verified</x:v>
      </x:c>
      <x:c r="G17" s="171" t="str">
        <x:v>$0.313403B</x:v>
      </x:c>
      <x:c r="H17" s="225" t="str">
        <x:v>https://www.saskatchewan.ca/-/media/news-release-backgrounders/2025/jun/2024-25-public-accounts-volume-1-4751.pdf</x:v>
      </x:c>
    </x:row>
    <x:row r="18">
      <x:c r="A18" s="256" t="str">
        <x:v>RENT-003</x:v>
      </x:c>
      <x:c r="B18" s="162" t="str">
        <x:v>2026-08-02</x:v>
      </x:c>
      <x:c r="C18" s="162" t="str">
        <x:v>Resource revenue</x:v>
      </x:c>
      <x:c r="D18" s="162" t="str">
        <x:v>Verified inputs now include Alberta, Saskatchewan, British Columbia, Ontario and Québec, with differing scopes.</x:v>
      </x:c>
      <x:c r="E18" s="162" t="str">
        <x:v>The observed total is an incomplete lower bound and must retain jurisdiction/period warnings.</x:v>
      </x:c>
      <x:c r="F18" s="162" t="str">
        <x:v>Model correction</x:v>
      </x:c>
      <x:c r="G18" s="171" t="str">
        <x:v>Workbook formula</x:v>
      </x:c>
      <x:c r="H18" s="225" t="str">
        <x:v>Royalty_Capture sheet</x:v>
      </x:c>
    </x:row>
    <x:row r="19">
      <x:c r="A19" s="256" t="str">
        <x:v>LEGAL-001</x:v>
      </x:c>
      <x:c r="B19" s="162" t="str">
        <x:v>2026-08-02</x:v>
      </x:c>
      <x:c r="C19" s="162" t="str">
        <x:v>Constitution</x:v>
      </x:c>
      <x:c r="D19" s="162" t="str">
        <x:v>Provincial resource ownership and taxation powers coexist with federal trade, taxation and interprovincial powers.</x:v>
      </x:c>
      <x:c r="E19" s="162" t="str">
        <x:v>A single federal rent-capture system is not a viable default; use federated funds and agreements.</x:v>
      </x:c>
      <x:c r="F19" s="162" t="str">
        <x:v>Verified</x:v>
      </x:c>
      <x:c r="G19" s="171" t="str">
        <x:v>Sections 91, 92, 92A and 109</x:v>
      </x:c>
      <x:c r="H19" s="225" t="str">
        <x:v>https://laws-lois.justice.gc.ca/eng/const/fulltext.html</x:v>
      </x:c>
    </x:row>
    <x:row r="20">
      <x:c r="A20" s="256" t="str">
        <x:v>IND-001</x:v>
      </x:c>
      <x:c r="B20" s="162" t="str">
        <x:v>2026-08-02</x:v>
      </x:c>
      <x:c r="C20" s="162" t="str">
        <x:v>Indigenous ownership</x:v>
      </x:c>
      <x:c r="D20" s="162" t="str">
        <x:v>Loan guarantees now support pipeline, transmission and nuclear-project equity ownership by Indigenous groups.</x:v>
      </x:c>
      <x:c r="E20" s="162" t="str">
        <x:v>Ownership assets must be recorded separately from consultation and annual revenue-sharing payments.</x:v>
      </x:c>
      <x:c r="F20" s="162" t="str">
        <x:v>Verified</x:v>
      </x:c>
      <x:c r="G20" s="171" t="str">
        <x:v>$10B federal program authority</x:v>
      </x:c>
      <x:c r="H20" s="225" t="str">
        <x:v>https://www.canada.ca/en/privy-council/major-projects-office/partnering-indigenous-peoples.html</x:v>
      </x:c>
    </x:row>
    <x:row r="21">
      <x:c r="A21" s="256" t="str">
        <x:v>COMP-001</x:v>
      </x:c>
      <x:c r="B21" s="162" t="str">
        <x:v>2026-08-02</x:v>
      </x:c>
      <x:c r="C21" s="162" t="str">
        <x:v>Concentration</x:v>
      </x:c>
      <x:c r="D21" s="162" t="str">
        <x:v>Top-three mobile operators hold 86.9% of subscribers; six large banks hold about 93% of banking assets.</x:v>
      </x:c>
      <x:c r="E21" s="162" t="str">
        <x:v>These are concentration screens, not proof of unlawful conduct or a collectible rent total.</x:v>
      </x:c>
      <x:c r="F21" s="162" t="str">
        <x:v>Verified with limitation</x:v>
      </x:c>
      <x:c r="G21" s="171" t="str">
        <x:v>86.9%; ~93%</x:v>
      </x:c>
      <x:c r="H21" s="225" t="str">
        <x:v>Official CRTC and Bank of Canada sources</x:v>
      </x:c>
    </x:row>
    <x:row r="22">
      <x:c r="A22" s="256" t="str">
        <x:v>COMP-002</x:v>
      </x:c>
      <x:c r="B22" s="162" t="str">
        <x:v>2026-08-02</x:v>
      </x:c>
      <x:c r="C22" s="162" t="str">
        <x:v>Concentration</x:v>
      </x:c>
      <x:c r="D22" s="162" t="str">
        <x:v>Three plants controlled by two firms account for more than 85% of Canadian beef processing capacity.</x:v>
      </x:c>
      <x:c r="E22" s="162" t="str">
        <x:v>The model must test regional market power, spreads, utilization and entry barriers before estimating rent.</x:v>
      </x:c>
      <x:c r="F22" s="162" t="str">
        <x:v>Verified with limitation</x:v>
      </x:c>
      <x:c r="G22" s="171" t="str">
        <x:v>&gt;85%</x:v>
      </x:c>
      <x:c r="H22" s="225" t="str">
        <x:v>https://www.ourcommons.ca/DocumentViewer/en/44-1/AGRI/report-5/page-30</x:v>
      </x:c>
    </x:row>
    <x:row r="23">
      <x:c r="A23" s="257" t="str">
        <x:v>MODEL-003</x:v>
      </x:c>
      <x:c r="B23" s="227" t="str">
        <x:v>2026-08-02</x:v>
      </x:c>
      <x:c r="C23" s="227" t="str">
        <x:v>Stock versus flow</x:v>
      </x:c>
      <x:c r="D23" s="227" t="str">
        <x:v>Recognized remediation liability is a balance-sheet stock and cannot be mechanically subtracted from one year's royalty flow.</x:v>
      </x:c>
      <x:c r="E23" s="227" t="str">
        <x:v>The dashboard reports revenue flow and liability stock side by side rather than publishing a false net figure.</x:v>
      </x:c>
      <x:c r="F23" s="227" t="str">
        <x:v>Model correction</x:v>
      </x:c>
      <x:c r="G23" s="259" t="str">
        <x:v>Separate ledgers</x:v>
      </x:c>
      <x:c r="H23" s="228" t="str">
        <x:v>Rent_Flow_Method sheet</x:v>
      </x:c>
    </x:row>
    <x:row r="24">
      <x:c r="A24" s="328" t="str">
        <x:v>RENT-004</x:v>
      </x:c>
      <x:c r="B24" s="309" t="str">
        <x:v>2026-08-02</x:v>
      </x:c>
      <x:c r="C24" s="309" t="str">
        <x:v>Territorial revenue</x:v>
      </x:c>
      <x:c r="D24" s="309" t="str">
        <x:v>NWT reported -$4.492M of non-renewable resource revenue in 2024-25 after revising a prior-year accrual.</x:v>
      </x:c>
      <x:c r="E24" s="309" t="str">
        <x:v>Accounting revenue, cash receipts and economic rent must be separate columns.</x:v>
      </x:c>
      <x:c r="F24" s="309" t="str">
        <x:v>Verified</x:v>
      </x:c>
      <x:c r="G24" s="331" t="str">
        <x:v>-$0.004492B</x:v>
      </x:c>
      <x:c r="H24" s="310" t="str">
        <x:v>https://www.fin.gov.nt.ca/sites/fin/files/resources/2024-2025_public_accounts_section_i_-_consolidated_financial_statements.pdf</x:v>
      </x:c>
    </x:row>
    <x:row r="25">
      <x:c r="A25" s="329" t="str">
        <x:v>TAX-003</x:v>
      </x:c>
      <x:c r="B25" s="162" t="str">
        <x:v>2026-08-02</x:v>
      </x:c>
      <x:c r="C25" s="162" t="str">
        <x:v>Property tax</x:v>
      </x:c>
      <x:c r="D25" s="162" t="str">
        <x:v>Consolidated Canadian taxes on property were $103.254B in 2024.</x:v>
      </x:c>
      <x:c r="E25" s="162" t="str">
        <x:v>Use as a national revenue anchor, not as measured land rent or a sum to add to provincial rows.</x:v>
      </x:c>
      <x:c r="F25" s="162" t="str">
        <x:v>Verified</x:v>
      </x:c>
      <x:c r="G25" s="171" t="str">
        <x:v>$103.254B</x:v>
      </x:c>
      <x:c r="H25" s="312" t="str">
        <x:v>https://www150.statcan.gc.ca/t1/tbl1/en/tv.action?pid=1010017201</x:v>
      </x:c>
    </x:row>
    <x:row r="26">
      <x:c r="A26" s="329" t="str">
        <x:v>LIAB-002</x:v>
      </x:c>
      <x:c r="B26" s="162" t="str">
        <x:v>2026-08-02</x:v>
      </x:c>
      <x:c r="C26" s="162" t="str">
        <x:v>Closure liability</x:v>
      </x:c>
      <x:c r="D26" s="162" t="str">
        <x:v>AER estimated Alberta's active and inactive oil/gas closure liability at $36.6B as of December 31, 2024.</x:v>
      </x:c>
      <x:c r="E26" s="162" t="str">
        <x:v>Add a dedicated liability/security ledger; do not subtract the stock from annual royalties.</x:v>
      </x:c>
      <x:c r="F26" s="162" t="str">
        <x:v>Verified</x:v>
      </x:c>
      <x:c r="G26" s="171" t="str">
        <x:v>$36.6B</x:v>
      </x:c>
      <x:c r="H26" s="312" t="str">
        <x:v>https://www.aer.ca/understanding-resource-development/how-we-regulate/oil-and-gas-liability-management</x:v>
      </x:c>
    </x:row>
    <x:row r="27">
      <x:c r="A27" s="329" t="str">
        <x:v>CLOSE-001</x:v>
      </x:c>
      <x:c r="B27" s="162" t="str">
        <x:v>2026-08-02</x:v>
      </x:c>
      <x:c r="C27" s="162" t="str">
        <x:v>Closure activity</x:v>
      </x:c>
      <x:c r="D27" s="162" t="str">
        <x:v>Alberta licensees reported $900M of eligible closure spending and the OWA spent $119M in 2024.</x:v>
      </x:c>
      <x:c r="E27" s="162" t="str">
        <x:v>Track annual physical closure activity separately from liability and security.</x:v>
      </x:c>
      <x:c r="F27" s="162" t="str">
        <x:v>Verified</x:v>
      </x:c>
      <x:c r="G27" s="171" t="str">
        <x:v>$1.019B</x:v>
      </x:c>
      <x:c r="H27" s="312" t="str">
        <x:v>https://www.aer.ca/data-and-performance-reports/industry-performance/liability-management-performance-report</x:v>
      </x:c>
    </x:row>
    <x:row r="28">
      <x:c r="A28" s="329" t="str">
        <x:v>SEC-001</x:v>
      </x:c>
      <x:c r="B28" s="162" t="str">
        <x:v>2026-08-02</x:v>
      </x:c>
      <x:c r="C28" s="162" t="str">
        <x:v>Financial security</x:v>
      </x:c>
      <x:c r="D28" s="162" t="str">
        <x:v>A reviewed public source did not provide one aggregate value for Alberta oil/gas financial security held.</x:v>
      </x:c>
      <x:c r="E28" s="162" t="str">
        <x:v>The secured-versus-unsecured liability ratio remains unpublishable.</x:v>
      </x:c>
      <x:c r="F28" s="162" t="str">
        <x:v>Data needed</x:v>
      </x:c>
      <x:c r="G28" s="171" t="str">
        <x:v>Aggregate unknown</x:v>
      </x:c>
      <x:c r="H28" s="312" t="str">
        <x:v>Closure_Security sheet</x:v>
      </x:c>
    </x:row>
    <x:row r="29">
      <x:c r="A29" s="329" t="str">
        <x:v>SEC-002</x:v>
      </x:c>
      <x:c r="B29" s="162" t="str">
        <x:v>2026-08-02</x:v>
      </x:c>
      <x:c r="C29" s="162" t="str">
        <x:v>Mine security</x:v>
      </x:c>
      <x:c r="D29" s="162" t="str">
        <x:v>B.C. requires site-specific reclamation security and publishes aggregate major-mine data through the Chief Inspector reports.</x:v>
      </x:c>
      <x:c r="E29" s="162" t="str">
        <x:v>The legal framework is verified, but the current aggregate dollar table still requires reliable extraction.</x:v>
      </x:c>
      <x:c r="F29" s="162" t="str">
        <x:v>Verified with limitation</x:v>
      </x:c>
      <x:c r="G29" s="171" t="str">
        <x:v>Current dollars pending</x:v>
      </x:c>
      <x:c r="H29" s="312" t="str">
        <x:v>https://www2.gov.bc.ca/gov/content/industry/mineral-exploration-mining/permitting/mine-reclamation-securities</x:v>
      </x:c>
    </x:row>
    <x:row r="30">
      <x:c r="A30" s="329" t="str">
        <x:v>MODEL-004</x:v>
      </x:c>
      <x:c r="B30" s="162" t="str">
        <x:v>2026-08-02</x:v>
      </x:c>
      <x:c r="C30" s="162" t="str">
        <x:v>Commodity rent</x:v>
      </x:c>
      <x:c r="D30" s="162" t="str">
        <x:v>The resource-wealth account is built from annual resource rents, but the workbook lacks the current sales and cost components by commodity.</x:v>
      </x:c>
      <x:c r="E30" s="162" t="str">
        <x:v>Create a formula bridge before estimating public, Indigenous and private residual rent.</x:v>
      </x:c>
      <x:c r="F30" s="162" t="str">
        <x:v>Model correction</x:v>
      </x:c>
      <x:c r="G30" s="171" t="str">
        <x:v>12 commodity rows open</x:v>
      </x:c>
      <x:c r="H30" s="312" t="str">
        <x:v>Commodity_Rent_Bridge</x:v>
      </x:c>
    </x:row>
    <x:row r="31">
      <x:c r="A31" s="330" t="str">
        <x:v>GATE-002</x:v>
      </x:c>
      <x:c r="B31" s="314" t="str">
        <x:v>2026-08-02</x:v>
      </x:c>
      <x:c r="C31" s="314" t="str">
        <x:v>Publication gate</x:v>
      </x:c>
      <x:c r="D31" s="314" t="str">
        <x:v>A national capture-consume-save-residual result requires common-period annual rent and capture data plus separately disclosed liability/security stocks.</x:v>
      </x:c>
      <x:c r="E31" s="314" t="str">
        <x:v>The headline national leakage number remains prohibited.</x:v>
      </x:c>
      <x:c r="F31" s="314" t="str">
        <x:v>Data needed</x:v>
      </x:c>
      <x:c r="G31" s="332" t="str">
        <x:v>NOT READY</x:v>
      </x:c>
      <x:c r="H31" s="315" t="str">
        <x:v>Productive Commonwealth research contract</x:v>
      </x:c>
    </x:row>
    <x:row r="32">
      <x:c r="A32" s="405" t="str">
        <x:v>DATA-001</x:v>
      </x:c>
      <x:c r="B32" s="372" t="str">
        <x:v>2026-08-02</x:v>
      </x:c>
      <x:c r="C32" s="372" t="str">
        <x:v>Standardized finance data</x:v>
      </x:c>
      <x:c r="D32" s="372" t="str">
        <x:v>Exact CGFS rent and property-tax vectors are now mapped for the federal government and all 13 provinces and territories.</x:v>
      </x:c>
      <x:c r="E32" s="372" t="str">
        <x:v>The model can retrieve and reconcile one standardized definition without relying on name matching.</x:v>
      </x:c>
      <x:c r="F32" s="372" t="str">
        <x:v>Verified</x:v>
      </x:c>
      <x:c r="G32" s="381" t="str">
        <x:v>14 government series pairs</x:v>
      </x:c>
      <x:c r="H32" s="373" t="str">
        <x:v>StatsCan_Vector_Map</x:v>
      </x:c>
    </x:row>
    <x:row r="33">
      <x:c r="A33" s="406" t="str">
        <x:v>DATA-002</x:v>
      </x:c>
      <x:c r="B33" s="162" t="str">
        <x:v>2026-08-02</x:v>
      </x:c>
      <x:c r="C33" s="162" t="str">
        <x:v>Extraction limitation</x:v>
      </x:c>
      <x:c r="D33" s="162" t="str">
        <x:v>The Statistics Canada observation payload was not retrievable through the available workbook/web delivery path.</x:v>
      </x:c>
      <x:c r="E33" s="162" t="str">
        <x:v>Standardized values remain blank; public-account comparators are not silently substituted.</x:v>
      </x:c>
      <x:c r="F33" s="162" t="str">
        <x:v>Data needed</x:v>
      </x:c>
      <x:c r="G33" s="171" t="str">
        <x:v>0 of 14 extracted</x:v>
      </x:c>
      <x:c r="H33" s="375" t="str">
        <x:v>WDS User Guide</x:v>
      </x:c>
    </x:row>
    <x:row r="34">
      <x:c r="A34" s="406" t="str">
        <x:v>SEC-003</x:v>
      </x:c>
      <x:c r="B34" s="162" t="str">
        <x:v>2026-08-02</x:v>
      </x:c>
      <x:c r="C34" s="162" t="str">
        <x:v>Financial security</x:v>
      </x:c>
      <x:c r="D34" s="162" t="str">
        <x:v>AER's 2024 transfer table reports $25.4M of security across three recipient-capability groups.</x:v>
      </x:c>
      <x:c r="E34" s="162" t="str">
        <x:v>Record as transfer-related security only, not aggregate security held.</x:v>
      </x:c>
      <x:c r="F34" s="162" t="str">
        <x:v>Verified</x:v>
      </x:c>
      <x:c r="G34" s="171" t="str">
        <x:v>$0.0254B</x:v>
      </x:c>
      <x:c r="H34" s="375" t="str">
        <x:v>AER transfer table</x:v>
      </x:c>
    </x:row>
    <x:row r="35">
      <x:c r="A35" s="406" t="str">
        <x:v>SEC-004</x:v>
      </x:c>
      <x:c r="B35" s="162" t="str">
        <x:v>2026-08-02</x:v>
      </x:c>
      <x:c r="C35" s="162" t="str">
        <x:v>Source reconciliation</x:v>
      </x:c>
      <x:c r="D35" s="162" t="str">
        <x:v>The AER transfer table implies about 11.8% security relative to the listed inactive liability, while the narrative states 21%.</x:v>
      </x:c>
      <x:c r="E35" s="162" t="str">
        <x:v>No percentage is treated as settled until AER clarifies the denominator or scope.</x:v>
      </x:c>
      <x:c r="F35" s="162" t="str">
        <x:v>Verified with limitation</x:v>
      </x:c>
      <x:c r="G35" s="171" t="str">
        <x:v>11.8% table / 21% text</x:v>
      </x:c>
      <x:c r="H35" s="375" t="str">
        <x:v>AER transfer page</x:v>
      </x:c>
    </x:row>
    <x:row r="36">
      <x:c r="A36" s="406" t="str">
        <x:v>SEC-005</x:v>
      </x:c>
      <x:c r="B36" s="162" t="str">
        <x:v>2026-08-02</x:v>
      </x:c>
      <x:c r="C36" s="162" t="str">
        <x:v>Compliance gap</x:v>
      </x:c>
      <x:c r="D36" s="162" t="str">
        <x:v>Outstanding closure security owed was $6.4M for 2024 and $13.3M cumulatively for 2022-2024.</x:v>
      </x:c>
      <x:c r="E36" s="162" t="str">
        <x:v>Amounts owed are not classified as financial security held.</x:v>
      </x:c>
      <x:c r="F36" s="162" t="str">
        <x:v>Verified</x:v>
      </x:c>
      <x:c r="G36" s="171" t="str">
        <x:v>$0.0064B / $0.0133B</x:v>
      </x:c>
      <x:c r="H36" s="375" t="str">
        <x:v>AER impact page</x:v>
      </x:c>
    </x:row>
    <x:row r="37">
      <x:c r="A37" s="406" t="str">
        <x:v>SAVE-001</x:v>
      </x:c>
      <x:c r="B37" s="162" t="str">
        <x:v>2026-08-02</x:v>
      </x:c>
      <x:c r="C37" s="162" t="str">
        <x:v>Public saving</x:v>
      </x:c>
      <x:c r="D37" s="162" t="str">
        <x:v>Alberta approved a $2.8B Heritage Fund deposit in 2025-26 using surplus cash from 2024-25.</x:v>
      </x:c>
      <x:c r="E37" s="162" t="str">
        <x:v>The deposit is a traced saving transaction, but it is not established as a direct statutory allocation of resource revenue.</x:v>
      </x:c>
      <x:c r="F37" s="162" t="str">
        <x:v>Verified with limitation</x:v>
      </x:c>
      <x:c r="G37" s="171" t="str">
        <x:v>$2.8B</x:v>
      </x:c>
      <x:c r="H37" s="375" t="str">
        <x:v>Alberta Heritage Fund</x:v>
      </x:c>
    </x:row>
    <x:row r="38">
      <x:c r="A38" s="406" t="str">
        <x:v>MODEL-005</x:v>
      </x:c>
      <x:c r="B38" s="162" t="str">
        <x:v>2026-08-02</x:v>
      </x:c>
      <x:c r="C38" s="162" t="str">
        <x:v>Revenue fungibility</x:v>
      </x:c>
      <x:c r="D38" s="162" t="str">
        <x:v>Public accounts generally pool resource revenue with other revenue unless a statute or transaction earmarks it.</x:v>
      </x:c>
      <x:c r="E38" s="162" t="str">
        <x:v>The residual is labelled general fiscal pool/unclassified, not proven consumption.</x:v>
      </x:c>
      <x:c r="F38" s="162" t="str">
        <x:v>Model correction</x:v>
      </x:c>
      <x:c r="G38" s="171" t="str">
        <x:v>Revenue_Use rule</x:v>
      </x:c>
      <x:c r="H38" s="375" t="str">
        <x:v>Revenue_Use</x:v>
      </x:c>
    </x:row>
    <x:row r="39">
      <x:c r="A39" s="407" t="str">
        <x:v>GATE-003</x:v>
      </x:c>
      <x:c r="B39" s="377" t="str">
        <x:v>2026-08-02</x:v>
      </x:c>
      <x:c r="C39" s="377" t="str">
        <x:v>Publication gate</x:v>
      </x:c>
      <x:c r="D39" s="377" t="str">
        <x:v>Standardized CGFS values, commodity annual rents and complete revenue-use classifications remain unfinished.</x:v>
      </x:c>
      <x:c r="E39" s="377" t="str">
        <x:v>A national rent-capture or preservation-loss percentage remains prohibited.</x:v>
      </x:c>
      <x:c r="F39" s="377" t="str">
        <x:v>Data needed</x:v>
      </x:c>
      <x:c r="G39" s="383" t="str">
        <x:v>NOT READY</x:v>
      </x:c>
      <x:c r="H39" s="378" t="str">
        <x:v>Workbook evidence gate</x:v>
      </x:c>
    </x:row>
    <x:row r="40">
      <x:c r="A40" s="488" t="str">
        <x:v>RENT-005</x:v>
      </x:c>
      <x:c r="B40" s="444" t="str">
        <x:v>2026-08-02</x:v>
      </x:c>
      <x:c r="C40" s="444" t="str">
        <x:v>Provincial revenue</x:v>
      </x:c>
      <x:c r="D40" s="444" t="str">
        <x:v>Newfoundland and Labrador's partial public-account comparator is $1.306572B, dominated by offshore royalties.</x:v>
      </x:c>
      <x:c r="E40" s="444" t="str">
        <x:v>Adds a major Atlantic resource-revenue input while retaining exclusions and CGFS reconciliation.</x:v>
      </x:c>
      <x:c r="F40" s="444" t="str">
        <x:v>Verified with limitation</x:v>
      </x:c>
      <x:c r="G40" s="483" t="str">
        <x:v>$1.306572B</x:v>
      </x:c>
      <x:c r="H40" s="448" t="str">
        <x:v>NL Program Expenditures and Revenues</x:v>
      </x:c>
    </x:row>
    <x:row r="41">
      <x:c r="A41" s="489" t="str">
        <x:v>SAVE-002</x:v>
      </x:c>
      <x:c r="B41" s="162" t="str">
        <x:v>2026-08-02</x:v>
      </x:c>
      <x:c r="C41" s="162" t="str">
        <x:v>Public saving</x:v>
      </x:c>
      <x:c r="D41" s="162" t="str">
        <x:v>Newfoundland and Labrador contributed $72.614M to the Future Fund in 2024-25.</x:v>
      </x:c>
      <x:c r="E41" s="162" t="str">
        <x:v>Record as a traced saving transaction, not proof of direct statutory resource-revenue earmarking.</x:v>
      </x:c>
      <x:c r="F41" s="162" t="str">
        <x:v>Verified with limitation</x:v>
      </x:c>
      <x:c r="G41" s="171" t="str">
        <x:v>$0.072614B</x:v>
      </x:c>
      <x:c r="H41" s="450" t="str">
        <x:v>NL Program Expenditures and Revenues</x:v>
      </x:c>
    </x:row>
    <x:row r="42">
      <x:c r="A42" s="489" t="str">
        <x:v>RENT-006</x:v>
      </x:c>
      <x:c r="B42" s="162" t="str">
        <x:v>2026-08-02</x:v>
      </x:c>
      <x:c r="C42" s="162" t="str">
        <x:v>Provincial revenue</x:v>
      </x:c>
      <x:c r="D42" s="162" t="str">
        <x:v>New Brunswick reported $71.817M of directly labelled royalties and $0.4119M of selected resource leases.</x:v>
      </x:c>
      <x:c r="E42" s="162" t="str">
        <x:v>Adds a conservative public-account comparator; other fees and leases remain excluded pending CGFS classification.</x:v>
      </x:c>
      <x:c r="F42" s="162" t="str">
        <x:v>Verified with limitation</x:v>
      </x:c>
      <x:c r="G42" s="171" t="str">
        <x:v>$0.0722289B</x:v>
      </x:c>
      <x:c r="H42" s="450" t="str">
        <x:v>NB Public Accounts Volume II</x:v>
      </x:c>
    </x:row>
    <x:row r="43">
      <x:c r="A43" s="489" t="str">
        <x:v>IND-002</x:v>
      </x:c>
      <x:c r="B43" s="162" t="str">
        <x:v>2026-08-02</x:v>
      </x:c>
      <x:c r="C43" s="162" t="str">
        <x:v>Indigenous revenue</x:v>
      </x:c>
      <x:c r="D43" s="162" t="str">
        <x:v>New Brunswick's royalty schedule includes $3.4889M of First Nations designated timber royalty revenue.</x:v>
      </x:c>
      <x:c r="E43" s="162" t="str">
        <x:v>Show inside gross receipts and as a designated Indigenous amount without adding it twice.</x:v>
      </x:c>
      <x:c r="F43" s="162" t="str">
        <x:v>Verified with limitation</x:v>
      </x:c>
      <x:c r="G43" s="171" t="str">
        <x:v>$0.0034889B</x:v>
      </x:c>
      <x:c r="H43" s="450" t="str">
        <x:v>NB Public Accounts Volume II</x:v>
      </x:c>
    </x:row>
    <x:row r="44">
      <x:c r="A44" s="489" t="str">
        <x:v>REMED-001</x:v>
      </x:c>
      <x:c r="B44" s="162" t="str">
        <x:v>2026-08-02</x:v>
      </x:c>
      <x:c r="C44" s="162" t="str">
        <x:v>Remediation</x:v>
      </x:c>
      <x:c r="D44" s="162" t="str">
        <x:v>New Brunswick recorded $0.5103M of mine-reclamation capital expenditure in 2024-25.</x:v>
      </x:c>
      <x:c r="E44" s="162" t="str">
        <x:v>Add to the annual spending-flow ledger, separate from liabilities and security.</x:v>
      </x:c>
      <x:c r="F44" s="162" t="str">
        <x:v>Verified</x:v>
      </x:c>
      <x:c r="G44" s="171" t="str">
        <x:v>$0.0005103B</x:v>
      </x:c>
      <x:c r="H44" s="450" t="str">
        <x:v>NB Public Accounts Volume II</x:v>
      </x:c>
    </x:row>
    <x:row r="45">
      <x:c r="A45" s="489" t="str">
        <x:v>MODEL-006</x:v>
      </x:c>
      <x:c r="B45" s="162" t="str">
        <x:v>2026-08-02</x:v>
      </x:c>
      <x:c r="C45" s="162" t="str">
        <x:v>Reconciliation</x:v>
      </x:c>
      <x:c r="D45" s="162" t="str">
        <x:v>Public-account schedules and CGFS standardized rent are separate measurements with timing and scope differences.</x:v>
      </x:c>
      <x:c r="E45" s="162" t="str">
        <x:v>A dedicated reconciliation sheet now prevents either series from silently replacing the other.</x:v>
      </x:c>
      <x:c r="F45" s="162" t="str">
        <x:v>Model correction</x:v>
      </x:c>
      <x:c r="G45" s="171" t="str">
        <x:v>Reconciliation bridge</x:v>
      </x:c>
      <x:c r="H45" s="450" t="str">
        <x:v>Public_Account_Recon</x:v>
      </x:c>
    </x:row>
    <x:row r="46">
      <x:c r="A46" s="489" t="str">
        <x:v>DATA-003</x:v>
      </x:c>
      <x:c r="B46" s="162" t="str">
        <x:v>2026-08-02</x:v>
      </x:c>
      <x:c r="C46" s="162" t="str">
        <x:v>Commodity inputs</x:v>
      </x:c>
      <x:c r="D46" s="162" t="str">
        <x:v>Official sources are identified for input-output components, labour compensation, capital stock, depreciation and bond yields.</x:v>
      </x:c>
      <x:c r="E46" s="162" t="str">
        <x:v>Commodity-level allocation remains the decisive unresolved step.</x:v>
      </x:c>
      <x:c r="F46" s="162" t="str">
        <x:v>Verified with limitation</x:v>
      </x:c>
      <x:c r="G46" s="171" t="str">
        <x:v>Source map complete</x:v>
      </x:c>
      <x:c r="H46" s="450" t="str">
        <x:v>Commodity_Data_Map</x:v>
      </x:c>
    </x:row>
    <x:row r="47">
      <x:c r="A47" s="490" t="str">
        <x:v>GATE-004</x:v>
      </x:c>
      <x:c r="B47" s="452" t="str">
        <x:v>2026-08-02</x:v>
      </x:c>
      <x:c r="C47" s="452" t="str">
        <x:v>Publication gate</x:v>
      </x:c>
      <x:c r="D47" s="452" t="str">
        <x:v>CGFS observations and commodity annual rents remain unextracted despite stronger public-account coverage.</x:v>
      </x:c>
      <x:c r="E47" s="452" t="str">
        <x:v>National capture and preservation-loss percentages remain prohibited.</x:v>
      </x:c>
      <x:c r="F47" s="452" t="str">
        <x:v>Data needed</x:v>
      </x:c>
      <x:c r="G47" s="484" t="str">
        <x:v>NOT READY</x:v>
      </x:c>
      <x:c r="H47" s="456" t="str">
        <x:v>Workbook evidence gate</x:v>
      </x:c>
    </x:row>
    <x:row r="48">
      <x:c r="A48" s="577" t="str">
        <x:v>DATA-004</x:v>
      </x:c>
      <x:c r="B48" s="542" t="str">
        <x:v>2026-08-02</x:v>
      </x:c>
      <x:c r="C48" s="542" t="str">
        <x:v>CGFS extraction</x:v>
      </x:c>
      <x:c r="D48" s="542" t="str">
        <x:v>Exact vector request and full-table fallback URLs are now generated for all fourteen governments.</x:v>
      </x:c>
      <x:c r="E48" s="542" t="str">
        <x:v>A future payload can be loaded deterministically without remapping the series.</x:v>
      </x:c>
      <x:c r="F48" s="542" t="str">
        <x:v>Verified</x:v>
      </x:c>
      <x:c r="G48" s="551" t="str">
        <x:v>14 extraction records</x:v>
      </x:c>
      <x:c r="H48" s="543" t="str">
        <x:v>CGFS_Extraction</x:v>
      </x:c>
    </x:row>
    <x:row r="49">
      <x:c r="A49" s="578" t="str">
        <x:v>DATA-005</x:v>
      </x:c>
      <x:c r="B49" s="162" t="str">
        <x:v>2026-08-02</x:v>
      </x:c>
      <x:c r="C49" s="162" t="str">
        <x:v>CGFS extraction</x:v>
      </x:c>
      <x:c r="D49" s="162" t="str">
        <x:v>The live observation payload remains unavailable in the current environment.</x:v>
      </x:c>
      <x:c r="E49" s="162" t="str">
        <x:v>The workbook retains zero standardized observations and explicitly records the blocker.</x:v>
      </x:c>
      <x:c r="F49" s="162" t="str">
        <x:v>Data needed</x:v>
      </x:c>
      <x:c r="G49" s="171" t="str">
        <x:v>0 of 14</x:v>
      </x:c>
      <x:c r="H49" s="545" t="str">
        <x:v>CGFS_Extraction</x:v>
      </x:c>
    </x:row>
    <x:row r="50">
      <x:c r="A50" s="578" t="str">
        <x:v>CONTROL-001</x:v>
      </x:c>
      <x:c r="B50" s="162" t="str">
        <x:v>2026-08-02</x:v>
      </x:c>
      <x:c r="C50" s="162" t="str">
        <x:v>Publication governance</x:v>
      </x:c>
      <x:c r="D50" s="162" t="str">
        <x:v>The dashboard's 30.6% figure was an incomplete comparator divided by a modelled rent assumption.</x:v>
      </x:c>
      <x:c r="E50" s="162" t="str">
        <x:v>It is renamed, marked NOT PUBLISHABLE and cannot be called a Canadian rent-capture rate.</x:v>
      </x:c>
      <x:c r="F50" s="162" t="str">
        <x:v>Model correction</x:v>
      </x:c>
      <x:c r="G50" s="171" t="str">
        <x:v>Ratio suppressed</x:v>
      </x:c>
      <x:c r="H50" s="545" t="str">
        <x:v>Dashboard</x:v>
      </x:c>
    </x:row>
    <x:row r="51">
      <x:c r="A51" s="578" t="str">
        <x:v>COM-001</x:v>
      </x:c>
      <x:c r="B51" s="162" t="str">
        <x:v>2026-08-02</x:v>
      </x:c>
      <x:c r="C51" s="162" t="str">
        <x:v>Commodity accounting</x:v>
      </x:c>
      <x:c r="D51" s="162" t="str">
        <x:v>Statistics Canada reports $217.7567B of oil-and-gas revenue, $192.1405B of expenses and $25.6161B of net income for 2024.</x:v>
      </x:c>
      <x:c r="E51" s="162" t="str">
        <x:v>These values are entered as an accounting diagnostic, not as economic rent.</x:v>
      </x:c>
      <x:c r="F51" s="162" t="str">
        <x:v>Verified with limitation</x:v>
      </x:c>
      <x:c r="G51" s="171" t="str">
        <x:v>$25.6161B net income</x:v>
      </x:c>
      <x:c r="H51" s="545" t="str">
        <x:v>Statistics Canada 25-10-0065-01</x:v>
      </x:c>
    </x:row>
    <x:row r="52">
      <x:c r="A52" s="578" t="str">
        <x:v>COM-002</x:v>
      </x:c>
      <x:c r="B52" s="162" t="str">
        <x:v>2026-08-02</x:v>
      </x:c>
      <x:c r="C52" s="162" t="str">
        <x:v>Commodity accounting</x:v>
      </x:c>
      <x:c r="D52" s="162" t="str">
        <x:v>The oil-and-gas table combines commodities and does not provide the rent-method cost classification.</x:v>
      </x:c>
      <x:c r="E52" s="162" t="str">
        <x:v>Conventional oil, bitumen and natural gas remain unpopulated in the rent bridge.</x:v>
      </x:c>
      <x:c r="F52" s="162" t="str">
        <x:v>Data needed</x:v>
      </x:c>
      <x:c r="G52" s="171" t="str">
        <x:v>0 of 3 energy rows</x:v>
      </x:c>
      <x:c r="H52" s="545" t="str">
        <x:v>Commodity_Diagnostics</x:v>
      </x:c>
    </x:row>
    <x:row r="53">
      <x:c r="A53" s="578" t="str">
        <x:v>MODEL-007</x:v>
      </x:c>
      <x:c r="B53" s="162" t="str">
        <x:v>2026-08-02</x:v>
      </x:c>
      <x:c r="C53" s="162" t="str">
        <x:v>Rent definition</x:v>
      </x:c>
      <x:c r="D53" s="162" t="str">
        <x:v>Accounting net income cannot replace resource rent without reclassifying royalties, taxes, financing, depletion/depreciation and the normal return on produced capital.</x:v>
      </x:c>
      <x:c r="E53" s="162" t="str">
        <x:v>A separate diagnostic sheet prevents accounting profit from entering the rent total.</x:v>
      </x:c>
      <x:c r="F53" s="162" t="str">
        <x:v>Model correction</x:v>
      </x:c>
      <x:c r="G53" s="171" t="str">
        <x:v>Boundary locked</x:v>
      </x:c>
      <x:c r="H53" s="545" t="str">
        <x:v>Commodity_Diagnostics</x:v>
      </x:c>
    </x:row>
    <x:row r="54">
      <x:c r="A54" s="578" t="str">
        <x:v>GATE-005</x:v>
      </x:c>
      <x:c r="B54" s="162" t="str">
        <x:v>2026-08-02</x:v>
      </x:c>
      <x:c r="C54" s="162" t="str">
        <x:v>Publication gate</x:v>
      </x:c>
      <x:c r="D54" s="162" t="str">
        <x:v>The national rent-capture rate remains suppressed until all CGFS observations are scaled and all twelve commodity rent rows are complete.</x:v>
      </x:c>
      <x:c r="E54" s="162" t="str">
        <x:v>The workbook cannot pass through evidence coverage alone.</x:v>
      </x:c>
      <x:c r="F54" s="162" t="str">
        <x:v>Locked</x:v>
      </x:c>
      <x:c r="G54" s="171" t="str">
        <x:v>Dual completion gate</x:v>
      </x:c>
      <x:c r="H54" s="545" t="str">
        <x:v>Dashboard</x:v>
      </x:c>
    </x:row>
    <x:row r="55">
      <x:c r="A55" s="579" t="str">
        <x:v>NEXT-001</x:v>
      </x:c>
      <x:c r="B55" s="547" t="str">
        <x:v>2026-08-02</x:v>
      </x:c>
      <x:c r="C55" s="547" t="str">
        <x:v>Next extraction</x:v>
      </x:c>
      <x:c r="D55" s="547" t="str">
        <x:v>The highest-value next step is the full Statistics Canada CSV or API payload, followed by detailed oil-and-gas expense decomposition.</x:v>
      </x:c>
      <x:c r="E55" s="547" t="str">
        <x:v>No further scenario refinement should precede the observed data.</x:v>
      </x:c>
      <x:c r="F55" s="547" t="str">
        <x:v>Data needed</x:v>
      </x:c>
      <x:c r="G55" s="553" t="str">
        <x:v>Payload + expense components</x:v>
      </x:c>
      <x:c r="H55" s="548" t="str">
        <x:v>CGFS_Extraction / Commodity_Diagnostics</x:v>
      </x:c>
    </x:row>
    <x:row r="56">
      <x:c r="A56" s="643" t="str">
        <x:v>DATA-006</x:v>
      </x:c>
      <x:c r="B56" s="629" t="str">
        <x:v>2026-08-02</x:v>
      </x:c>
      <x:c r="C56" s="629" t="str">
        <x:v>CGFS extraction</x:v>
      </x:c>
      <x:c r="D56" s="629" t="str">
        <x:v>The local extractor passed with 28 of 28 publishable observations and zero rejections.</x:v>
      </x:c>
      <x:c r="E56" s="629" t="str">
        <x:v>The live Statistics Canada payload blocker is removed.</x:v>
      </x:c>
      <x:c r="F56" s="629" t="str">
        <x:v>Verified</x:v>
      </x:c>
      <x:c r="G56" s="636" t="str">
        <x:v>28/28 PASS</x:v>
      </x:c>
      <x:c r="H56" s="630" t="str">
        <x:v>CGFS_Import_Receipt</x:v>
      </x:c>
    </x:row>
    <x:row r="57">
      <x:c r="A57" s="644" t="str">
        <x:v>CGFS-001</x:v>
      </x:c>
      <x:c r="B57" s="162" t="str">
        <x:v>2026-08-02</x:v>
      </x:c>
      <x:c r="C57" s="162" t="str">
        <x:v>Government-finance rent</x:v>
      </x:c>
      <x:c r="D57" s="162" t="str">
        <x:v>The fourteen standardized 2024 CGFS rent observations sum to $30.074B.</x:v>
      </x:c>
      <x:c r="E57" s="162" t="str">
        <x:v>Use as standardized government rent revenue, not total Canadian economic resource rent.</x:v>
      </x:c>
      <x:c r="F57" s="162" t="str">
        <x:v>Verified with limitation</x:v>
      </x:c>
      <x:c r="G57" s="171" t="str">
        <x:v>$30.074B</x:v>
      </x:c>
      <x:c r="H57" s="632" t="str">
        <x:v>CGFS_Imported_2024</x:v>
      </x:c>
    </x:row>
    <x:row r="58">
      <x:c r="A58" s="644" t="str">
        <x:v>TAX-004</x:v>
      </x:c>
      <x:c r="B58" s="162" t="str">
        <x:v>2026-08-02</x:v>
      </x:c>
      <x:c r="C58" s="162" t="str">
        <x:v>Property tax</x:v>
      </x:c>
      <x:c r="D58" s="162" t="str">
        <x:v>Federal and provincial/territorial CGFS property-tax observations sum to $16.011B.</x:v>
      </x:c>
      <x:c r="E58" s="162" t="str">
        <x:v>This is not the consolidated all-government $103.254B property-tax control.</x:v>
      </x:c>
      <x:c r="F58" s="162" t="str">
        <x:v>Verified with limitation</x:v>
      </x:c>
      <x:c r="G58" s="171" t="str">
        <x:v>$16.011B</x:v>
      </x:c>
      <x:c r="H58" s="632" t="str">
        <x:v>CGFS_Imported_2024</x:v>
      </x:c>
    </x:row>
    <x:row r="59">
      <x:c r="A59" s="644" t="str">
        <x:v>DATA-007</x:v>
      </x:c>
      <x:c r="B59" s="162" t="str">
        <x:v>2026-08-02</x:v>
      </x:c>
      <x:c r="C59" s="162" t="str">
        <x:v>Preliminary data</x:v>
      </x:c>
      <x:c r="D59" s="162" t="str">
        <x:v>All 28 imported observations carry Statistics Canada symbol p.</x:v>
      </x:c>
      <x:c r="E59" s="162" t="str">
        <x:v>Treat values as preliminary and preserve revisions in future annual refreshes.</x:v>
      </x:c>
      <x:c r="F59" s="162" t="str">
        <x:v>Verified with limitation</x:v>
      </x:c>
      <x:c r="G59" s="171" t="str">
        <x:v>28 preliminary observations</x:v>
      </x:c>
      <x:c r="H59" s="632" t="str">
        <x:v>CGFS_Imported_2024</x:v>
      </x:c>
    </x:row>
    <x:row r="60">
      <x:c r="A60" s="644" t="str">
        <x:v>RECON-002</x:v>
      </x:c>
      <x:c r="B60" s="162" t="str">
        <x:v>2026-08-02</x:v>
      </x:c>
      <x:c r="C60" s="162" t="str">
        <x:v>Reconciliation</x:v>
      </x:c>
      <x:c r="D60" s="162" t="str">
        <x:v>Standardized CGFS rent and public-account comparators differ materially across several jurisdictions.</x:v>
      </x:c>
      <x:c r="E60" s="162" t="str">
        <x:v>The differences must be explained by period, classification and accrual scope before reconciliation is closed.</x:v>
      </x:c>
      <x:c r="F60" s="162" t="str">
        <x:v>Data needed</x:v>
      </x:c>
      <x:c r="G60" s="171" t="str">
        <x:v>0 of 14 reconciled</x:v>
      </x:c>
      <x:c r="H60" s="632" t="str">
        <x:v>Public_Account_Recon</x:v>
      </x:c>
    </x:row>
    <x:row r="61">
      <x:c r="A61" s="645" t="str">
        <x:v>GATE-006</x:v>
      </x:c>
      <x:c r="B61" s="634" t="str">
        <x:v>2026-08-02</x:v>
      </x:c>
      <x:c r="C61" s="634" t="str">
        <x:v>Publication gate</x:v>
      </x:c>
      <x:c r="D61" s="634" t="str">
        <x:v>The live CGFS extraction gate passed, but commodity economic rents and public-account reconciliation remain incomplete.</x:v>
      </x:c>
      <x:c r="E61" s="634" t="str">
        <x:v>The national rent-capture rate remains suppressed.</x:v>
      </x:c>
      <x:c r="F61" s="634" t="str">
        <x:v>Locked</x:v>
      </x:c>
      <x:c r="G61" s="637" t="str">
        <x:v>NOT READY</x:v>
      </x:c>
      <x:c r="H61" s="635" t="str">
        <x:v>Dashboard</x:v>
      </x:c>
    </x:row>
    <x:row r="62">
      <x:c r="A62" s="708" t="str">
        <x:v>RECON-003</x:v>
      </x:c>
      <x:c r="B62" s="686" t="str">
        <x:v>2026-08-02</x:v>
      </x:c>
      <x:c r="C62" s="686" t="str">
        <x:v>Jurisdiction reconciliation</x:v>
      </x:c>
      <x:c r="D62" s="686" t="str">
        <x:v>Eight jurisdictions now have quantified public-account versus CGFS bridges and provisional difference classifications.</x:v>
      </x:c>
      <x:c r="E62" s="686" t="str">
        <x:v>Known taxes are removed before the unresolved timing/scope residual is assessed.</x:v>
      </x:c>
      <x:c r="F62" s="686" t="str">
        <x:v>Verified with limitation</x:v>
      </x:c>
      <x:c r="G62" s="695" t="str">
        <x:v>8 of 14 provisionally classified</x:v>
      </x:c>
      <x:c r="H62" s="687" t="str">
        <x:v>Jurisdiction_Reconciliation</x:v>
      </x:c>
    </x:row>
    <x:row r="63">
      <x:c r="A63" s="709" t="str">
        <x:v>RECON-004</x:v>
      </x:c>
      <x:c r="B63" s="162" t="str">
        <x:v>2026-08-02</x:v>
      </x:c>
      <x:c r="C63" s="162" t="str">
        <x:v>Jurisdiction reconciliation</x:v>
      </x:c>
      <x:c r="D63" s="162" t="str">
        <x:v>Newfoundland and Labrador's $297.572M gross gap falls to $200.040M after removing mining tax from the rent comparator.</x:v>
      </x:c>
      <x:c r="E63" s="162" t="str">
        <x:v>The remaining difference requires offshore component and timing data.</x:v>
      </x:c>
      <x:c r="F63" s="162" t="str">
        <x:v>Verified with limitation</x:v>
      </x:c>
      <x:c r="G63" s="171" t="str">
        <x:v>$0.200040B residual</x:v>
      </x:c>
      <x:c r="H63" s="689" t="str">
        <x:v>Jurisdiction_Reconciliation</x:v>
      </x:c>
    </x:row>
    <x:row r="64">
      <x:c r="A64" s="709" t="str">
        <x:v>RECON-005</x:v>
      </x:c>
      <x:c r="B64" s="162" t="str">
        <x:v>2026-08-02</x:v>
      </x:c>
      <x:c r="C64" s="162" t="str">
        <x:v>Jurisdiction reconciliation</x:v>
      </x:c>
      <x:c r="D64" s="162" t="str">
        <x:v>Saskatchewan's $956.657M gross gap falls to $427.154M after removing the resource surcharge.</x:v>
      </x:c>
      <x:c r="E64" s="162" t="str">
        <x:v>The remaining difference requires commodity components and calendar/fiscal reconciliation.</x:v>
      </x:c>
      <x:c r="F64" s="162" t="str">
        <x:v>Verified with limitation</x:v>
      </x:c>
      <x:c r="G64" s="171" t="str">
        <x:v>$0.427154B residual</x:v>
      </x:c>
      <x:c r="H64" s="689" t="str">
        <x:v>Jurisdiction_Reconciliation</x:v>
      </x:c>
    </x:row>
    <x:row r="65">
      <x:c r="A65" s="709" t="str">
        <x:v>RECON-006</x:v>
      </x:c>
      <x:c r="B65" s="162" t="str">
        <x:v>2026-08-02</x:v>
      </x:c>
      <x:c r="C65" s="162" t="str">
        <x:v>Jurisdiction reconciliation</x:v>
      </x:c>
      <x:c r="D65" s="162" t="str">
        <x:v>Québec's existing public comparator is dominated by mining duties and omits broader forestry, water and other rent.</x:v>
      </x:c>
      <x:c r="E65" s="162" t="str">
        <x:v>It cannot be treated as a near-complete public-account comparator.</x:v>
      </x:c>
      <x:c r="F65" s="162" t="str">
        <x:v>Model correction</x:v>
      </x:c>
      <x:c r="G65" s="171" t="str">
        <x:v>Comparator narrowed to direct rent</x:v>
      </x:c>
      <x:c r="H65" s="689" t="str">
        <x:v>Jurisdiction_Reconciliation</x:v>
      </x:c>
    </x:row>
    <x:row r="66">
      <x:c r="A66" s="709" t="str">
        <x:v>COM-003</x:v>
      </x:c>
      <x:c r="B66" s="162" t="str">
        <x:v>2026-08-02</x:v>
      </x:c>
      <x:c r="C66" s="162" t="str">
        <x:v>Commodity output</x:v>
      </x:c>
      <x:c r="D66" s="162" t="str">
        <x:v>Official 2024 NRSA output controls are now recorded for crude, bitumen, natural gas, coal, forestry and mineral aggregates.</x:v>
      </x:c>
      <x:c r="E66" s="162" t="str">
        <x:v>Output is a sales/control input, not economic rent.</x:v>
      </x:c>
      <x:c r="F66" s="162" t="str">
        <x:v>Verified with limitation</x:v>
      </x:c>
      <x:c r="G66" s="171" t="str">
        <x:v>12 crosswalk rows</x:v>
      </x:c>
      <x:c r="H66" s="689" t="str">
        <x:v>Commodity_Output_Crosswalk</x:v>
      </x:c>
    </x:row>
    <x:row r="67">
      <x:c r="A67" s="709" t="str">
        <x:v>COM-004</x:v>
      </x:c>
      <x:c r="B67" s="162" t="str">
        <x:v>2026-08-02</x:v>
      </x:c>
      <x:c r="C67" s="162" t="str">
        <x:v>Boundary control</x:v>
      </x:c>
      <x:c r="D67" s="162" t="str">
        <x:v>NRSA commodity output and input-output industry supply differ materially for oil sands, forestry and combined oil/gas.</x:v>
      </x:c>
      <x:c r="E67" s="162" t="str">
        <x:v>The model must not combine them without a production-boundary bridge.</x:v>
      </x:c>
      <x:c r="F67" s="162" t="str">
        <x:v>Model correction</x:v>
      </x:c>
      <x:c r="G67" s="171" t="str">
        <x:v>Boundary lock</x:v>
      </x:c>
      <x:c r="H67" s="689" t="str">
        <x:v>Commodity_Output_Crosswalk</x:v>
      </x:c>
    </x:row>
    <x:row r="68">
      <x:c r="A68" s="709" t="str">
        <x:v>DATA-008</x:v>
      </x:c>
      <x:c r="B68" s="162" t="str">
        <x:v>2026-08-02</x:v>
      </x:c>
      <x:c r="C68" s="162" t="str">
        <x:v>Next extraction</x:v>
      </x:c>
      <x:c r="D68" s="162" t="str">
        <x:v>The workbook now has fixed staging ranges for 84 CGFS component observations and 12 commodity input rows.</x:v>
      </x:c>
      <x:c r="E68" s="162" t="str">
        <x:v>The next local extractor can write deterministically into v0.9.</x:v>
      </x:c>
      <x:c r="F68" s="162" t="str">
        <x:v>Verified</x:v>
      </x:c>
      <x:c r="G68" s="171" t="str">
        <x:v>Import staging ready</x:v>
      </x:c>
      <x:c r="H68" s="689" t="str">
        <x:v>CGFS_Rent_Components; Commodity_Input_Staging</x:v>
      </x:c>
    </x:row>
    <x:row r="69">
      <x:c r="A69" s="710" t="str">
        <x:v>GATE-007</x:v>
      </x:c>
      <x:c r="B69" s="691" t="str">
        <x:v>2026-08-02</x:v>
      </x:c>
      <x:c r="C69" s="691" t="str">
        <x:v>Publication gate</x:v>
      </x:c>
      <x:c r="D69" s="691" t="str">
        <x:v>Provisional explanations do not count as final reconciliation, and output controls do not count as economic rent.</x:v>
      </x:c>
      <x:c r="E69" s="691" t="str">
        <x:v>The national rent-capture rate remains suppressed.</x:v>
      </x:c>
      <x:c r="F69" s="691" t="str">
        <x:v>Locked</x:v>
      </x:c>
      <x:c r="G69" s="697" t="str">
        <x:v>NOT READY</x:v>
      </x:c>
      <x:c r="H69" s="692" t="str">
        <x:v>Dashboard</x:v>
      </x:c>
    </x:row>
    <x:row r="70">
      <x:c r="A70" s="771" t="str">
        <x:v>ERR-001</x:v>
      </x:c>
      <x:c r="B70" s="749" t="str">
        <x:v>2026-08-02</x:v>
      </x:c>
      <x:c r="C70" s="749" t="str">
        <x:v>Extractor correction</x:v>
      </x:c>
      <x:c r="D70" s="749" t="str">
        <x:v>The federal CGFS table does not share the provincial six-component sequence.</x:v>
      </x:c>
      <x:c r="E70" s="749" t="str">
        <x:v>Two vectors previously treated as rent are sales and administrative fees.</x:v>
      </x:c>
      <x:c r="F70" s="749" t="str">
        <x:v>Model correction</x:v>
      </x:c>
      <x:c r="G70" s="757" t="str">
        <x:v>84 reduced to 82 valid observations</x:v>
      </x:c>
      <x:c r="H70" s="750" t="str">
        <x:v>Extractor_Errata</x:v>
      </x:c>
    </x:row>
    <x:row r="71">
      <x:c r="A71" s="772" t="str">
        <x:v>ERR-002</x:v>
      </x:c>
      <x:c r="B71" s="162" t="str">
        <x:v>2026-08-02</x:v>
      </x:c>
      <x:c r="C71" s="162" t="str">
        <x:v>Extractor correction</x:v>
      </x:c>
      <x:c r="D71" s="162" t="str">
        <x:v>Correct federal components sum to $0.757B against total rent of $0.758B.</x:v>
      </x:c>
      <x:c r="E71" s="162" t="str">
        <x:v>The $0.001B balance is within the locked $0.005B tolerance.</x:v>
      </x:c>
      <x:c r="F71" s="162" t="str">
        <x:v>Verified with limitation</x:v>
      </x:c>
      <x:c r="G71" s="171" t="str">
        <x:v>Federal balance $0.001B</x:v>
      </x:c>
      <x:c r="H71" s="752" t="str">
        <x:v>CGFS_Rent_Components</x:v>
      </x:c>
    </x:row>
    <x:row r="72">
      <x:c r="A72" s="772" t="str">
        <x:v>DATA-009</x:v>
      </x:c>
      <x:c r="B72" s="162" t="str">
        <x:v>2026-08-02</x:v>
      </x:c>
      <x:c r="C72" s="162" t="str">
        <x:v>CGFS components</x:v>
      </x:c>
      <x:c r="D72" s="162" t="str">
        <x:v>All fourteen jurisdictions now balance within $0.005B after metadata correction.</x:v>
      </x:c>
      <x:c r="E72" s="162" t="str">
        <x:v>Component evidence can now support category-level reconciliation.</x:v>
      </x:c>
      <x:c r="F72" s="162" t="str">
        <x:v>Verified</x:v>
      </x:c>
      <x:c r="G72" s="171" t="str">
        <x:v>14 of 14 balanced</x:v>
      </x:c>
      <x:c r="H72" s="752" t="str">
        <x:v>CGFS_Rent_Components</x:v>
      </x:c>
    </x:row>
    <x:row r="73">
      <x:c r="A73" s="772" t="str">
        <x:v>LAB-001</x:v>
      </x:c>
      <x:c r="B73" s="162" t="str">
        <x:v>2026-08-02</x:v>
      </x:c>
      <x:c r="C73" s="162" t="str">
        <x:v>Labour input</x:v>
      </x:c>
      <x:c r="D73" s="162" t="str">
        <x:v>The configured labour table returned zero 2024 target rows.</x:v>
      </x:c>
      <x:c r="E73" s="162" t="str">
        <x:v>No economic-rent calculation may infer labour costs from the missing file.</x:v>
      </x:c>
      <x:c r="F73" s="162" t="str">
        <x:v>Data needed</x:v>
      </x:c>
      <x:c r="G73" s="171" t="str">
        <x:v>0 labour rows</x:v>
      </x:c>
      <x:c r="H73" s="752" t="str">
        <x:v>Rent_Evidence_Receipt</x:v>
      </x:c>
    </x:row>
    <x:row r="74">
      <x:c r="A74" s="772" t="str">
        <x:v>LAB-002</x:v>
      </x:c>
      <x:c r="B74" s="162" t="str">
        <x:v>2026-08-02</x:v>
      </x:c>
      <x:c r="C74" s="162" t="str">
        <x:v>Labour source</x:v>
      </x:c>
      <x:c r="D74" s="162" t="str">
        <x:v>The replacement source is Statistics Canada table 36-10-0215-01.</x:v>
      </x:c>
      <x:c r="E74" s="162" t="str">
        <x:v>Extractor v0.2.1 is required to rerun labour extraction.</x:v>
      </x:c>
      <x:c r="F74" s="162" t="str">
        <x:v>Model correction</x:v>
      </x:c>
      <x:c r="G74" s="171" t="str">
        <x:v>Source replaced</x:v>
      </x:c>
      <x:c r="H74" s="752" t="str">
        <x:v>Extractor_Errata</x:v>
      </x:c>
    </x:row>
    <x:row r="75">
      <x:c r="A75" s="772" t="str">
        <x:v>COM-005</x:v>
      </x:c>
      <x:c r="B75" s="162" t="str">
        <x:v>2026-08-02</x:v>
      </x:c>
      <x:c r="C75" s="162" t="str">
        <x:v>Industry inputs</x:v>
      </x:c>
      <x:c r="D75" s="162" t="str">
        <x:v>Official IO rows provide industry supply, labour compensation components and gross operating surplus.</x:v>
      </x:c>
      <x:c r="E75" s="162" t="str">
        <x:v>These are industry controls and cannot automatically populate commodity rent.</x:v>
      </x:c>
      <x:c r="F75" s="162" t="str">
        <x:v>Verified with limitation</x:v>
      </x:c>
      <x:c r="G75" s="171" t="str">
        <x:v>10 industries summarized</x:v>
      </x:c>
      <x:c r="H75" s="752" t="str">
        <x:v>Industry_Input_Summary</x:v>
      </x:c>
    </x:row>
    <x:row r="76">
      <x:c r="A76" s="772" t="str">
        <x:v>CAP-001</x:v>
      </x:c>
      <x:c r="B76" s="162" t="str">
        <x:v>2026-08-02</x:v>
      </x:c>
      <x:c r="C76" s="162" t="str">
        <x:v>Produced capital</x:v>
      </x:c>
      <x:c r="D76" s="162" t="str">
        <x:v>Matching current-price geometric CFC and net-stock controls are available for conventional oil/gas and forestry.</x:v>
      </x:c>
      <x:c r="E76" s="162" t="str">
        <x:v>Oil sands and detailed mineral commodity allocations remain unresolved.</x:v>
      </x:c>
      <x:c r="F76" s="162" t="str">
        <x:v>Verified with limitation</x:v>
      </x:c>
      <x:c r="G76" s="171" t="str">
        <x:v>2 direct industry matches</x:v>
      </x:c>
      <x:c r="H76" s="752" t="str">
        <x:v>Industry_Input_Summary</x:v>
      </x:c>
    </x:row>
    <x:row r="77">
      <x:c r="A77" s="772" t="str">
        <x:v>GATE-008</x:v>
      </x:c>
      <x:c r="B77" s="162" t="str">
        <x:v>2026-08-02</x:v>
      </x:c>
      <x:c r="C77" s="162" t="str">
        <x:v>Publication gate</x:v>
      </x:c>
      <x:c r="D77" s="162" t="str">
        <x:v>Corrected component balances do not overcome missing labour, commodity capital allocation and normal-return inputs.</x:v>
      </x:c>
      <x:c r="E77" s="162" t="str">
        <x:v>National rent-capture rate remains suppressed.</x:v>
      </x:c>
      <x:c r="F77" s="162" t="str">
        <x:v>Locked</x:v>
      </x:c>
      <x:c r="G77" s="171" t="str">
        <x:v>NOT READY</x:v>
      </x:c>
      <x:c r="H77" s="752" t="str">
        <x:v>Dashboard</x:v>
      </x:c>
    </x:row>
    <x:row r="78">
      <x:c r="A78" s="773" t="str">
        <x:v>NEXT-002</x:v>
      </x:c>
      <x:c r="B78" s="754" t="str">
        <x:v>2026-08-02</x:v>
      </x:c>
      <x:c r="C78" s="754" t="str">
        <x:v>Next extraction</x:v>
      </x:c>
      <x:c r="D78" s="754" t="str">
        <x:v>Rerun extractor v0.2.1 to obtain current labour rows, then calculate industry control rents before commodity benchmarking.</x:v>
      </x:c>
      <x:c r="E78" s="754" t="str">
        <x:v>Do not publish commodity rent from the current v0.2 output.</x:v>
      </x:c>
      <x:c r="F78" s="754" t="str">
        <x:v>Data needed</x:v>
      </x:c>
      <x:c r="G78" s="774" t="str">
        <x:v>Labour rerun required</x:v>
      </x:c>
      <x:c r="H78" s="755" t="str">
        <x:v>Extractor v0.2.1</x:v>
      </x:c>
    </x:row>
    <x:row r="79">
      <x:c r="A79" s="861" t="str">
        <x:v>DATA-010</x:v>
      </x:c>
      <x:c r="B79" s="822" t="str">
        <x:v>2026-08-02</x:v>
      </x:c>
      <x:c r="C79" s="822" t="str">
        <x:v>CGFS components</x:v>
      </x:c>
      <x:c r="D79" s="822" t="str">
        <x:v>Extractor v0.2.1 returned 82 of 82 component observations and all fourteen jurisdiction balances passed.</x:v>
      </x:c>
      <x:c r="E79" s="822" t="str">
        <x:v>The component extraction stage is now mechanically complete.</x:v>
      </x:c>
      <x:c r="F79" s="822" t="str">
        <x:v>Verified</x:v>
      </x:c>
      <x:c r="G79" s="832" t="str">
        <x:v>82/82; 14/14</x:v>
      </x:c>
      <x:c r="H79" s="823" t="str">
        <x:v>Rent_Evidence_Receipt</x:v>
      </x:c>
    </x:row>
    <x:row r="80">
      <x:c r="A80" s="862" t="str">
        <x:v>LAB-003</x:v>
      </x:c>
      <x:c r="B80" s="162" t="str">
        <x:v>2026-08-02</x:v>
      </x:c>
      <x:c r="C80" s="162" t="str">
        <x:v>Labour source</x:v>
      </x:c>
      <x:c r="D80" s="162" t="str">
        <x:v>Table 36-10-0215-01 contains historical observations through 2015.</x:v>
      </x:c>
      <x:c r="E80" s="162" t="str">
        <x:v>Zero 2024 rows are expected; the table is rejected rather than retried.</x:v>
      </x:c>
      <x:c r="F80" s="162" t="str">
        <x:v>Model correction</x:v>
      </x:c>
      <x:c r="G80" s="171" t="str">
        <x:v>Historical source rejected</x:v>
      </x:c>
      <x:c r="H80" s="825" t="str">
        <x:v>Extractor_Errata</x:v>
      </x:c>
    </x:row>
    <x:row r="81">
      <x:c r="A81" s="862" t="str">
        <x:v>LAB-004</x:v>
      </x:c>
      <x:c r="B81" s="162" t="str">
        <x:v>2026-08-02</x:v>
      </x:c>
      <x:c r="C81" s="162" t="str">
        <x:v>Labour benchmark</x:v>
      </x:c>
      <x:c r="D81" s="162" t="str">
        <x:v>Table 36-10-0489-04 provides detailed 2024 total compensation for all jobs.</x:v>
      </x:c>
      <x:c r="E81" s="162" t="str">
        <x:v>Ten extraction-industry benchmark rows are recorded separately from IO employee compensation.</x:v>
      </x:c>
      <x:c r="F81" s="162" t="str">
        <x:v>Verified with limitation</x:v>
      </x:c>
      <x:c r="G81" s="171" t="str">
        <x:v>10 benchmark rows</x:v>
      </x:c>
      <x:c r="H81" s="825" t="str">
        <x:v>Labour_Benchmark_2024</x:v>
      </x:c>
    </x:row>
    <x:row r="82">
      <x:c r="A82" s="862" t="str">
        <x:v>LAB-005</x:v>
      </x:c>
      <x:c r="B82" s="162" t="str">
        <x:v>2026-08-02</x:v>
      </x:c>
      <x:c r="C82" s="162" t="str">
        <x:v>Boundary control</x:v>
      </x:c>
      <x:c r="D82" s="162" t="str">
        <x:v>IO employee compensation and total compensation for all jobs are not identical concepts.</x:v>
      </x:c>
      <x:c r="E82" s="162" t="str">
        <x:v>Differences remain validation signals, not automatic adjustments.</x:v>
      </x:c>
      <x:c r="F82" s="162" t="str">
        <x:v>Locked</x:v>
      </x:c>
      <x:c r="G82" s="171" t="str">
        <x:v>No automatic replacement</x:v>
      </x:c>
      <x:c r="H82" s="825" t="str">
        <x:v>Labour_Benchmark_2024</x:v>
      </x:c>
    </x:row>
    <x:row r="83">
      <x:c r="A83" s="862" t="str">
        <x:v>LAB-006</x:v>
      </x:c>
      <x:c r="B83" s="162" t="str">
        <x:v>2026-08-02</x:v>
      </x:c>
      <x:c r="C83" s="162" t="str">
        <x:v>Current replacement</x:v>
      </x:c>
      <x:c r="D83" s="162" t="str">
        <x:v>Statistics Canada lists table 36-10-0713-01 as the replacement labour-productivity table.</x:v>
      </x:c>
      <x:c r="E83" s="162" t="str">
        <x:v>Its viewer reported data unavailable during this pass.</x:v>
      </x:c>
      <x:c r="F83" s="162" t="str">
        <x:v>Data needed</x:v>
      </x:c>
      <x:c r="G83" s="171" t="str">
        <x:v>Current table inaccessible</x:v>
      </x:c>
      <x:c r="H83" s="825" t="str">
        <x:v>Sources</x:v>
      </x:c>
    </x:row>
    <x:row r="84">
      <x:c r="A84" s="862" t="str">
        <x:v>COM-006</x:v>
      </x:c>
      <x:c r="B84" s="162" t="str">
        <x:v>2026-08-02</x:v>
      </x:c>
      <x:c r="C84" s="162" t="str">
        <x:v>Economic rent</x:v>
      </x:c>
      <x:c r="D84" s="162" t="str">
        <x:v>Industry labour inputs are now available in the input-output production account and externally benchmarked.</x:v>
      </x:c>
      <x:c r="E84" s="162" t="str">
        <x:v>Commodity allocation, detailed capital, depreciation and normal return remain unresolved.</x:v>
      </x:c>
      <x:c r="F84" s="162" t="str">
        <x:v>Verified with limitation</x:v>
      </x:c>
      <x:c r="G84" s="171" t="str">
        <x:v>Industry labour control passed</x:v>
      </x:c>
      <x:c r="H84" s="825" t="str">
        <x:v>Industry_Input_Summary</x:v>
      </x:c>
    </x:row>
    <x:row r="85">
      <x:c r="A85" s="862" t="str">
        <x:v>GATE-009</x:v>
      </x:c>
      <x:c r="B85" s="162" t="str">
        <x:v>2026-08-02</x:v>
      </x:c>
      <x:c r="C85" s="162" t="str">
        <x:v>Publication gate</x:v>
      </x:c>
      <x:c r="D85" s="162" t="str">
        <x:v>Labour benchmarking does not complete a commodity economic-rent row.</x:v>
      </x:c>
      <x:c r="E85" s="162" t="str">
        <x:v>The national rent-capture rate remains suppressed.</x:v>
      </x:c>
      <x:c r="F85" s="162" t="str">
        <x:v>Locked</x:v>
      </x:c>
      <x:c r="G85" s="171" t="str">
        <x:v>NOT READY</x:v>
      </x:c>
      <x:c r="H85" s="825" t="str">
        <x:v>Dashboard</x:v>
      </x:c>
    </x:row>
    <x:row r="86">
      <x:c r="A86" s="863" t="str">
        <x:v>NEXT-003</x:v>
      </x:c>
      <x:c r="B86" s="827" t="str">
        <x:v>2026-08-02</x:v>
      </x:c>
      <x:c r="C86" s="827" t="str">
        <x:v>Next extraction</x:v>
      </x:c>
      <x:c r="D86" s="827" t="str">
        <x:v>Patch the local extractor to table 36-10-0489-04, archive its 2024 compensation rows and then address detailed capital allocation.</x:v>
      </x:c>
      <x:c r="E86" s="827" t="str">
        <x:v>Normal-return calculation follows after produced-capital boundaries are fixed.</x:v>
      </x:c>
      <x:c r="F86" s="827" t="str">
        <x:v>Data needed</x:v>
      </x:c>
      <x:c r="G86" s="864" t="str">
        <x:v>Extractor v0.2.2</x:v>
      </x:c>
      <x:c r="H86" s="828" t="str">
        <x:v>Extractor_Errata</x:v>
      </x:c>
    </x:row>
    <x:row r="87">
      <x:c r="A87" s="970" t="str">
        <x:v>ERR-006</x:v>
      </x:c>
      <x:c r="B87" s="935" t="str">
        <x:v>2026-08-02</x:v>
      </x:c>
      <x:c r="C87" s="935" t="str">
        <x:v>Unit scaling</x:v>
      </x:c>
      <x:c r="D87" s="935" t="str">
        <x:v>All ten v0.2.2 labour rows used UOM Thousands of dollars with scalar factor units.</x:v>
      </x:c>
      <x:c r="E87" s="935" t="str">
        <x:v>The manifest understated each benchmark by exactly 1,000.</x:v>
      </x:c>
      <x:c r="F87" s="935" t="str">
        <x:v>Model correction</x:v>
      </x:c>
      <x:c r="G87" s="945" t="str">
        <x:v>10 values corrected</x:v>
      </x:c>
      <x:c r="H87" s="936" t="str">
        <x:v>Labour_Scaling_Audit</x:v>
      </x:c>
    </x:row>
    <x:row r="88">
      <x:c r="A88" s="971" t="str">
        <x:v>DATA-011</x:v>
      </x:c>
      <x:c r="B88" s="162" t="str">
        <x:v>2026-08-02</x:v>
      </x:c>
      <x:c r="C88" s="162" t="str">
        <x:v>Selective import</x:v>
      </x:c>
      <x:c r="D88" s="162" t="str">
        <x:v>One hundred seventy manifest writes passed; ten labour-value writes were rejected.</x:v>
      </x:c>
      <x:c r="E88" s="162" t="str">
        <x:v>Source provenance and component evidence remain valid.</x:v>
      </x:c>
      <x:c r="F88" s="162" t="str">
        <x:v>Verified with limitation</x:v>
      </x:c>
      <x:c r="G88" s="171" t="str">
        <x:v>170 accepted / 10 corrected</x:v>
      </x:c>
      <x:c r="H88" s="938" t="str">
        <x:v>Rent_Evidence_Receipt</x:v>
      </x:c>
    </x:row>
    <x:row r="89">
      <x:c r="A89" s="971" t="str">
        <x:v>LAB-007</x:v>
      </x:c>
      <x:c r="B89" s="162" t="str">
        <x:v>2026-08-02</x:v>
      </x:c>
      <x:c r="C89" s="162" t="str">
        <x:v>Labour evidence</x:v>
      </x:c>
      <x:c r="D89" s="162" t="str">
        <x:v>The corrected local archive reproduces the ten previously web-verified labour benchmarks.</x:v>
      </x:c>
      <x:c r="E89" s="162" t="str">
        <x:v>Labour source evidence is now locally preserved.</x:v>
      </x:c>
      <x:c r="F89" s="162" t="str">
        <x:v>Verified</x:v>
      </x:c>
      <x:c r="G89" s="171" t="str">
        <x:v>10 local benchmarks</x:v>
      </x:c>
      <x:c r="H89" s="938" t="str">
        <x:v>Labour_Benchmark_2024</x:v>
      </x:c>
    </x:row>
    <x:row r="90">
      <x:c r="A90" s="971" t="str">
        <x:v>CAP-002</x:v>
      </x:c>
      <x:c r="B90" s="162" t="str">
        <x:v>2026-08-02</x:v>
      </x:c>
      <x:c r="C90" s="162" t="str">
        <x:v>Capital controls</x:v>
      </x:c>
      <x:c r="D90" s="162" t="str">
        <x:v>Official direct capital controls are available for forestry and combined conventional oil/gas.</x:v>
      </x:c>
      <x:c r="E90" s="162" t="str">
        <x:v>Neither control is yet a commodity-level rent boundary.</x:v>
      </x:c>
      <x:c r="F90" s="162" t="str">
        <x:v>Verified with limitation</x:v>
      </x:c>
      <x:c r="G90" s="171" t="str">
        <x:v>2 direct controls</x:v>
      </x:c>
      <x:c r="H90" s="938" t="str">
        <x:v>Capital_Boundary_Map</x:v>
      </x:c>
    </x:row>
    <x:row r="91">
      <x:c r="A91" s="971" t="str">
        <x:v>CAP-003</x:v>
      </x:c>
      <x:c r="B91" s="162" t="str">
        <x:v>2026-08-02</x:v>
      </x:c>
      <x:c r="C91" s="162" t="str">
        <x:v>Capital residual</x:v>
      </x:c>
      <x:c r="D91" s="162" t="str">
        <x:v>Aggregate mining/oil net stock less conventional oil/gas equals $324.866B; residual CFC is $37.338B.</x:v>
      </x:c>
      <x:c r="E91" s="162" t="str">
        <x:v>The residual combines oil sands and all mining industries and cannot be allocated without a method.</x:v>
      </x:c>
      <x:c r="F91" s="162" t="str">
        <x:v>Verified with limitation</x:v>
      </x:c>
      <x:c r="G91" s="171" t="str">
        <x:v>$324.866B stock / $37.338B CFC</x:v>
      </x:c>
      <x:c r="H91" s="938" t="str">
        <x:v>Capital_Boundary_Map</x:v>
      </x:c>
    </x:row>
    <x:row r="92">
      <x:c r="A92" s="971" t="str">
        <x:v>CAP-004</x:v>
      </x:c>
      <x:c r="B92" s="162" t="str">
        <x:v>2026-08-02</x:v>
      </x:c>
      <x:c r="C92" s="162" t="str">
        <x:v>Support capital</x:v>
      </x:c>
      <x:c r="D92" s="162" t="str">
        <x:v>Support activities hold $39.616B of net stock and $4.467B of CFC.</x:v>
      </x:c>
      <x:c r="E92" s="162" t="str">
        <x:v>Support capital remains separate from extraction commodities.</x:v>
      </x:c>
      <x:c r="F92" s="162" t="str">
        <x:v>Verified</x:v>
      </x:c>
      <x:c r="G92" s="171" t="str">
        <x:v>$39.616B / $4.467B</x:v>
      </x:c>
      <x:c r="H92" s="938" t="str">
        <x:v>Capital_Boundary_Map</x:v>
      </x:c>
    </x:row>
    <x:row r="93">
      <x:c r="A93" s="971" t="str">
        <x:v>GATE-010</x:v>
      </x:c>
      <x:c r="B93" s="162" t="str">
        <x:v>2026-08-02</x:v>
      </x:c>
      <x:c r="C93" s="162" t="str">
        <x:v>Publication gate</x:v>
      </x:c>
      <x:c r="D93" s="162" t="str">
        <x:v>Correct labour scaling and capital controls still do not produce a commodity economic-rent row.</x:v>
      </x:c>
      <x:c r="E93" s="162" t="str">
        <x:v>Normal return and compatible commodity allocation remain mandatory.</x:v>
      </x:c>
      <x:c r="F93" s="162" t="str">
        <x:v>Locked</x:v>
      </x:c>
      <x:c r="G93" s="171" t="str">
        <x:v>NOT READY</x:v>
      </x:c>
      <x:c r="H93" s="938" t="str">
        <x:v>Dashboard</x:v>
      </x:c>
    </x:row>
    <x:row r="94">
      <x:c r="A94" s="971" t="str">
        <x:v>NEXT-004</x:v>
      </x:c>
      <x:c r="B94" s="162" t="str">
        <x:v>2026-08-02</x:v>
      </x:c>
      <x:c r="C94" s="162" t="str">
        <x:v>Extractor correction</x:v>
      </x:c>
      <x:c r="D94" s="162" t="str">
        <x:v>Extractor v0.2.3 applies both UOM and scalar metadata and targets Workbook v0.12.</x:v>
      </x:c>
      <x:c r="E94" s="162" t="str">
        <x:v>The next run should produce a clean labour manifest.</x:v>
      </x:c>
      <x:c r="F94" s="162" t="str">
        <x:v>Verified</x:v>
      </x:c>
      <x:c r="G94" s="171" t="str">
        <x:v>7 tests pass</x:v>
      </x:c>
      <x:c r="H94" s="938" t="str">
        <x:v>Extractor v0.2.3</x:v>
      </x:c>
    </x:row>
    <x:row r="95">
      <x:c r="A95" s="972" t="str">
        <x:v>NEXT-005</x:v>
      </x:c>
      <x:c r="B95" s="940" t="str">
        <x:v>2026-08-02</x:v>
      </x:c>
      <x:c r="C95" s="940" t="str">
        <x:v>Capital allocation</x:v>
      </x:c>
      <x:c r="D95" s="940" t="str">
        <x:v>The next research decision is whether an official detailed stock source exists or a controlled allocation must be used.</x:v>
      </x:c>
      <x:c r="E95" s="940" t="str">
        <x:v>No supply-share or GOS-share allocation is authorized yet.</x:v>
      </x:c>
      <x:c r="F95" s="940" t="str">
        <x:v>Data needed</x:v>
      </x:c>
      <x:c r="G95" s="973" t="str">
        <x:v>Allocation method unresolved</x:v>
      </x:c>
      <x:c r="H95" s="941" t="str">
        <x:v>Capital_Boundary_Map</x:v>
      </x:c>
    </x:row>
    <x:row r="96">
      <x:c r="A96" t="str">
        <x:v>OIL-001</x:v>
      </x:c>
      <x:c r="B96" t="str">
        <x:v>2026-08-02</x:v>
      </x:c>
      <x:c r="C96" t="str">
        <x:v>Industry reconciliation</x:v>
      </x:c>
      <x:c r="D96" t="str">
        <x:v>Oil-sands industry output equals intermediate inputs plus labour, net production taxes and gross operating surplus exactly.</x:v>
      </x:c>
      <x:c r="E96" t="str">
        <x:v>The production-account bridge is independently closed.</x:v>
      </x:c>
      <x:c r="F96" t="str">
        <x:v>Verified</x:v>
      </x:c>
      <x:c r="G96" t="str">
        <x:v>$134.491196B / zero difference</x:v>
      </x:c>
      <x:c r="H96" t="str">
        <x:v>Oil_Sands_Bridge_2024</x:v>
      </x:c>
    </x:row>
    <x:row r="97">
      <x:c r="A97" t="str">
        <x:v>OIL-002</x:v>
      </x:c>
      <x:c r="B97" t="str">
        <x:v>2026-08-02</x:v>
      </x:c>
      <x:c r="C97" t="str">
        <x:v>Labour validation</x:v>
      </x:c>
      <x:c r="D97" t="str">
        <x:v>IO employee compensation of $9.253668B differs from the corrected all-jobs benchmark of $9.247617B by $0.006051B.</x:v>
      </x:c>
      <x:c r="E97" t="str">
        <x:v>The 0.0654% gap validates scale but does not merge the concepts.</x:v>
      </x:c>
      <x:c r="F97" t="str">
        <x:v>Verified with limitation</x:v>
      </x:c>
      <x:c r="G97" t="str">
        <x:v>0.0654% difference</x:v>
      </x:c>
      <x:c r="H97" t="str">
        <x:v>Oil_Sands_Bridge_2024</x:v>
      </x:c>
    </x:row>
    <x:row r="98">
      <x:c r="A98" t="str">
        <x:v>OIL-003</x:v>
      </x:c>
      <x:c r="B98" t="str">
        <x:v>2026-08-02</x:v>
      </x:c>
      <x:c r="C98" t="str">
        <x:v>Capital and return</x:v>
      </x:c>
      <x:c r="D98" t="str">
        <x:v>Allocated CFC is $16.765657B, allocated net stock is $145.872619B and normal return is $1.326225B.</x:v>
      </x:c>
      <x:c r="E98" t="str">
        <x:v>The resulting $44.627559B post-CFC/normal-return surplus is an industry diagnostic only.</x:v>
      </x:c>
      <x:c r="F98" t="str">
        <x:v>Verified with limitation</x:v>
      </x:c>
      <x:c r="G98" t="str">
        <x:v>Industry diagnostic</x:v>
      </x:c>
      <x:c r="H98" t="str">
        <x:v>Oil_Sands_Bridge_2024</x:v>
      </x:c>
    </x:row>
    <x:row r="99">
      <x:c r="A99" t="str">
        <x:v>GATE-011</x:v>
      </x:c>
      <x:c r="B99" t="str">
        <x:v>2026-08-02</x:v>
      </x:c>
      <x:c r="C99" t="str">
        <x:v>Commodity boundary</x:v>
      </x:c>
      <x:c r="D99" t="str">
        <x:v>Oil-sands industry output exceeds crude-bitumen-only output by $50.255196B, but NAICS 21114 explicitly includes synthetic crude production.</x:v>
      </x:c>
      <x:c r="E99" t="str">
        <x:v>The gap does not invalidate the combined oil-sands industry boundary; it prevents a bitumen-only rent split.</x:v>
      </x:c>
      <x:c r="F99" t="str">
        <x:v>Corrected</x:v>
      </x:c>
      <x:c r="G99" t="str">
        <x:v>COMBINED BOUNDARY PARTIAL</x:v>
      </x:c>
      <x:c r="H99" t="str">
        <x:v>Oil_Sands_Bridge_2024</x:v>
      </x:c>
    </x:row>
    <x:row r="100">
      <x:c r="A100" t="str">
        <x:v>NEXT-006</x:v>
      </x:c>
      <x:c r="B100" t="str">
        <x:v>2026-08-02</x:v>
      </x:c>
      <x:c r="C100" t="str">
        <x:v>Next evidence</x:v>
      </x:c>
      <x:c r="D100" t="str">
        <x:v>Obtain direct NAICS 21114 CFC and net produced-capital stock or a verified public reconstruction.</x:v>
      </x:c>
      <x:c r="E100" t="str">
        <x:v>Product-by-product cost allocation is required only for separate bitumen and synthetic-crude estimates.</x:v>
      </x:c>
      <x:c r="F100" t="str">
        <x:v>Data needed</x:v>
      </x:c>
      <x:c r="G100" t="str">
        <x:v>Direct capital required</x:v>
      </x:c>
      <x:c r="H100" t="str">
        <x:v>Oil_Sands_Bridge_2024</x:v>
      </x:c>
    </x:row>
    <x:row r="101">
      <x:c r="A101" s="26" t="str">
        <x:v>CAP-005</x:v>
      </x:c>
      <x:c r="B101" s="26" t="str">
        <x:v>2026-08-03</x:v>
      </x:c>
      <x:c r="C101" s="26" t="str">
        <x:v>Capital allocation</x:v>
      </x:c>
      <x:c r="D101" s="26" t="str">
        <x:v>Potash receives 15.117% of residual produced capital under the one-year CAPEX proxy but 4.131% under a comparable current-output share.</x:v>
      </x:c>
      <x:c r="E101" s="26" t="str">
        <x:v>One-year investment cannot be treated as a direct observation of accumulated capital stock.</x:v>
      </x:c>
      <x:c r="F101" s="26" t="str">
        <x:v>Model correction</x:v>
      </x:c>
      <x:c r="G101" s="26" t="str">
        <x:v>3.66x share multiple</x:v>
      </x:c>
      <x:c r="H101" s="26" t="str">
        <x:v>Capital_Proxy_Stress_Test</x:v>
      </x:c>
    </x:row>
    <x:row r="102">
      <x:c r="A102" s="26" t="str">
        <x:v>CAP-006</x:v>
      </x:c>
      <x:c r="B102" s="26" t="str">
        <x:v>2026-08-03</x:v>
      </x:c>
      <x:c r="C102" s="26" t="str">
        <x:v>Capital allocation</x:v>
      </x:c>
      <x:c r="D102" s="26" t="str">
        <x:v>The potash post-CFC/normal-return diagnostic is -$2.744B under CAPEX share and +$1.683B under output share.</x:v>
      </x:c>
      <x:c r="E102" s="26" t="str">
        <x:v>The allocation method changes the sign; neither scenario is publishable as the estimate.</x:v>
      </x:c>
      <x:c r="F102" s="26" t="str">
        <x:v>Locked</x:v>
      </x:c>
      <x:c r="G102" s="26" t="str">
        <x:v>$4.427B scenario swing</x:v>
      </x:c>
      <x:c r="H102" s="26" t="str">
        <x:v>Capital_Proxy_Stress_Test</x:v>
      </x:c>
    </x:row>
    <x:row r="103">
      <x:c r="A103" s="26" t="str">
        <x:v>POT-001</x:v>
      </x:c>
      <x:c r="B103" s="26" t="str">
        <x:v>2026-08-03</x:v>
      </x:c>
      <x:c r="C103" s="26" t="str">
        <x:v>Industry reconciliation</x:v>
      </x:c>
      <x:c r="D103" s="26" t="str">
        <x:v>Potash industry output of $8.492848B exactly equals intermediate inputs, labour, net production taxes, mixed income and GOS.</x:v>
      </x:c>
      <x:c r="E103" s="26" t="str">
        <x:v>The 2024 industry production-account bridge is closed.</x:v>
      </x:c>
      <x:c r="F103" s="26" t="str">
        <x:v>Verified</x:v>
      </x:c>
      <x:c r="G103" s="26" t="str">
        <x:v>Zero identity difference</x:v>
      </x:c>
      <x:c r="H103" s="26" t="str">
        <x:v>Potash_Bridge_2024</x:v>
      </x:c>
    </x:row>
    <x:row r="104">
      <x:c r="A104" s="26" t="str">
        <x:v>POT-002</x:v>
      </x:c>
      <x:c r="B104" s="26" t="str">
        <x:v>2026-08-03</x:v>
      </x:c>
      <x:c r="C104" s="26" t="str">
        <x:v>Labour validation</x:v>
      </x:c>
      <x:c r="D104" s="26" t="str">
        <x:v>IO employee compensation of $1.426298B exceeds the all-jobs benchmark of $1.189629B by $0.236669B.</x:v>
      </x:c>
      <x:c r="E104" s="26" t="str">
        <x:v>The 16.59% concept difference requires review but does not break the IO identity.</x:v>
      </x:c>
      <x:c r="F104" s="26" t="str">
        <x:v>Verified with limitation</x:v>
      </x:c>
      <x:c r="G104" s="26" t="str">
        <x:v>16.59% difference</x:v>
      </x:c>
      <x:c r="H104" s="26" t="str">
        <x:v>Potash_Bridge_2024</x:v>
      </x:c>
    </x:row>
    <x:row r="105">
      <x:c r="A105" s="26" t="str">
        <x:v>POT-003</x:v>
      </x:c>
      <x:c r="B105" s="26" t="str">
        <x:v>2026-08-03</x:v>
      </x:c>
      <x:c r="C105" s="26" t="str">
        <x:v>Boundary evidence</x:v>
      </x:c>
      <x:c r="D105" s="26" t="str">
        <x:v>Statistics Canada now publishes 2024 annual mineral-product values and mining principal statistics in tables 16-10-0022-02 and 16-10-0031-01.</x:v>
      </x:c>
      <x:c r="E105" s="26" t="str">
        <x:v>These tables are the next official product/revenue/expense controls; they are not present in the current local archive.</x:v>
      </x:c>
      <x:c r="F105" s="26" t="str">
        <x:v>Data needed</x:v>
      </x:c>
      <x:c r="G105" s="26" t="str">
        <x:v>Two new official tables</x:v>
      </x:c>
      <x:c r="H105" s="26" t="str">
        <x:v>Potash_Bridge_2024</x:v>
      </x:c>
    </x:row>
    <x:row r="106">
      <x:c r="A106" s="26" t="str">
        <x:v>GATE-012</x:v>
      </x:c>
      <x:c r="B106" s="26" t="str">
        <x:v>2026-08-03</x:v>
      </x:c>
      <x:c r="C106" s="26" t="str">
        <x:v>Publication gate</x:v>
      </x:c>
      <x:c r="D106" s="26" t="str">
        <x:v>Potash commodity rent remains locked despite a passed industry identity.</x:v>
      </x:c>
      <x:c r="E106" s="26" t="str">
        <x:v>Official product-value reconciliation and observed detailed capital are still missing.</x:v>
      </x:c>
      <x:c r="F106" s="26" t="str">
        <x:v>Locked</x:v>
      </x:c>
      <x:c r="G106" s="26" t="str">
        <x:v>COMMODITY RENT LOCKED</x:v>
      </x:c>
      <x:c r="H106" s="26" t="str">
        <x:v>Potash_Bridge_2024</x:v>
      </x:c>
    </x:row>
    <x:row r="107">
      <x:c r="A107" s="26" t="str">
        <x:v>AUD-001</x:v>
      </x:c>
      <x:c r="B107" s="26" t="str">
        <x:v>2026-08-03</x:v>
      </x:c>
      <x:c r="C107" s="26" t="str">
        <x:v>Deep research audit</x:v>
      </x:c>
      <x:c r="D107" s="26" t="str">
        <x:v>The source atlas claims direct potash stock/CFC in 36-10-0096-01, but no exact unsuppressed 212396 row was demonstrated; the archived detailed table displays potash with suppressed values.</x:v>
      </x:c>
      <x:c r="E107" s="26" t="str">
        <x:v>The READY classification is rejected and the PIM remains locked.</x:v>
      </x:c>
      <x:c r="F107" s="26" t="str">
        <x:v>Correction</x:v>
      </x:c>
      <x:c r="G107" s="26" t="str">
        <x:v>Direct stock not observed</x:v>
      </x:c>
      <x:c r="H107" s="26" t="str">
        <x:v>Deep_Research_Audit</x:v>
      </x:c>
    </x:row>
    <x:row r="108">
      <x:c r="A108" s="26" t="str">
        <x:v>AUD-002</x:v>
      </x:c>
      <x:c r="B108" s="26" t="str">
        <x:v>2026-08-03</x:v>
      </x:c>
      <x:c r="C108" s="26" t="str">
        <x:v>Oil-sands classification</x:v>
      </x:c>
      <x:c r="D108" s="26" t="str">
        <x:v>NAICS 211141 and 211142 explicitly include synthetic crude oil production.</x:v>
      </x:c>
      <x:c r="E108" s="26" t="str">
        <x:v>The combined NAICS 21114 industry boundary is potentially valid even though bitumen-only and SCO product rents cannot yet be separated.</x:v>
      </x:c>
      <x:c r="F108" s="26" t="str">
        <x:v>Correction</x:v>
      </x:c>
      <x:c r="G108" s="26" t="str">
        <x:v>Combined boundary</x:v>
      </x:c>
      <x:c r="H108" s="26" t="str">
        <x:v>Deep_Research_Audit</x:v>
      </x:c>
    </x:row>
    <x:row r="109">
      <x:c r="A109" s="26" t="str">
        <x:v>AUD-003</x:v>
      </x:c>
      <x:c r="B109" s="26" t="str">
        <x:v>2026-08-03</x:v>
      </x:c>
      <x:c r="C109" s="26" t="str">
        <x:v>Cost evidence</x:v>
      </x:c>
      <x:c r="D109" s="26" t="str">
        <x:v>AER supply cost includes capex, operating costs, royalties, taxes and a specified return.</x:v>
      </x:c>
      <x:c r="E109" s="26" t="str">
        <x:v>US$47–78/bbl supply-cost estimates are excluded from the operating-expense line.</x:v>
      </x:c>
      <x:c r="F109" s="26" t="str">
        <x:v>Correction</x:v>
      </x:c>
      <x:c r="G109" s="26" t="str">
        <x:v>Supply cost ≠ OPEX</x:v>
      </x:c>
      <x:c r="H109" s="26" t="str">
        <x:v>Deep_Research_Audit</x:v>
      </x:c>
    </x:row>
    <x:row r="110">
      <x:c r="A110" s="26" t="str">
        <x:v>NEXT-007</x:v>
      </x:c>
      <x:c r="B110" s="26" t="str">
        <x:v>2026-08-03</x:v>
      </x:c>
      <x:c r="C110" s="26" t="str">
        <x:v>Oil-sands public data</x:v>
      </x:c>
      <x:c r="D110" s="26" t="str">
        <x:v>Alberta publishes project revenue, operating costs, capital costs, return allowance and royalty payable by project.</x:v>
      </x:c>
      <x:c r="E110" s="26" t="str">
        <x:v>Extract and reconcile all 2024 oil-sands projects as a fiscal diagnostic without treating annual allowed capital costs as net capital stock.</x:v>
      </x:c>
      <x:c r="F110" s="26" t="str">
        <x:v>Data needed</x:v>
      </x:c>
      <x:c r="G110" s="26" t="str">
        <x:v>Project-level public dataset</x:v>
      </x:c>
      <x:c r="H110" s="26" t="str">
        <x:v>Deep_Research_Audit</x:v>
      </x:c>
    </x:row>
    <x:row r="111">
      <x:c r="A111" t="str">
        <x:v>OSF-001</x:v>
      </x:c>
      <x:c r="B111" t="str">
        <x:v>2026-08-03</x:v>
      </x:c>
      <x:c r="C111" t="str">
        <x:v>Oil-sands fiscal diagnostic</x:v>
      </x:c>
      <x:c r="D111" t="str">
        <x:v>Alberta’s 12-page 2024 table contains 110 reporting rows covering 106 project codes and $16.299B of reported royalty payable.</x:v>
      </x:c>
      <x:c r="E111" t="str">
        <x:v>This is a directly observed royalty-regime total, not an economic-rent denominator.</x:v>
      </x:c>
      <x:c r="F111" t="str">
        <x:v>Verified with limitation</x:v>
      </x:c>
      <x:c r="G111" t="str">
        <x:v>$16.299B royalty payable</x:v>
      </x:c>
      <x:c r="H111" t="str">
        <x:v>AB_OS_Fiscal_Diagnostic</x:v>
      </x:c>
    </x:row>
    <x:row r="112">
      <x:c r="A112" t="str">
        <x:v>OSF-002</x:v>
      </x:c>
      <x:c r="B112" t="str">
        <x:v>2026-08-03</x:v>
      </x:c>
      <x:c r="C112" t="str">
        <x:v>Source-data reconciliation</x:v>
      </x:c>
      <x:c r="D112" t="str">
        <x:v>Four rows have gross-revenue identity differences above $1,000 and two NET rows differ from the displayed net-revenue formula above $1,000.</x:v>
      </x:c>
      <x:c r="E112" t="str">
        <x:v>Preserve source exceptions; do not overwrite official values with reconstructed values.</x:v>
      </x:c>
      <x:c r="F112" t="str">
        <x:v>Review</x:v>
      </x:c>
      <x:c r="G112" t="str">
        <x:v>4 gross / 2 net material exceptions</x:v>
      </x:c>
      <x:c r="H112" t="str">
        <x:v>AB_OS_Project_Data_2024</x:v>
      </x:c>
    </x:row>
    <x:row r="113">
      <x:c r="A113" t="str">
        <x:v>POT-004</x:v>
      </x:c>
      <x:c r="B113" t="str">
        <x:v>2026-08-03</x:v>
      </x:c>
      <x:c r="C113" t="str">
        <x:v>Historical investment</x:v>
      </x:c>
      <x:c r="D113" t="str">
        <x:v>Archived potash CAPEX observations are revision vintages, not a single final series. Verified actuals are available for selected years from 2004 through 2012; other years remain preliminary, intentions or suppressed.</x:v>
      </x:c>
      <x:c r="E113" t="str">
        <x:v>Use actual vintages where available and keep status visible. The flow series still cannot initialize or validate a PIM.</x:v>
      </x:c>
      <x:c r="F113" t="str">
        <x:v>Partial</x:v>
      </x:c>
      <x:c r="G113" t="str">
        <x:v>2004–2014 vintage ledger</x:v>
      </x:c>
      <x:c r="H113" t="str">
        <x:v>Potash_CAPEX_Vintages</x:v>
      </x:c>
    </x:row>
    <x:row r="114">
      <x:c r="A114" t="str">
        <x:v>GATE-013</x:v>
      </x:c>
      <x:c r="B114" t="str">
        <x:v>2026-08-03</x:v>
      </x:c>
      <x:c r="C114" t="str">
        <x:v>Publication gate</x:v>
      </x:c>
      <x:c r="D114" t="str">
        <x:v>Project-level royalty data and historical investment flows do not supply direct net produced-capital stock or consumption of fixed capital.</x:v>
      </x:c>
      <x:c r="E114" t="str">
        <x:v>Commodity economic rent and the national rent-capture percentage remain locked.</x:v>
      </x:c>
      <x:c r="F114" t="str">
        <x:v>Locked</x:v>
      </x:c>
      <x:c r="G114" t="str">
        <x:v>0 authorized commodity-rent rows</x:v>
      </x:c>
      <x:c r="H114" t="str">
        <x:v>AB_OS_Fiscal_Diagnostic</x:v>
      </x:c>
    </x:row>
  </x:sheetData>
  <x:mergeCells>
    <x:mergeCell ref="A1:H1"/>
    <x:mergeCell ref="A2:H2"/>
  </x:mergeCells>
  <x:conditionalFormatting sqref="F5:F15">
    <x:cfRule type="expression" dxfId="2" priority="1">
      <x:formula>F5="Verified"</x:formula>
    </x:cfRule>
    <x:cfRule type="expression" dxfId="3" priority="2">
      <x:formula>F5="Verified with limitation"</x:formula>
    </x:cfRule>
    <x:cfRule type="expression" dxfId="4" priority="3">
      <x:formula>F5="Model correction"</x:formula>
    </x:cfRule>
    <x:cfRule type="expression" dxfId="5" priority="4">
      <x:formula>F5="Data needed"</x:formula>
    </x:cfRule>
  </x:conditionalFormatting>
  <x:dataValidations count="11">
    <x:dataValidation type="list" sqref="F5:F15">
      <x:formula1>"Verified,Verified with limitation,Model correction,Data needed"</x:formula1>
    </x:dataValidation>
    <x:dataValidation type="list" sqref="F16:F23">
      <x:formula1>"Verified,Verified with limitation,Model correction,Data needed"</x:formula1>
    </x:dataValidation>
    <x:dataValidation type="list" sqref="F24:F31">
      <x:formula1>"Verified,Verified with limitation,Model correction,Data needed"</x:formula1>
    </x:dataValidation>
    <x:dataValidation type="list" sqref="F32:F39">
      <x:formula1>"Verified,Verified with limitation,Model correction,Data needed"</x:formula1>
    </x:dataValidation>
    <x:dataValidation type="list" sqref="F40:F47">
      <x:formula1>"Verified,Verified with limitation,Model correction,Data needed"</x:formula1>
    </x:dataValidation>
    <x:dataValidation type="list" sqref="F48:F55">
      <x:formula1>"Verified,Verified with limitation,Model correction,Data needed,Locked"</x:formula1>
    </x:dataValidation>
    <x:dataValidation type="list" sqref="F56:F61">
      <x:formula1>"Verified,Verified with limitation,Data needed,Locked"</x:formula1>
    </x:dataValidation>
    <x:dataValidation type="list" sqref="F62:F69">
      <x:formula1>"Verified,Verified with limitation,Model correction,Locked"</x:formula1>
    </x:dataValidation>
    <x:dataValidation type="list" sqref="F70:F78">
      <x:formula1>"Verified,Verified with limitation,Model correction,Data needed,Locked"</x:formula1>
    </x:dataValidation>
    <x:dataValidation type="list" sqref="F79:F86">
      <x:formula1>"Verified,Verified with limitation,Model correction,Data needed,Locked"</x:formula1>
    </x:dataValidation>
    <x:dataValidation type="list" sqref="F87:F95">
      <x:formula1>"Verified,Verified with limitation,Model correction,Data needed,Locked"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9" hidden="0" customWidth="1"/>
    <x:col min="2" max="2" width="28" hidden="0" customWidth="1"/>
    <x:col min="3" max="3" width="18" hidden="0" customWidth="1"/>
    <x:col min="4" max="4" width="20" hidden="0" customWidth="1"/>
    <x:col min="5" max="5" width="20" hidden="0" customWidth="1"/>
    <x:col min="6" max="6" width="20" hidden="0" customWidth="1"/>
    <x:col min="7" max="7" width="24" hidden="0" customWidth="1"/>
    <x:col min="8" max="8" width="40" hidden="0" customWidth="1"/>
    <x:col min="9" max="9" width="25" hidden="0" customWidth="1"/>
    <x:col min="10" max="10" width="42" hidden="0" customWidth="1"/>
  </x:cols>
  <x:sheetData>
    <x:row r="1" ht="28" customHeight="1">
      <x:c r="A1" s="187" t="str">
        <x:v>Rent Flow Measurement — Stock, Flow and Public Capture</x:v>
      </x:c>
      <x:c r="B1" s="187"/>
      <x:c r="C1" s="187"/>
      <x:c r="D1" s="187"/>
      <x:c r="E1" s="187"/>
      <x:c r="F1" s="187"/>
      <x:c r="G1" s="187"/>
      <x:c r="H1" s="187"/>
      <x:c r="I1" s="187"/>
      <x:c r="J1" s="187"/>
    </x:row>
    <x:row r="2" ht="38" customHeight="1">
      <x:c r="A2" s="190" t="str">
        <x:v>This sheet prevents the model from combining asset stocks, annual economic rent, government revenue and liability stocks as though they were the same measurement.</x:v>
      </x:c>
      <x:c r="B2" s="190"/>
      <x:c r="C2" s="190"/>
      <x:c r="D2" s="190"/>
      <x:c r="E2" s="190"/>
      <x:c r="F2" s="190"/>
      <x:c r="G2" s="190"/>
      <x:c r="H2" s="190"/>
      <x:c r="I2" s="190"/>
      <x:c r="J2" s="190"/>
    </x:row>
    <x:row r="4" ht="34" customHeight="1">
      <x:c r="A4" s="202" t="str">
        <x:v>Measure ID</x:v>
      </x:c>
      <x:c r="B4" s="203" t="str">
        <x:v>Measure</x:v>
      </x:c>
      <x:c r="C4" s="203" t="str">
        <x:v>Reference period</x:v>
      </x:c>
      <x:c r="D4" s="203" t="str">
        <x:v>Observed amount ($B)</x:v>
      </x:c>
      <x:c r="E4" s="203" t="str">
        <x:v>Modelled amount ($B; blank unless explicitly modelled)</x:v>
      </x:c>
      <x:c r="F4" s="203" t="str">
        <x:v>Unit type</x:v>
      </x:c>
      <x:c r="G4" s="203" t="str">
        <x:v>Can be added to annual capture?</x:v>
      </x:c>
      <x:c r="H4" s="203" t="str">
        <x:v>Interpretation</x:v>
      </x:c>
      <x:c r="I4" s="203" t="str">
        <x:v>Status</x:v>
      </x:c>
      <x:c r="J4" s="204" t="str">
        <x:v>Source / calculation</x:v>
      </x:c>
    </x:row>
    <x:row r="5">
      <x:c r="A5" s="221" t="str">
        <x:v>FLOW-001</x:v>
      </x:c>
      <x:c r="B5" s="222" t="str">
        <x:v>Selected natural-resource wealth</x:v>
      </x:c>
      <x:c r="C5" s="222" t="str">
        <x:v>2024</x:v>
      </x:c>
      <x:c r="D5" s="231" t="n">
        <x:v>1362</x:v>
      </x:c>
      <x:c r="E5" s="231"/>
      <x:c r="F5" s="222" t="str">
        <x:v>Asset stock / NPV</x:v>
      </x:c>
      <x:c r="G5" s="222" t="str">
        <x:v>No</x:v>
      </x:c>
      <x:c r="H5" s="222" t="str">
        <x:v>Discounted value of expected future resource rents. Not one year's rent or revenue.</x:v>
      </x:c>
      <x:c r="I5" s="222" t="str">
        <x:v>Verified</x:v>
      </x:c>
      <x:c r="J5" s="223" t="str">
        <x:v>Statistics Canada Table 38-10-0006-01</x:v>
      </x:c>
    </x:row>
    <x:row r="6">
      <x:c r="A6" s="224" t="str">
        <x:v>FLOW-002</x:v>
      </x:c>
      <x:c r="B6" s="162" t="str">
        <x:v>Verified public resource revenue in workbook</x:v>
      </x:c>
      <x:c r="C6" s="162" t="str">
        <x:v>Mixed 2024/2024-25</x:v>
      </x:c>
      <x:c r="D6" s="233" t="n">
        <x:f>Royalty_Capture!G21</x:f>
        <x:v>29.127059697000004</x:v>
      </x:c>
      <x:c r="E6" s="232"/>
      <x:c r="F6" s="162" t="str">
        <x:v>Annual public-revenue flow</x:v>
      </x:c>
      <x:c r="G6" s="162" t="str">
        <x:v>Yes, with period and scope warning</x:v>
      </x:c>
      <x:c r="H6" s="162" t="str">
        <x:v>Incomplete lower bound based only on jurisdictions currently verified.</x:v>
      </x:c>
      <x:c r="I6" s="162" t="str">
        <x:v>Formula</x:v>
      </x:c>
      <x:c r="J6" s="225" t="str">
        <x:v>Links to Royalty_Capture observed total</x:v>
      </x:c>
    </x:row>
    <x:row r="7">
      <x:c r="A7" s="224" t="str">
        <x:v>FLOW-003</x:v>
      </x:c>
      <x:c r="B7" s="162" t="str">
        <x:v>Annual economic resource rent</x:v>
      </x:c>
      <x:c r="C7" s="162" t="str">
        <x:v>2024</x:v>
      </x:c>
      <x:c r="D7" s="232"/>
      <x:c r="E7" s="232"/>
      <x:c r="F7" s="162" t="str">
        <x:v>Annual economic-rent flow</x:v>
      </x:c>
      <x:c r="G7" s="162" t="str">
        <x:v>Yes, when observed</x:v>
      </x:c>
      <x:c r="H7" s="162" t="str">
        <x:v>Revenue less extraction inputs, labour, depreciation and a normal return on produced capital.</x:v>
      </x:c>
      <x:c r="I7" s="162" t="str">
        <x:v>Data needed</x:v>
      </x:c>
      <x:c r="J7" s="225" t="str">
        <x:v>Requires resource-by-resource economic-rent series</x:v>
      </x:c>
    </x:row>
    <x:row r="8">
      <x:c r="A8" s="224" t="str">
        <x:v>FLOW-004</x:v>
      </x:c>
      <x:c r="B8" s="162" t="str">
        <x:v>Recognized remediation liability</x:v>
      </x:c>
      <x:c r="C8" s="162" t="str">
        <x:v>Balance-sheet dates</x:v>
      </x:c>
      <x:c r="D8" s="232" t="n">
        <x:f>Liability_Ledger!G15</x:f>
        <x:v>0.313</x:v>
      </x:c>
      <x:c r="E8" s="232"/>
      <x:c r="F8" s="162" t="str">
        <x:v>Liability stock</x:v>
      </x:c>
      <x:c r="G8" s="162" t="str">
        <x:v>No</x:v>
      </x:c>
      <x:c r="H8" s="162" t="str">
        <x:v>Obligation stock. Must be reported beside revenue but not subtracted from one year's flow without a payment schedule.</x:v>
      </x:c>
      <x:c r="I8" s="162" t="str">
        <x:v>Formula</x:v>
      </x:c>
      <x:c r="J8" s="225" t="str">
        <x:v>Links to Liability_Ledger included total</x:v>
      </x:c>
    </x:row>
    <x:row r="9">
      <x:c r="A9" s="224" t="str">
        <x:v>FLOW-005</x:v>
      </x:c>
      <x:c r="B9" s="162" t="str">
        <x:v>Industry-funded security</x:v>
      </x:c>
      <x:c r="C9" s="162" t="str">
        <x:v>Balance-sheet dates</x:v>
      </x:c>
      <x:c r="D9" s="232"/>
      <x:c r="E9" s="232"/>
      <x:c r="F9" s="162" t="str">
        <x:v>Restricted financial asset / guarantee</x:v>
      </x:c>
      <x:c r="G9" s="162" t="str">
        <x:v>No</x:v>
      </x:c>
      <x:c r="H9" s="162" t="str">
        <x:v>Security available to offset remediation exposure. National data remain incomplete.</x:v>
      </x:c>
      <x:c r="I9" s="162" t="str">
        <x:v>Data needed</x:v>
      </x:c>
      <x:c r="J9" s="225" t="str">
        <x:v>Project and regulator records</x:v>
      </x:c>
    </x:row>
    <x:row r="10">
      <x:c r="A10" s="224" t="str">
        <x:v>FLOW-006</x:v>
      </x:c>
      <x:c r="B10" s="162" t="str">
        <x:v>Net public rent captured</x:v>
      </x:c>
      <x:c r="C10" s="162" t="str">
        <x:v>Annual</x:v>
      </x:c>
      <x:c r="D10" s="232"/>
      <x:c r="E10" s="232"/>
      <x:c r="F10" s="162" t="str">
        <x:v>Annual flow</x:v>
      </x:c>
      <x:c r="G10" s="162" t="str">
        <x:v>Yes</x:v>
      </x:c>
      <x:c r="H10" s="162" t="str">
        <x:v>Economic rent captured through royalties, rent taxes, leases or ownership returns, net of annual administration and remediation spending.</x:v>
      </x:c>
      <x:c r="I10" s="162" t="str">
        <x:v>Data needed</x:v>
      </x:c>
      <x:c r="J10" s="225" t="str">
        <x:v>Cannot be calculated from current stock data</x:v>
      </x:c>
    </x:row>
    <x:row r="11">
      <x:c r="A11" s="224" t="str">
        <x:v>FLOW-007</x:v>
      </x:c>
      <x:c r="B11" s="162" t="str">
        <x:v>Permanent public assets created</x:v>
      </x:c>
      <x:c r="C11" s="162" t="str">
        <x:v>Annual</x:v>
      </x:c>
      <x:c r="D11" s="232"/>
      <x:c r="E11" s="232"/>
      <x:c r="F11" s="162" t="str">
        <x:v>Annual deposit/investment flow</x:v>
      </x:c>
      <x:c r="G11" s="162" t="str">
        <x:v>Yes</x:v>
      </x:c>
      <x:c r="H11" s="162" t="str">
        <x:v>Share of public resource receipts converted into protected financial, physical or ownership assets.</x:v>
      </x:c>
      <x:c r="I11" s="162" t="str">
        <x:v>Data needed</x:v>
      </x:c>
      <x:c r="J11" s="225" t="str">
        <x:v>Fund statements and capital accounts</x:v>
      </x:c>
    </x:row>
    <x:row r="12">
      <x:c r="A12" s="224" t="str">
        <x:v>FLOW-008</x:v>
      </x:c>
      <x:c r="B12" s="162" t="str">
        <x:v>Private residual rent</x:v>
      </x:c>
      <x:c r="C12" s="162" t="str">
        <x:v>Annual</x:v>
      </x:c>
      <x:c r="D12" s="232"/>
      <x:c r="E12" s="232"/>
      <x:c r="F12" s="162" t="str">
        <x:v>Annual residual flow</x:v>
      </x:c>
      <x:c r="G12" s="162" t="str">
        <x:v>Yes</x:v>
      </x:c>
      <x:c r="H12" s="162" t="str">
        <x:v>Annual economic rent minus public and Indigenous capture, after avoiding double counting.</x:v>
      </x:c>
      <x:c r="I12" s="162" t="str">
        <x:v>Data needed</x:v>
      </x:c>
      <x:c r="J12" s="225" t="str">
        <x:v>Requires complete rent and capture data</x:v>
      </x:c>
    </x:row>
    <x:row r="13">
      <x:c r="A13" s="224" t="str">
        <x:v>FLOW-009</x:v>
      </x:c>
      <x:c r="B13" s="162" t="str">
        <x:v>Imported/exported embodied emissions</x:v>
      </x:c>
      <x:c r="C13" s="162" t="str">
        <x:v>Annual</x:v>
      </x:c>
      <x:c r="D13" s="232"/>
      <x:c r="E13" s="232"/>
      <x:c r="F13" s="162" t="str">
        <x:v>Physical/environmental flow</x:v>
      </x:c>
      <x:c r="G13" s="162" t="str">
        <x:v>No monetary addition</x:v>
      </x:c>
      <x:c r="H13" s="162" t="str">
        <x:v>Separate environmental ledger used to test whether production shifts reduce global lifecycle emissions.</x:v>
      </x:c>
      <x:c r="I13" s="162" t="str">
        <x:v>Separate dossier</x:v>
      </x:c>
      <x:c r="J13" s="225" t="str">
        <x:v>Consumption-based emissions account</x:v>
      </x:c>
    </x:row>
    <x:row r="14">
      <x:c r="A14" s="224" t="str">
        <x:v>FLOW-010</x:v>
      </x:c>
      <x:c r="B14" s="162" t="str">
        <x:v>Publication rule</x:v>
      </x:c>
      <x:c r="C14" s="162" t="str">
        <x:v>Current</x:v>
      </x:c>
      <x:c r="D14" s="232"/>
      <x:c r="E14" s="232"/>
      <x:c r="F14" s="162" t="str">
        <x:v>Evidence gate</x:v>
      </x:c>
      <x:c r="G14" s="162" t="str">
        <x:v>N/A</x:v>
      </x:c>
      <x:c r="H14" s="162" t="str">
        <x:v>No national leakage number until annual rent, public capture, Indigenous capture, liabilities and permanent assets share a common period and scope.</x:v>
      </x:c>
      <x:c r="I14" s="162" t="str">
        <x:v>Locked</x:v>
      </x:c>
      <x:c r="J14" s="225" t="str">
        <x:v>Productive Commonwealth research contract</x:v>
      </x:c>
    </x:row>
    <x:row r="15">
      <x:c r="A15" s="323" t="str">
        <x:v>FLOW-011</x:v>
      </x:c>
      <x:c r="B15" s="324" t="str">
        <x:v>Consolidated taxes on property</x:v>
      </x:c>
      <x:c r="C15" s="324" t="str">
        <x:v>2024</x:v>
      </x:c>
      <x:c r="D15" s="327" t="n">
        <x:v>103.254</x:v>
      </x:c>
      <x:c r="E15" s="326"/>
      <x:c r="F15" s="324" t="str">
        <x:v>Annual tax-revenue flow</x:v>
      </x:c>
      <x:c r="G15" s="324" t="str">
        <x:v>No — not an economic-rent estimate</x:v>
      </x:c>
      <x:c r="H15" s="324" t="str">
        <x:v>Useful national revenue anchor, but the tax base includes property rather than a measured pure land rent.</x:v>
      </x:c>
      <x:c r="I15" s="324" t="str">
        <x:v>Verified</x:v>
      </x:c>
      <x:c r="J15" s="325" t="str">
        <x:v>Statistics Canada Table 10-10-0172-01</x:v>
      </x:c>
    </x:row>
    <x:row r="16">
      <x:c r="A16" s="311" t="str">
        <x:v>FLOW-012</x:v>
      </x:c>
      <x:c r="B16" s="162" t="str">
        <x:v>Oil and gas closure liability</x:v>
      </x:c>
      <x:c r="C16" s="162" t="str">
        <x:v>2024-12-31</x:v>
      </x:c>
      <x:c r="D16" s="232" t="n">
        <x:v>36.6</x:v>
      </x:c>
      <x:c r="E16" s="230"/>
      <x:c r="F16" s="162" t="str">
        <x:v>Liability stock</x:v>
      </x:c>
      <x:c r="G16" s="162" t="str">
        <x:v>No</x:v>
      </x:c>
      <x:c r="H16" s="162" t="str">
        <x:v>Alberta oil and gas estimate; not a national liability and not annual spending.</x:v>
      </x:c>
      <x:c r="I16" s="162" t="str">
        <x:v>Verified</x:v>
      </x:c>
      <x:c r="J16" s="312" t="str">
        <x:v>Closure_Security</x:v>
      </x:c>
    </x:row>
    <x:row r="17">
      <x:c r="A17" s="313" t="str">
        <x:v>FLOW-013</x:v>
      </x:c>
      <x:c r="B17" s="314" t="str">
        <x:v>Commodity rent bridge</x:v>
      </x:c>
      <x:c r="C17" s="314" t="str">
        <x:v>2024</x:v>
      </x:c>
      <x:c r="D17" s="319"/>
      <x:c r="E17" s="317"/>
      <x:c r="F17" s="314" t="str">
        <x:v>Annual resource-rent flows</x:v>
      </x:c>
      <x:c r="G17" s="314" t="str">
        <x:v>Yes, when complete</x:v>
      </x:c>
      <x:c r="H17" s="314" t="str">
        <x:v>The public/private allocation cannot be calculated until sales and cost components are populated by commodity.</x:v>
      </x:c>
      <x:c r="I17" s="314" t="str">
        <x:v>Data needed</x:v>
      </x:c>
      <x:c r="J17" s="315" t="str">
        <x:v>Commodity_Rent_Bridge</x:v>
      </x:c>
    </x:row>
  </x:sheetData>
  <x:mergeCells>
    <x:mergeCell ref="A1:J1"/>
    <x:mergeCell ref="A2:J2"/>
  </x:mergeCells>
  <x:dataValidations count="1">
    <x:dataValidation type="list" sqref="I5:I14">
      <x:formula1>"Verified,Formula,Data needed,Separate dossier,Locked"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5" hidden="0" customWidth="1"/>
    <x:col min="3" max="3" width="23" hidden="0" customWidth="1"/>
    <x:col min="4" max="4" width="23" hidden="0" customWidth="1"/>
    <x:col min="5" max="5" width="18" hidden="0" customWidth="1"/>
    <x:col min="6" max="6" width="18" hidden="0" customWidth="1"/>
    <x:col min="7" max="7" width="18" hidden="0" customWidth="1"/>
    <x:col min="8" max="8" width="19" hidden="0" customWidth="1"/>
    <x:col min="9" max="9" width="23" hidden="0" customWidth="1"/>
    <x:col min="10" max="10" width="38" hidden="0" customWidth="1"/>
    <x:col min="11" max="11" width="23" hidden="0" customWidth="1"/>
    <x:col min="12" max="12" width="42" hidden="0" customWidth="1"/>
  </x:cols>
  <x:sheetData>
    <x:row r="1" ht="28" customHeight="1">
      <x:c r="A1" s="187" t="str">
        <x:v>Remediation and Environmental Liability Ledger</x:v>
      </x:c>
      <x:c r="B1" s="187"/>
      <x:c r="C1" s="187"/>
      <x:c r="D1" s="187"/>
      <x:c r="E1" s="187"/>
      <x:c r="F1" s="187"/>
      <x:c r="G1" s="187"/>
      <x:c r="H1" s="187"/>
      <x:c r="I1" s="187"/>
      <x:c r="J1" s="187"/>
      <x:c r="K1" s="187"/>
      <x:c r="L1" s="187"/>
    </x:row>
    <x:row r="2" ht="38" customHeight="1">
      <x:c r="A2" s="190" t="str">
        <x:v>Recognized liabilities are not the same as total environmental damage. Unknown or unrecognized obligations remain outside this sheet until verified.</x:v>
      </x:c>
      <x:c r="B2" s="190"/>
      <x:c r="C2" s="190"/>
      <x:c r="D2" s="190"/>
      <x:c r="E2" s="190"/>
      <x:c r="F2" s="190"/>
      <x:c r="G2" s="190"/>
      <x:c r="H2" s="190"/>
      <x:c r="I2" s="190"/>
      <x:c r="J2" s="190"/>
      <x:c r="K2" s="190"/>
      <x:c r="L2" s="190"/>
    </x:row>
    <x:row r="4" ht="34" customHeight="1">
      <x:c r="A4" s="202" t="str">
        <x:v>Jurisdiction</x:v>
      </x:c>
      <x:c r="B4" s="203" t="str">
        <x:v>Reference date</x:v>
      </x:c>
      <x:c r="C4" s="203" t="str">
        <x:v>Liability class</x:v>
      </x:c>
      <x:c r="D4" s="203" t="str">
        <x:v>Resource / site type</x:v>
      </x:c>
      <x:c r="E4" s="203" t="str">
        <x:v>Recognized liability ($B)</x:v>
      </x:c>
      <x:c r="F4" s="203" t="str">
        <x:v>Verified security ($B)</x:v>
      </x:c>
      <x:c r="G4" s="203" t="str">
        <x:v>Public residual ($B)</x:v>
      </x:c>
      <x:c r="H4" s="203" t="str">
        <x:v>Include in partial total?</x:v>
      </x:c>
      <x:c r="I4" s="203" t="str">
        <x:v>Status</x:v>
      </x:c>
      <x:c r="J4" s="203" t="str">
        <x:v>Scope / double-count warning</x:v>
      </x:c>
      <x:c r="K4" s="203" t="str">
        <x:v>Responsible party</x:v>
      </x:c>
      <x:c r="L4" s="204" t="str">
        <x:v>Source URL</x:v>
      </x:c>
    </x:row>
    <x:row r="5">
      <x:c r="A5" s="221" t="str">
        <x:v>Saskatchewan</x:v>
      </x:c>
      <x:c r="B5" s="222" t="str">
        <x:v>2025-03-31</x:v>
      </x:c>
      <x:c r="C5" s="222" t="str">
        <x:v>Contaminated sites</x:v>
      </x:c>
      <x:c r="D5" s="222" t="str">
        <x:v>Abandoned uranium mines</x:v>
      </x:c>
      <x:c r="E5" s="236" t="n">
        <x:v>0.094</x:v>
      </x:c>
      <x:c r="F5" s="236" t="n">
        <x:v>0</x:v>
      </x:c>
      <x:c r="G5" s="238" t="n">
        <x:f>MAX(E5-F5,0)</x:f>
        <x:v>0.094</x:v>
      </x:c>
      <x:c r="H5" s="222" t="str">
        <x:v>Yes</x:v>
      </x:c>
      <x:c r="I5" s="222" t="str">
        <x:v>Verified</x:v>
      </x:c>
      <x:c r="J5" s="222" t="str">
        <x:v>Component of Saskatchewan's $313.403M contaminated-site liability; do not add total and components together.</x:v>
      </x:c>
      <x:c r="K5" s="222" t="str">
        <x:v>Provincial government where responsible companies no longer exist</x:v>
      </x:c>
      <x:c r="L5" s="223" t="str">
        <x:v>https://www.saskatchewan.ca/-/media/news-release-backgrounders/2025/jun/2024-25-public-accounts-volume-1-4751.pdf</x:v>
      </x:c>
    </x:row>
    <x:row r="6">
      <x:c r="A6" s="224" t="str">
        <x:v>Saskatchewan</x:v>
      </x:c>
      <x:c r="B6" s="162" t="str">
        <x:v>2025-03-31</x:v>
      </x:c>
      <x:c r="C6" s="162" t="str">
        <x:v>Contaminated sites</x:v>
      </x:c>
      <x:c r="D6" s="162" t="str">
        <x:v>Precious and base metal mines</x:v>
      </x:c>
      <x:c r="E6" s="237" t="n">
        <x:v>0.062</x:v>
      </x:c>
      <x:c r="F6" s="237" t="n">
        <x:v>0</x:v>
      </x:c>
      <x:c r="G6" s="239" t="n">
        <x:f>MAX(E6-F6,0)</x:f>
        <x:v>0.062</x:v>
      </x:c>
      <x:c r="H6" s="162" t="str">
        <x:v>Yes</x:v>
      </x:c>
      <x:c r="I6" s="162" t="str">
        <x:v>Verified</x:v>
      </x:c>
      <x:c r="J6" s="162" t="str">
        <x:v>Component of Saskatchewan's $313.403M contaminated-site liability.</x:v>
      </x:c>
      <x:c r="K6" s="162" t="str">
        <x:v>Provincial government</x:v>
      </x:c>
      <x:c r="L6" s="225" t="str">
        <x:v>https://www.saskatchewan.ca/-/media/news-release-backgrounders/2025/jun/2024-25-public-accounts-volume-1-4751.pdf</x:v>
      </x:c>
    </x:row>
    <x:row r="7">
      <x:c r="A7" s="224" t="str">
        <x:v>Saskatchewan</x:v>
      </x:c>
      <x:c r="B7" s="162" t="str">
        <x:v>2025-03-31</x:v>
      </x:c>
      <x:c r="C7" s="162" t="str">
        <x:v>Contaminated sites</x:v>
      </x:c>
      <x:c r="D7" s="162" t="str">
        <x:v>Soil contamination</x:v>
      </x:c>
      <x:c r="E7" s="237" t="n">
        <x:v>0.102</x:v>
      </x:c>
      <x:c r="F7" s="237" t="n">
        <x:v>0</x:v>
      </x:c>
      <x:c r="G7" s="239" t="n">
        <x:f>MAX(E7-F7,0)</x:f>
        <x:v>0.102</x:v>
      </x:c>
      <x:c r="H7" s="162" t="str">
        <x:v>Yes</x:v>
      </x:c>
      <x:c r="I7" s="162" t="str">
        <x:v>Verified</x:v>
      </x:c>
      <x:c r="J7" s="162" t="str">
        <x:v>Primarily road salt, asphalt and fuel inventories; not solely a resource-extraction liability.</x:v>
      </x:c>
      <x:c r="K7" s="162" t="str">
        <x:v>Provincial government</x:v>
      </x:c>
      <x:c r="L7" s="225" t="str">
        <x:v>https://www.saskatchewan.ca/-/media/news-release-backgrounders/2025/jun/2024-25-public-accounts-volume-1-4751.pdf</x:v>
      </x:c>
    </x:row>
    <x:row r="8">
      <x:c r="A8" s="224" t="str">
        <x:v>Saskatchewan</x:v>
      </x:c>
      <x:c r="B8" s="162" t="str">
        <x:v>2025-03-31</x:v>
      </x:c>
      <x:c r="C8" s="162" t="str">
        <x:v>Contaminated sites</x:v>
      </x:c>
      <x:c r="D8" s="162" t="str">
        <x:v>Industrial operations</x:v>
      </x:c>
      <x:c r="E8" s="237" t="n">
        <x:v>0.055</x:v>
      </x:c>
      <x:c r="F8" s="237" t="n">
        <x:v>0</x:v>
      </x:c>
      <x:c r="G8" s="239" t="n">
        <x:f>MAX(E8-F8,0)</x:f>
        <x:v>0.055</x:v>
      </x:c>
      <x:c r="H8" s="162" t="str">
        <x:v>Yes</x:v>
      </x:c>
      <x:c r="I8" s="162" t="str">
        <x:v>Verified</x:v>
      </x:c>
      <x:c r="J8" s="162" t="str">
        <x:v>Chemical plant and pulp-mill indemnity; not solely mining or energy.</x:v>
      </x:c>
      <x:c r="K8" s="162" t="str">
        <x:v>Provincial government</x:v>
      </x:c>
      <x:c r="L8" s="225" t="str">
        <x:v>https://www.saskatchewan.ca/-/media/news-release-backgrounders/2025/jun/2024-25-public-accounts-volume-1-4751.pdf</x:v>
      </x:c>
    </x:row>
    <x:row r="9">
      <x:c r="A9" s="224" t="str">
        <x:v>Saskatchewan</x:v>
      </x:c>
      <x:c r="B9" s="162" t="str">
        <x:v>2025-03-31</x:v>
      </x:c>
      <x:c r="C9" s="162" t="str">
        <x:v>Contaminated sites</x:v>
      </x:c>
      <x:c r="D9" s="162" t="str">
        <x:v>Audited total</x:v>
      </x:c>
      <x:c r="E9" s="237" t="n">
        <x:v>0.313403</x:v>
      </x:c>
      <x:c r="F9" s="237" t="n">
        <x:v>0</x:v>
      </x:c>
      <x:c r="G9" s="239" t="n">
        <x:f>MAX(E9-F9,0)</x:f>
        <x:v>0.313403</x:v>
      </x:c>
      <x:c r="H9" s="162" t="str">
        <x:v>No</x:v>
      </x:c>
      <x:c r="I9" s="162" t="str">
        <x:v>Verified</x:v>
      </x:c>
      <x:c r="J9" s="162" t="str">
        <x:v>Audited total. Excluded from partial total because the four component rows are included.</x:v>
      </x:c>
      <x:c r="K9" s="162" t="str">
        <x:v>Provincial government</x:v>
      </x:c>
      <x:c r="L9" s="225" t="str">
        <x:v>https://www.saskatchewan.ca/-/media/news-release-backgrounders/2025/jun/2024-25-public-accounts-volume-1-4751.pdf</x:v>
      </x:c>
    </x:row>
    <x:row r="10">
      <x:c r="A10" s="224" t="str">
        <x:v>Saskatchewan</x:v>
      </x:c>
      <x:c r="B10" s="162" t="str">
        <x:v>2025-03-31</x:v>
      </x:c>
      <x:c r="C10" s="162" t="str">
        <x:v>Asset retirement obligations</x:v>
      </x:c>
      <x:c r="D10" s="162" t="str">
        <x:v>Government assets</x:v>
      </x:c>
      <x:c r="E10" s="237" t="n">
        <x:v>0.331162</x:v>
      </x:c>
      <x:c r="F10" s="237" t="n">
        <x:v>0</x:v>
      </x:c>
      <x:c r="G10" s="239" t="n">
        <x:f>MAX(E10-F10,0)</x:f>
        <x:v>0.331162</x:v>
      </x:c>
      <x:c r="H10" s="162" t="str">
        <x:v>No</x:v>
      </x:c>
      <x:c r="I10" s="162" t="str">
        <x:v>Verified partial</x:v>
      </x:c>
      <x:c r="J10" s="162" t="str">
        <x:v>Includes asbestos, equipment removal and landfill decommissioning. Excluded from resource-remediation total.</x:v>
      </x:c>
      <x:c r="K10" s="162" t="str">
        <x:v>Provincial government</x:v>
      </x:c>
      <x:c r="L10" s="225" t="str">
        <x:v>https://www.saskatchewan.ca/-/media/news-release-backgrounders/2025/jun/2024-25-public-accounts-volume-1-4751.pdf</x:v>
      </x:c>
    </x:row>
    <x:row r="11">
      <x:c r="A11" s="224" t="str">
        <x:v>Canada — data gap</x:v>
      </x:c>
      <x:c r="B11" s="162" t="str">
        <x:v>Update required</x:v>
      </x:c>
      <x:c r="C11" s="162" t="str">
        <x:v>Orphan and abandoned sites</x:v>
      </x:c>
      <x:c r="D11" s="162" t="str">
        <x:v>Oil, gas, mines and tailings</x:v>
      </x:c>
      <x:c r="E11" s="237" t="n">
        <x:v>0</x:v>
      </x:c>
      <x:c r="F11" s="237" t="n">
        <x:v>0</x:v>
      </x:c>
      <x:c r="G11" s="239" t="n">
        <x:f>MAX(E11-F11,0)</x:f>
        <x:v>0</x:v>
      </x:c>
      <x:c r="H11" s="162" t="str">
        <x:v>No</x:v>
      </x:c>
      <x:c r="I11" s="162" t="str">
        <x:v>Data needed</x:v>
      </x:c>
      <x:c r="J11" s="162" t="str">
        <x:v>National recognized liability, industry security and unfunded exposure are not consolidated.</x:v>
      </x:c>
      <x:c r="K11" s="162" t="str">
        <x:v>Mixed</x:v>
      </x:c>
      <x:c r="L11" s="225" t="str"/>
    </x:row>
    <x:row r="12">
      <x:c r="A12" s="224" t="str">
        <x:v>Canada — data gap</x:v>
      </x:c>
      <x:c r="B12" s="162" t="str">
        <x:v>Update required</x:v>
      </x:c>
      <x:c r="C12" s="162" t="str">
        <x:v>Future closure</x:v>
      </x:c>
      <x:c r="D12" s="162" t="str">
        <x:v>Operating resource projects</x:v>
      </x:c>
      <x:c r="E12" s="237" t="n">
        <x:v>0</x:v>
      </x:c>
      <x:c r="F12" s="237" t="n">
        <x:v>0</x:v>
      </x:c>
      <x:c r="G12" s="239" t="n">
        <x:f>MAX(E12-F12,0)</x:f>
        <x:v>0</x:v>
      </x:c>
      <x:c r="H12" s="162" t="str">
        <x:v>No</x:v>
      </x:c>
      <x:c r="I12" s="162" t="str">
        <x:v>Data needed</x:v>
      </x:c>
      <x:c r="J12" s="162" t="str">
        <x:v>Future obligations may be held by firms and secured by regulators; they must not be counted as current public liabilities without evidence.</x:v>
      </x:c>
      <x:c r="K12" s="162" t="str">
        <x:v>Private operators / regulators</x:v>
      </x:c>
      <x:c r="L12" s="225" t="str"/>
    </x:row>
    <x:row r="13">
      <x:c r="A13" s="224" t="str">
        <x:v>Canada — data gap</x:v>
      </x:c>
      <x:c r="B13" s="162" t="str">
        <x:v>Update required</x:v>
      </x:c>
      <x:c r="C13" s="162" t="str">
        <x:v>Climate and ecosystem effects</x:v>
      </x:c>
      <x:c r="D13" s="162" t="str">
        <x:v>Unpriced or non-accounting damage</x:v>
      </x:c>
      <x:c r="E13" s="237" t="n">
        <x:v>0</x:v>
      </x:c>
      <x:c r="F13" s="237" t="n">
        <x:v>0</x:v>
      </x:c>
      <x:c r="G13" s="239" t="n">
        <x:f>MAX(E13-F13,0)</x:f>
        <x:v>0</x:v>
      </x:c>
      <x:c r="H13" s="162" t="str">
        <x:v>No</x:v>
      </x:c>
      <x:c r="I13" s="162" t="str">
        <x:v>Data needed</x:v>
      </x:c>
      <x:c r="J13" s="162" t="str">
        <x:v>Accounting liabilities do not measure all ecological damage or foregone ecosystem services.</x:v>
      </x:c>
      <x:c r="K13" s="162" t="str">
        <x:v>Mixed</x:v>
      </x:c>
      <x:c r="L13" s="225" t="str"/>
    </x:row>
    <x:row r="14">
      <x:c r="A14" s="224" t="str">
        <x:v>Canada — data gap</x:v>
      </x:c>
      <x:c r="B14" s="162" t="str">
        <x:v>Update required</x:v>
      </x:c>
      <x:c r="C14" s="162" t="str">
        <x:v>Annual remediation spending</x:v>
      </x:c>
      <x:c r="D14" s="162" t="str">
        <x:v>All resource sectors</x:v>
      </x:c>
      <x:c r="E14" s="237" t="n">
        <x:v>0</x:v>
      </x:c>
      <x:c r="F14" s="237" t="n">
        <x:v>0</x:v>
      </x:c>
      <x:c r="G14" s="239" t="n">
        <x:f>MAX(E14-F14,0)</x:f>
        <x:v>0</x:v>
      </x:c>
      <x:c r="H14" s="162" t="str">
        <x:v>No</x:v>
      </x:c>
      <x:c r="I14" s="162" t="str">
        <x:v>Data needed</x:v>
      </x:c>
      <x:c r="J14" s="162" t="str">
        <x:v>Required to calculate annual net public capture on a common flow basis.</x:v>
      </x:c>
      <x:c r="K14" s="162" t="str">
        <x:v>Mixed</x:v>
      </x:c>
      <x:c r="L14" s="225" t="str"/>
    </x:row>
    <x:row r="15">
      <x:c r="A15" s="226" t="str">
        <x:v>Included recognized public residual — partial coverage</x:v>
      </x:c>
      <x:c r="B15" s="227"/>
      <x:c r="C15" s="227"/>
      <x:c r="D15" s="227"/>
      <x:c r="E15" s="227"/>
      <x:c r="F15" s="227"/>
      <x:c r="G15" s="242" t="n">
        <x:f>SUMIF(H5:H14,"Yes",G5:G14)</x:f>
        <x:v>0.313</x:v>
      </x:c>
      <x:c r="H15" s="227"/>
      <x:c r="I15" s="227"/>
      <x:c r="J15" s="227"/>
      <x:c r="K15" s="227"/>
      <x:c r="L15" s="228"/>
    </x:row>
  </x:sheetData>
  <x:mergeCells>
    <x:mergeCell ref="A1:L1"/>
    <x:mergeCell ref="A2:L2"/>
    <x:mergeCell ref="A15:F15"/>
  </x:mergeCells>
  <x:dataValidations count="1">
    <x:dataValidation type="list" sqref="H5:H14">
      <x:formula1>"Yes,No"</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24" hidden="0" customWidth="1"/>
    <x:col min="3" max="3" width="26" hidden="0" customWidth="1"/>
    <x:col min="4" max="4" width="24" hidden="0" customWidth="1"/>
    <x:col min="5" max="5" width="19" hidden="0" customWidth="1"/>
    <x:col min="6" max="6" width="18" hidden="0" customWidth="1"/>
    <x:col min="7" max="7" width="19" hidden="0" customWidth="1"/>
    <x:col min="8" max="8" width="19" hidden="0" customWidth="1"/>
    <x:col min="9" max="9" width="25" hidden="0" customWidth="1"/>
    <x:col min="10" max="10" width="38" hidden="0" customWidth="1"/>
    <x:col min="11" max="11" width="22" hidden="0" customWidth="1"/>
    <x:col min="12" max="12" width="22" hidden="0" customWidth="1"/>
    <x:col min="13" max="13" width="42" hidden="0" customWidth="1"/>
  </x:cols>
  <x:sheetData>
    <x:row r="1" ht="28" customHeight="1">
      <x:c r="A1" s="187" t="str">
        <x:v>Indigenous Ownership, Revenue Sharing and Treaty Models</x:v>
      </x:c>
      <x:c r="B1" s="187"/>
      <x:c r="C1" s="187"/>
      <x:c r="D1" s="187"/>
      <x:c r="E1" s="187"/>
      <x:c r="F1" s="187"/>
      <x:c r="G1" s="187"/>
      <x:c r="H1" s="187"/>
      <x:c r="I1" s="187"/>
      <x:c r="J1" s="187"/>
      <x:c r="K1" s="187"/>
      <x:c r="L1" s="187"/>
      <x:c r="M1" s="187"/>
    </x:row>
    <x:row r="2" ht="38" customHeight="1">
      <x:c r="A2" s="190" t="str">
        <x:v>Ownership, treaty rights, consultation and revenue sharing are distinct legal and economic mechanisms. This sheet does not treat Indigenous nations as a single government category.</x:v>
      </x:c>
      <x:c r="B2" s="190"/>
      <x:c r="C2" s="190"/>
      <x:c r="D2" s="190"/>
      <x:c r="E2" s="190"/>
      <x:c r="F2" s="190"/>
      <x:c r="G2" s="190"/>
      <x:c r="H2" s="190"/>
      <x:c r="I2" s="190"/>
      <x:c r="J2" s="190"/>
      <x:c r="K2" s="190"/>
      <x:c r="L2" s="190"/>
      <x:c r="M2" s="190"/>
    </x:row>
    <x:row r="4" ht="34" customHeight="1">
      <x:c r="A4" s="202" t="str">
        <x:v>Nation(s) / model</x:v>
      </x:c>
      <x:c r="B4" s="203" t="str">
        <x:v>Jurisdiction</x:v>
      </x:c>
      <x:c r="C4" s="203" t="str">
        <x:v>Instrument</x:v>
      </x:c>
      <x:c r="D4" s="203" t="str">
        <x:v>Asset or revenue base</x:v>
      </x:c>
      <x:c r="E4" s="203" t="str">
        <x:v>Share / ownership</x:v>
      </x:c>
      <x:c r="F4" s="203" t="str">
        <x:v>Financing or annual value ($B)</x:v>
      </x:c>
      <x:c r="G4" s="203" t="str">
        <x:v>Period</x:v>
      </x:c>
      <x:c r="H4" s="203" t="str">
        <x:v>Legal / policy basis</x:v>
      </x:c>
      <x:c r="I4" s="203" t="str">
        <x:v>Economic right created</x:v>
      </x:c>
      <x:c r="J4" s="203" t="str">
        <x:v>Limitations</x:v>
      </x:c>
      <x:c r="K4" s="203" t="str">
        <x:v>Status</x:v>
      </x:c>
      <x:c r="L4" s="203" t="str">
        <x:v>Include in national capture?</x:v>
      </x:c>
      <x:c r="M4" s="204" t="str">
        <x:v>Source URL</x:v>
      </x:c>
    </x:row>
    <x:row r="5">
      <x:c r="A5" s="221" t="str">
        <x:v>Grand Council Treaty #3, Wabun and Mushkegowuk agreements</x:v>
      </x:c>
      <x:c r="B5" s="222" t="str">
        <x:v>Ontario</x:v>
      </x:c>
      <x:c r="C5" s="222" t="str">
        <x:v>Resource revenue sharing</x:v>
      </x:c>
      <x:c r="D5" s="222" t="str">
        <x:v>Forestry stumpage and mining taxes/royalties</x:v>
      </x:c>
      <x:c r="E5" s="222" t="str">
        <x:v>45% forestry; 40% existing mines; 45% future mines</x:v>
      </x:c>
      <x:c r="F5" s="231" t="n">
        <x:v>0</x:v>
      </x:c>
      <x:c r="G5" s="222" t="str">
        <x:v>Agreements from 2018</x:v>
      </x:c>
      <x:c r="H5" s="222" t="str">
        <x:v>Provincial agreements</x:v>
      </x:c>
      <x:c r="I5" s="222" t="str">
        <x:v>Direct community-controlled revenue share</x:v>
      </x:c>
      <x:c r="J5" s="222" t="str">
        <x:v>Annual receipts vary; cumulative and project-level data require extraction.</x:v>
      </x:c>
      <x:c r="K5" s="222" t="str">
        <x:v>Verified structure</x:v>
      </x:c>
      <x:c r="L5" s="222" t="str">
        <x:v>No — amount needed</x:v>
      </x:c>
      <x:c r="M5" s="223" t="str">
        <x:v>https://news.ontario.ca/en/bulletin/49384/ontario-partners-with-first-nations-to-share-forestry-and-mining-revenues</x:v>
      </x:c>
    </x:row>
    <x:row r="6">
      <x:c r="A6" s="224" t="str">
        <x:v>Forest Consultation and Revenue Sharing Agreements</x:v>
      </x:c>
      <x:c r="B6" s="162" t="str">
        <x:v>British Columbia</x:v>
      </x:c>
      <x:c r="C6" s="162" t="str">
        <x:v>Forestry revenue sharing</x:v>
      </x:c>
      <x:c r="D6" s="162" t="str">
        <x:v>Harvest activity in asserted traditional territories</x:v>
      </x:c>
      <x:c r="E6" s="162" t="str">
        <x:v>Formula varies by agreement</x:v>
      </x:c>
      <x:c r="F6" s="232" t="n">
        <x:v>0.063</x:v>
      </x:c>
      <x:c r="G6" s="162" t="str">
        <x:v>Annual interim increase since April 2022</x:v>
      </x:c>
      <x:c r="H6" s="162" t="str">
        <x:v>Provincial agreements</x:v>
      </x:c>
      <x:c r="I6" s="162" t="str">
        <x:v>Community revenue linked to harvest activity</x:v>
      </x:c>
      <x:c r="J6" s="162" t="str">
        <x:v>$63M is the program's approximate annual increase, not total Indigenous forestry revenue.</x:v>
      </x:c>
      <x:c r="K6" s="162" t="str">
        <x:v>Verified partial</x:v>
      </x:c>
      <x:c r="L6" s="162" t="str">
        <x:v>No — avoid double count</x:v>
      </x:c>
      <x:c r="M6" s="225" t="str">
        <x:v>https://www2.gov.bc.ca/gov/content/environment/natural-resource-stewardship/consulting-with-first-nations/first-nations-negotiations/forest-consultation-and-revenue-sharing-agreements</x:v>
      </x:c>
    </x:row>
    <x:row r="7">
      <x:c r="A7" s="224" t="str">
        <x:v>Maa-nulth First Nations</x:v>
      </x:c>
      <x:c r="B7" s="162" t="str">
        <x:v>British Columbia / Canada</x:v>
      </x:c>
      <x:c r="C7" s="162" t="str">
        <x:v>Modern-treaty resource revenue sharing</x:v>
      </x:c>
      <x:c r="D7" s="162" t="str">
        <x:v>Defined invoiced resource amount</x:v>
      </x:c>
      <x:c r="E7" s="162" t="str">
        <x:v>Treaty formula</x:v>
      </x:c>
      <x:c r="F7" s="232" t="n">
        <x:v>0</x:v>
      </x:c>
      <x:c r="G7" s="162" t="str">
        <x:v>24 years after effective date</x:v>
      </x:c>
      <x:c r="H7" s="162" t="str">
        <x:v>Modern treaty implemented by legislation</x:v>
      </x:c>
      <x:c r="I7" s="162" t="str">
        <x:v>Enforceable treaty payment stream</x:v>
      </x:c>
      <x:c r="J7" s="162" t="str">
        <x:v>Payment amount must be obtained from treaty statements; treaty rights are not a discretionary program.</x:v>
      </x:c>
      <x:c r="K7" s="162" t="str">
        <x:v>Verified structure</x:v>
      </x:c>
      <x:c r="L7" s="162" t="str">
        <x:v>No — amount needed</x:v>
      </x:c>
      <x:c r="M7" s="225" t="str">
        <x:v>https://www.bclaws.gov.bc.ca/civix/document/id/complete/statreg/07043_20</x:v>
      </x:c>
    </x:row>
    <x:row r="8">
      <x:c r="A8" s="224" t="str">
        <x:v>38 First Nations — Stonlasec8 alliance</x:v>
      </x:c>
      <x:c r="B8" s="162" t="str">
        <x:v>British Columbia</x:v>
      </x:c>
      <x:c r="C8" s="162" t="str">
        <x:v>Loan-guaranteed equity purchase</x:v>
      </x:c>
      <x:c r="D8" s="162" t="str">
        <x:v>Enbridge Westcoast pipeline system</x:v>
      </x:c>
      <x:c r="E8" s="162" t="str">
        <x:v>12.5% equity</x:v>
      </x:c>
      <x:c r="F8" s="232" t="n">
        <x:v>0.715</x:v>
      </x:c>
      <x:c r="G8" s="162" t="str">
        <x:v>Announced 2025</x:v>
      </x:c>
      <x:c r="H8" s="162" t="str">
        <x:v>Federal Indigenous Loan Guarantee Program</x:v>
      </x:c>
      <x:c r="I8" s="162" t="str">
        <x:v>Long-term ownership and distributions</x:v>
      </x:c>
      <x:c r="J8" s="162" t="str">
        <x:v>$400M is the federal guarantee; $715M is approximate investment value. Debt service and distribution terms matter.</x:v>
      </x:c>
      <x:c r="K8" s="162" t="str">
        <x:v>Verified</x:v>
      </x:c>
      <x:c r="L8" s="162" t="str">
        <x:v>No — ownership asset</x:v>
      </x:c>
      <x:c r="M8" s="225" t="str">
        <x:v>https://budget.canada.ca/update-miseajour/2026/report-rapport/chap1-en.html</x:v>
      </x:c>
    </x:row>
    <x:row r="9">
      <x:c r="A9" s="224" t="str">
        <x:v>Aamjiwnaang and Chippewas of Kettle and Stony Point</x:v>
      </x:c>
      <x:c r="B9" s="162" t="str">
        <x:v>Ontario</x:v>
      </x:c>
      <x:c r="C9" s="162" t="str">
        <x:v>Loan-guaranteed equity purchase</x:v>
      </x:c>
      <x:c r="D9" s="162" t="str">
        <x:v>Hydro One Chatham-to-Lakeshore transmission line</x:v>
      </x:c>
      <x:c r="E9" s="162" t="str">
        <x:v>Nearly 20% equity</x:v>
      </x:c>
      <x:c r="F9" s="232" t="n">
        <x:v>0</x:v>
      </x:c>
      <x:c r="G9" s="162" t="str">
        <x:v>Announced March 2026</x:v>
      </x:c>
      <x:c r="H9" s="162" t="str">
        <x:v>Federal Indigenous Loan Guarantee Program</x:v>
      </x:c>
      <x:c r="I9" s="162" t="str">
        <x:v>Ownership in regulated transmission asset</x:v>
      </x:c>
      <x:c r="J9" s="162" t="str">
        <x:v>Financing value and expected distributions require transaction documents.</x:v>
      </x:c>
      <x:c r="K9" s="162" t="str">
        <x:v>Verified structure</x:v>
      </x:c>
      <x:c r="L9" s="162" t="str">
        <x:v>No — amount needed</x:v>
      </x:c>
      <x:c r="M9" s="225" t="str">
        <x:v>https://www.canada.ca/en/department-finance/news/2026/03/government-supports-equity-purchase-of-hydro-one-line-to-advance-indigenous-economic-participation.html</x:v>
      </x:c>
    </x:row>
    <x:row r="10">
      <x:c r="A10" s="224" t="str">
        <x:v>Williams Treaties First Nations</x:v>
      </x:c>
      <x:c r="B10" s="162" t="str">
        <x:v>Ontario</x:v>
      </x:c>
      <x:c r="C10" s="162" t="str">
        <x:v>Federal/provincial loan-guaranteed equity</x:v>
      </x:c>
      <x:c r="D10" s="162" t="str">
        <x:v>Darlington New Nuclear Project</x:v>
      </x:c>
      <x:c r="E10" s="162" t="str">
        <x:v>Significant minority interest</x:v>
      </x:c>
      <x:c r="F10" s="232" t="n">
        <x:v>0.715</x:v>
      </x:c>
      <x:c r="G10" s="162" t="str">
        <x:v>Announced June 2026</x:v>
      </x:c>
      <x:c r="H10" s="162" t="str">
        <x:v>Federal ILGP and Ontario Indigenous Opportunities Financing Program</x:v>
      </x:c>
      <x:c r="I10" s="162" t="str">
        <x:v>Ownership in long-lived generating asset</x:v>
      </x:c>
      <x:c r="J10" s="162" t="str">
        <x:v>Guarantee supports financing; final ownership percentage, distributions and construction risks require agreements.</x:v>
      </x:c>
      <x:c r="K10" s="162" t="str">
        <x:v>Verified structure</x:v>
      </x:c>
      <x:c r="L10" s="162" t="str">
        <x:v>No — ownership asset</x:v>
      </x:c>
      <x:c r="M10" s="225" t="str">
        <x:v>https://www.canada.ca/en/department-finance/news/2026/06/government-announces-largest-indigenous-loan-guarantee-in-canadian-history-to-support-darlington-new-nuclear-project.html</x:v>
      </x:c>
    </x:row>
    <x:row r="11">
      <x:c r="A11" s="224" t="str">
        <x:v>Extractive-payment reporting</x:v>
      </x:c>
      <x:c r="B11" s="162" t="str">
        <x:v>Québec</x:v>
      </x:c>
      <x:c r="C11" s="162" t="str">
        <x:v>Mandatory transparency reporting</x:v>
      </x:c>
      <x:c r="D11" s="162" t="str">
        <x:v>Payments by mining, oil and gas firms</x:v>
      </x:c>
      <x:c r="E11" s="162" t="str">
        <x:v>Payments to governments and Indigenous nations/communities</x:v>
      </x:c>
      <x:c r="F11" s="232" t="n">
        <x:v>0</x:v>
      </x:c>
      <x:c r="G11" s="162" t="str">
        <x:v>Annual</x:v>
      </x:c>
      <x:c r="H11" s="162" t="str">
        <x:v>Québec transparency legislation</x:v>
      </x:c>
      <x:c r="I11" s="162" t="str">
        <x:v>Publicly traceable payment data</x:v>
      </x:c>
      <x:c r="J11" s="162" t="str">
        <x:v>Reporting is not itself ownership or revenue sharing; register extraction is still required.</x:v>
      </x:c>
      <x:c r="K11" s="162" t="str">
        <x:v>Verified structure</x:v>
      </x:c>
      <x:c r="L11" s="162" t="str">
        <x:v>No — data extraction needed</x:v>
      </x:c>
      <x:c r="M11" s="225" t="str">
        <x:v>https://www.quebec.ca/en/agriculture-environment-and-natural-resources/mining/reporting-payments</x:v>
      </x:c>
    </x:row>
    <x:row r="12">
      <x:c r="A12" s="224" t="str">
        <x:v>National data gap</x:v>
      </x:c>
      <x:c r="B12" s="162" t="str">
        <x:v>Canada</x:v>
      </x:c>
      <x:c r="C12" s="162" t="str">
        <x:v>Consolidated Indigenous public-wealth account</x:v>
      </x:c>
      <x:c r="D12" s="162" t="str">
        <x:v>Treaty, royalty, trust and equity assets</x:v>
      </x:c>
      <x:c r="E12" s="162" t="str">
        <x:v>Unknown</x:v>
      </x:c>
      <x:c r="F12" s="232" t="n">
        <x:v>0</x:v>
      </x:c>
      <x:c r="G12" s="162" t="str">
        <x:v>Update required</x:v>
      </x:c>
      <x:c r="H12" s="162" t="str">
        <x:v>Multiple treaties, laws and own-source arrangements</x:v>
      </x:c>
      <x:c r="I12" s="162" t="str">
        <x:v>Would measure durable Indigenous-owned wealth</x:v>
      </x:c>
      <x:c r="J12" s="162" t="str">
        <x:v>No single national total should override nation-specific legal rights or duplicate provincial/company payments.</x:v>
      </x:c>
      <x:c r="K12" s="162" t="str">
        <x:v>Data needed</x:v>
      </x:c>
      <x:c r="L12" s="162" t="str">
        <x:v>No</x:v>
      </x:c>
      <x:c r="M12" s="225" t="str"/>
    </x:row>
    <x:row r="13">
      <x:c r="A13" s="224" t="str">
        <x:v>Legal baseline</x:v>
      </x:c>
      <x:c r="B13" s="162" t="str">
        <x:v>Federal and provincial Crowns</x:v>
      </x:c>
      <x:c r="C13" s="162" t="str">
        <x:v>Duty to consult and accommodate</x:v>
      </x:c>
      <x:c r="D13" s="162" t="str">
        <x:v>Contemplated conduct affecting section 35 rights</x:v>
      </x:c>
      <x:c r="E13" s="162" t="str">
        <x:v>Process and accommodation depend on circumstances</x:v>
      </x:c>
      <x:c r="F13" s="232" t="n">
        <x:v>0</x:v>
      </x:c>
      <x:c r="G13" s="162" t="str">
        <x:v>Project-specific</x:v>
      </x:c>
      <x:c r="H13" s="162" t="str">
        <x:v>Section 35 and Crown honour jurisprudence</x:v>
      </x:c>
      <x:c r="I13" s="162" t="str">
        <x:v>Protection of asserted or established rights</x:v>
      </x:c>
      <x:c r="J13" s="162" t="str">
        <x:v>Consultation is not ownership; ownership does not automatically discharge consultation duties.</x:v>
      </x:c>
      <x:c r="K13" s="162" t="str">
        <x:v>Verified legal rule</x:v>
      </x:c>
      <x:c r="L13" s="162" t="str">
        <x:v>No</x:v>
      </x:c>
      <x:c r="M13" s="225" t="str">
        <x:v>https://www.justice.gc.ca/eng/csj-sjc/ijr-dja/35pedia-wiki35/p8.html</x:v>
      </x:c>
    </x:row>
    <x:row r="14">
      <x:c r="A14" s="226" t="str">
        <x:v>Modern treaty / title baseline</x:v>
      </x:c>
      <x:c r="B14" s="227" t="str">
        <x:v>Nation-specific</x:v>
      </x:c>
      <x:c r="C14" s="227" t="str">
        <x:v>Treaty, title and self-government authority</x:v>
      </x:c>
      <x:c r="D14" s="227" t="str">
        <x:v>Land, resources and decision-making</x:v>
      </x:c>
      <x:c r="E14" s="227" t="str">
        <x:v>Agreement or title-specific</x:v>
      </x:c>
      <x:c r="F14" s="244" t="n">
        <x:v>0</x:v>
      </x:c>
      <x:c r="G14" s="227" t="str">
        <x:v>Ongoing</x:v>
      </x:c>
      <x:c r="H14" s="227" t="str">
        <x:v>Constitution Act, 1982, section 35; treaties and case law</x:v>
      </x:c>
      <x:c r="I14" s="227" t="str">
        <x:v>Rights and jurisdiction, not merely a transfer payment</x:v>
      </x:c>
      <x:c r="J14" s="227" t="str">
        <x:v>Must be analysed nation by nation and project by project.</x:v>
      </x:c>
      <x:c r="K14" s="227" t="str">
        <x:v>Legal framework</x:v>
      </x:c>
      <x:c r="L14" s="227" t="str">
        <x:v>No</x:v>
      </x:c>
      <x:c r="M14" s="228" t="str">
        <x:v>https://laws-lois.justice.gc.ca/eng/const/fulltext.html</x:v>
      </x:c>
    </x:row>
  </x:sheetData>
  <x:mergeCells>
    <x:mergeCell ref="A1:M1"/>
    <x:mergeCell ref="A2:M2"/>
  </x:mergeCells>
  <x:pageMargins left="0.7" right="0.7" top="0.75" bottom="0.75" header="0.3" footer="0.3"/>
</x:worksheet>
</file>

<file path=xl/worksheets/sheet16.xml><?xml version="1.0" encoding="utf-8"?>
<x:worksheet xmlns:x="http://schemas.openxmlformats.org/spreadsheetml/2006/main">
  <x:sheetFormatPr defaultRowHeight="15"/>
  <x:cols>
    <x:col min="1" max="1" width="20" hidden="0" customWidth="1"/>
    <x:col min="2" max="2" width="21" hidden="0" customWidth="1"/>
    <x:col min="3" max="3" width="24" hidden="0" customWidth="1"/>
    <x:col min="4" max="4" width="29" hidden="0" customWidth="1"/>
    <x:col min="5" max="5" width="32" hidden="0" customWidth="1"/>
    <x:col min="6" max="6" width="31" hidden="0" customWidth="1"/>
    <x:col min="7" max="7" width="35" hidden="0" customWidth="1"/>
    <x:col min="8" max="8" width="23" hidden="0" customWidth="1"/>
    <x:col min="9" max="9" width="22" hidden="0" customWidth="1"/>
    <x:col min="10" max="10" width="42" hidden="0" customWidth="1"/>
  </x:cols>
  <x:sheetData>
    <x:row r="1" ht="28" customHeight="1">
      <x:c r="A1" s="187" t="str">
        <x:v>Constitutional Allocation Map — Land, Resources, Taxation and Public Wealth</x:v>
      </x:c>
      <x:c r="B1" s="187"/>
      <x:c r="C1" s="187"/>
      <x:c r="D1" s="187"/>
      <x:c r="E1" s="187"/>
      <x:c r="F1" s="187"/>
      <x:c r="G1" s="187"/>
      <x:c r="H1" s="187"/>
      <x:c r="I1" s="187"/>
      <x:c r="J1" s="187"/>
    </x:row>
    <x:row r="2" ht="38" customHeight="1">
      <x:c r="A2" s="190" t="str">
        <x:v>This is a research map, not legal advice. It identifies constitutional starting points; specific projects may also engage treaties, Aboriginal title, federal lands, offshore regimes and court decisions.</x:v>
      </x:c>
      <x:c r="B2" s="190"/>
      <x:c r="C2" s="190"/>
      <x:c r="D2" s="190"/>
      <x:c r="E2" s="190"/>
      <x:c r="F2" s="190"/>
      <x:c r="G2" s="190"/>
      <x:c r="H2" s="190"/>
      <x:c r="I2" s="190"/>
      <x:c r="J2" s="190"/>
    </x:row>
    <x:row r="4" ht="34" customHeight="1">
      <x:c r="A4" s="202" t="str">
        <x:v>Actor / jurisdiction</x:v>
      </x:c>
      <x:c r="B4" s="203" t="str">
        <x:v>Authority</x:v>
      </x:c>
      <x:c r="C4" s="203" t="str">
        <x:v>Constitutional source</x:v>
      </x:c>
      <x:c r="D4" s="203" t="str">
        <x:v>Primary power or interest</x:v>
      </x:c>
      <x:c r="E4" s="203" t="str">
        <x:v>Revenue instruments</x:v>
      </x:c>
      <x:c r="F4" s="203" t="str">
        <x:v>Limits / overlap</x:v>
      </x:c>
      <x:c r="G4" s="203" t="str">
        <x:v>Productive Commonwealth consequence</x:v>
      </x:c>
      <x:c r="H4" s="203" t="str">
        <x:v>Status</x:v>
      </x:c>
      <x:c r="I4" s="203" t="str">
        <x:v>Legal review priority</x:v>
      </x:c>
      <x:c r="J4" s="204" t="str">
        <x:v>Source URL</x:v>
      </x:c>
    </x:row>
    <x:row r="5">
      <x:c r="A5" s="221" t="str">
        <x:v>Parliament of Canada</x:v>
      </x:c>
      <x:c r="B5" s="222" t="str">
        <x:v>Federal</x:v>
      </x:c>
      <x:c r="C5" s="222" t="str">
        <x:v>Constitution Act, 1867, s.91</x:v>
      </x:c>
      <x:c r="D5" s="222" t="str">
        <x:v>Trade and commerce; federal taxation; public debt/property; banking; navigation/shipping; fisheries; interprovincial and international works</x:v>
      </x:c>
      <x:c r="E5" s="222" t="str">
        <x:v>Federal taxes, federal leases/licences, spectrum proceeds, Crown returns</x:v>
      </x:c>
      <x:c r="F5" s="222" t="str">
        <x:v>Cannot convert general federal objectives into control over matters assigned to provinces.</x:v>
      </x:c>
      <x:c r="G5" s="222" t="str">
        <x:v>Federal fund should use federal assets/revenues and negotiated agreements, not assume ownership of provincial royalties.</x:v>
      </x:c>
      <x:c r="H5" s="222" t="str">
        <x:v>Verified baseline</x:v>
      </x:c>
      <x:c r="I5" s="222" t="str">
        <x:v>High</x:v>
      </x:c>
      <x:c r="J5" s="223" t="str">
        <x:v>https://laws-lois.justice.gc.ca/eng/const/section-91.html</x:v>
      </x:c>
    </x:row>
    <x:row r="6">
      <x:c r="A6" s="224" t="str">
        <x:v>Provincial legislatures</x:v>
      </x:c>
      <x:c r="B6" s="162" t="str">
        <x:v>Provincial</x:v>
      </x:c>
      <x:c r="C6" s="162" t="str">
        <x:v>Constitution Act, 1867, s.92</x:v>
      </x:c>
      <x:c r="D6" s="162" t="str">
        <x:v>Direct taxation; provincial public lands and timber; municipalities; local works; property and civil rights</x:v>
      </x:c>
      <x:c r="E6" s="162" t="str">
        <x:v>Royalties, land leases, direct taxes, delegated municipal property taxes</x:v>
      </x:c>
      <x:c r="F6" s="162" t="str">
        <x:v>Federal powers, treaties, section 35 rights and interprovincial/international dimensions may apply.</x:v>
      </x:c>
      <x:c r="G6" s="162" t="str">
        <x:v>Land-value return and most Crown-resource funds require provincial legislation.</x:v>
      </x:c>
      <x:c r="H6" s="162" t="str">
        <x:v>Verified baseline</x:v>
      </x:c>
      <x:c r="I6" s="162" t="str">
        <x:v>High</x:v>
      </x:c>
      <x:c r="J6" s="225" t="str">
        <x:v>https://laws-lois.justice.gc.ca/eng/Const/section-92.html</x:v>
      </x:c>
    </x:row>
    <x:row r="7">
      <x:c r="A7" s="224" t="str">
        <x:v>Provincial legislatures</x:v>
      </x:c>
      <x:c r="B7" s="162" t="str">
        <x:v>Provincial</x:v>
      </x:c>
      <x:c r="C7" s="162" t="str">
        <x:v>Constitution Act, 1867, s.92A</x:v>
      </x:c>
      <x:c r="D7" s="162" t="str">
        <x:v>Exploration, development, conservation and management of non-renewables, forestry and electricity generation; resource taxation</x:v>
      </x:c>
      <x:c r="E7" s="162" t="str">
        <x:v>Resource taxes and royalties without discrimination against interprovincial exports</x:v>
      </x:c>
      <x:c r="F7" s="162" t="str">
        <x:v>Parliament retains authority over interprovincial resource exports and prevails in a conflict under s.92A(3).</x:v>
      </x:c>
      <x:c r="G7" s="162" t="str">
        <x:v>A federated wealth-fund architecture is more viable than unilateral federal capture.</x:v>
      </x:c>
      <x:c r="H7" s="162" t="str">
        <x:v>Verified baseline</x:v>
      </x:c>
      <x:c r="I7" s="162" t="str">
        <x:v>High</x:v>
      </x:c>
      <x:c r="J7" s="225" t="str">
        <x:v>https://laws-lois.justice.gc.ca/eng/const/fulltext.html</x:v>
      </x:c>
    </x:row>
    <x:row r="8">
      <x:c r="A8" s="224" t="str">
        <x:v>Provinces</x:v>
      </x:c>
      <x:c r="B8" s="162" t="str">
        <x:v>Beneficial interest</x:v>
      </x:c>
      <x:c r="C8" s="162" t="str">
        <x:v>Constitution Act, 1867, s.109</x:v>
      </x:c>
      <x:c r="D8" s="162" t="str">
        <x:v>Provincial lands, mines, minerals and royalties, subject to existing trusts and interests</x:v>
      </x:c>
      <x:c r="E8" s="162" t="str">
        <x:v>Ownership returns, leases, royalties</x:v>
      </x:c>
      <x:c r="F8" s="162" t="str">
        <x:v>Existing legal interests, Aboriginal title/treaty rights and later constitutional provisions must be respected.</x:v>
      </x:c>
      <x:c r="G8" s="162" t="str">
        <x:v>The ledger must begin with legal ownership, not merely the location of a resource.</x:v>
      </x:c>
      <x:c r="H8" s="162" t="str">
        <x:v>Verified baseline</x:v>
      </x:c>
      <x:c r="I8" s="162" t="str">
        <x:v>High</x:v>
      </x:c>
      <x:c r="J8" s="225" t="str">
        <x:v>https://laws-lois.justice.gc.ca/eng/const/fulltext.html</x:v>
      </x:c>
    </x:row>
    <x:row r="9">
      <x:c r="A9" s="224" t="str">
        <x:v>Federal and provincial Crowns</x:v>
      </x:c>
      <x:c r="B9" s="162" t="str">
        <x:v>Tax immunity</x:v>
      </x:c>
      <x:c r="C9" s="162" t="str">
        <x:v>Constitution Act, 1867, s.125</x:v>
      </x:c>
      <x:c r="D9" s="162" t="str">
        <x:v>Lands or property of Canada or a province are not liable to taxation</x:v>
      </x:c>
      <x:c r="E9" s="162" t="str">
        <x:v>Intergovernmental payments, grants in lieu and contractual arrangements</x:v>
      </x:c>
      <x:c r="F9" s="162" t="str">
        <x:v>Land-value models cannot assume ordinary municipal taxation of Crown property.</x:v>
      </x:c>
      <x:c r="G9" s="162" t="str">
        <x:v>Public-land value capture requires leases, development agreements or statutory alternatives.</x:v>
      </x:c>
      <x:c r="H9" s="162" t="str">
        <x:v>Verified baseline</x:v>
      </x:c>
      <x:c r="I9" s="162" t="str">
        <x:v>Medium</x:v>
      </x:c>
      <x:c r="J9" s="225" t="str">
        <x:v>https://laws-lois.justice.gc.ca/eng/const/fulltext.html</x:v>
      </x:c>
    </x:row>
    <x:row r="10">
      <x:c r="A10" s="224" t="str">
        <x:v>Municipalities</x:v>
      </x:c>
      <x:c r="B10" s="162" t="str">
        <x:v>Delegated local government</x:v>
      </x:c>
      <x:c r="C10" s="162" t="str">
        <x:v>Constitution Act, 1867, s.92(8) plus provincial statutes</x:v>
      </x:c>
      <x:c r="D10" s="162" t="str">
        <x:v>Property taxation, development charges and local infrastructure within delegated authority</x:v>
      </x:c>
      <x:c r="E10" s="162" t="str">
        <x:v>Property taxes, special assessments, development charges, community revitalization levies</x:v>
      </x:c>
      <x:c r="F10" s="162" t="str">
        <x:v>Municipal powers and revenue tools vary by province and can be changed by provincial legislation.</x:v>
      </x:c>
      <x:c r="G10" s="162" t="str">
        <x:v>National land-value reform requires provincial enabling laws and municipal administration.</x:v>
      </x:c>
      <x:c r="H10" s="162" t="str">
        <x:v>Verified baseline</x:v>
      </x:c>
      <x:c r="I10" s="162" t="str">
        <x:v>High</x:v>
      </x:c>
      <x:c r="J10" s="225" t="str">
        <x:v>https://laws-lois.justice.gc.ca/eng/Const/section-92.html</x:v>
      </x:c>
    </x:row>
    <x:row r="11">
      <x:c r="A11" s="224" t="str">
        <x:v>Indigenous rights-holders</x:v>
      </x:c>
      <x:c r="B11" s="162" t="str">
        <x:v>Constitutionally protected rights</x:v>
      </x:c>
      <x:c r="C11" s="162" t="str">
        <x:v>Constitution Act, 1982, s.35</x:v>
      </x:c>
      <x:c r="D11" s="162" t="str">
        <x:v>Existing Aboriginal and treaty rights; title and modern-treaty powers where established</x:v>
      </x:c>
      <x:c r="E11" s="162" t="str">
        <x:v>Treaty payments, own-source revenue, royalties, equity, taxes and land-based income depending on legal regime</x:v>
      </x:c>
      <x:c r="F11" s="162" t="str">
        <x:v>Rights and authority are nation- and agreement-specific; cannot be reduced to a fixed national percentage.</x:v>
      </x:c>
      <x:c r="G11" s="162" t="str">
        <x:v>Indigenous capture must be separately recorded and governed through the applicable rights-holding nation.</x:v>
      </x:c>
      <x:c r="H11" s="162" t="str">
        <x:v>Verified baseline</x:v>
      </x:c>
      <x:c r="I11" s="162" t="str">
        <x:v>High</x:v>
      </x:c>
      <x:c r="J11" s="225" t="str">
        <x:v>https://laws-lois.justice.gc.ca/eng/const/fulltext.html</x:v>
      </x:c>
    </x:row>
    <x:row r="12">
      <x:c r="A12" s="224" t="str">
        <x:v>Federal and provincial Crowns</x:v>
      </x:c>
      <x:c r="B12" s="162" t="str">
        <x:v>Duty to consult/accommodate</x:v>
      </x:c>
      <x:c r="C12" s="162" t="str">
        <x:v>Section 35 jurisprudence</x:v>
      </x:c>
      <x:c r="D12" s="162" t="str">
        <x:v>Consult before contemplated conduct may adversely affect asserted or established rights</x:v>
      </x:c>
      <x:c r="E12" s="162" t="str">
        <x:v>Accommodation, revenue sharing, redesign, mitigation or other measures where appropriate</x:v>
      </x:c>
      <x:c r="F12" s="162" t="str">
        <x:v>Duty belongs to the Crown; private proponents may assist but cannot discharge it alone.</x:v>
      </x:c>
      <x:c r="G12" s="162" t="str">
        <x:v>A public-return model cannot substitute money or equity for the applicable constitutional process.</x:v>
      </x:c>
      <x:c r="H12" s="162" t="str">
        <x:v>Verified legal rule</x:v>
      </x:c>
      <x:c r="I12" s="162" t="str">
        <x:v>High</x:v>
      </x:c>
      <x:c r="J12" s="225" t="str">
        <x:v>https://www.justice.gc.ca/eng/csj-sjc/ijr-dja/35pedia-wiki35/p8.html</x:v>
      </x:c>
    </x:row>
    <x:row r="13">
      <x:c r="A13" s="224" t="str">
        <x:v>Territorial governments</x:v>
      </x:c>
      <x:c r="B13" s="162" t="str">
        <x:v>Devolved/statutory and treaty-based authority</x:v>
      </x:c>
      <x:c r="C13" s="162" t="str">
        <x:v>Federal statutes, devolution and modern treaties</x:v>
      </x:c>
      <x:c r="D13" s="162" t="str">
        <x:v>Land, resource and environmental powers vary by territory and agreement</x:v>
      </x:c>
      <x:c r="E13" s="162" t="str">
        <x:v>Royalties, leases, taxes, Indigenous and public ownership structures</x:v>
      </x:c>
      <x:c r="F13" s="162" t="str">
        <x:v>Territories are not constitutionally identical to provinces; northern review boards and treaties may govern.</x:v>
      </x:c>
      <x:c r="G13" s="162" t="str">
        <x:v>Territorial rows must not be populated by mechanically copying provincial powers.</x:v>
      </x:c>
      <x:c r="H13" s="162" t="str">
        <x:v>Framework locked; detailed map needed</x:v>
      </x:c>
      <x:c r="I13" s="162" t="str">
        <x:v>High</x:v>
      </x:c>
      <x:c r="J13" s="225" t="str">
        <x:v>https://www.canada.ca/en/one-canadian-economy/services/building-canada-act-projects-national-interest.html</x:v>
      </x:c>
    </x:row>
    <x:row r="14">
      <x:c r="A14" s="224" t="str">
        <x:v>Offshore areas</x:v>
      </x:c>
      <x:c r="B14" s="162" t="str">
        <x:v>Joint/federal-provincial regimes</x:v>
      </x:c>
      <x:c r="C14" s="162" t="str">
        <x:v>Constitution, statutes and accords</x:v>
      </x:c>
      <x:c r="D14" s="162" t="str">
        <x:v>Offshore petroleum ownership, management and revenue sharing vary by coast and agreement</x:v>
      </x:c>
      <x:c r="E14" s="162" t="str">
        <x:v>Royalties, corporate taxes, equity and benefits agreements</x:v>
      </x:c>
      <x:c r="F14" s="162" t="str">
        <x:v>Requires specific offshore statutes and accords; provincial onshore rules do not automatically apply.</x:v>
      </x:c>
      <x:c r="G14" s="162" t="str">
        <x:v>Newfoundland and Labrador and Nova Scotia require separate offshore sub-ledgers.</x:v>
      </x:c>
      <x:c r="H14" s="162" t="str">
        <x:v>Data needed</x:v>
      </x:c>
      <x:c r="I14" s="162" t="str">
        <x:v>High</x:v>
      </x:c>
      <x:c r="J14" s="225" t="str"/>
    </x:row>
    <x:row r="15">
      <x:c r="A15" s="224" t="str">
        <x:v>Public corporations/funds</x:v>
      </x:c>
      <x:c r="B15" s="162" t="str">
        <x:v>Statutory institutions</x:v>
      </x:c>
      <x:c r="C15" s="162" t="str">
        <x:v>Enabling statutes and agreements</x:v>
      </x:c>
      <x:c r="D15" s="162" t="str">
        <x:v>Hold and invest public financial or operating assets</x:v>
      </x:c>
      <x:c r="E15" s="162" t="str">
        <x:v>Dividends, interest, capital gains, user fees</x:v>
      </x:c>
      <x:c r="F15" s="162" t="str">
        <x:v>Mandates, withdrawal rules and fiduciary duties differ; assets cannot be freely combined.</x:v>
      </x:c>
      <x:c r="G15" s="162" t="str">
        <x:v>Every fund must be classified by owner, mandate, principal protection and withdrawal authority.</x:v>
      </x:c>
      <x:c r="H15" s="162" t="str">
        <x:v>Research rule</x:v>
      </x:c>
      <x:c r="I15" s="162" t="str">
        <x:v>Medium</x:v>
      </x:c>
      <x:c r="J15" s="225" t="str"/>
    </x:row>
    <x:row r="16">
      <x:c r="A16" s="226" t="str">
        <x:v>Allocation rule</x:v>
      </x:c>
      <x:c r="B16" s="227" t="str">
        <x:v>Federated proposal</x:v>
      </x:c>
      <x:c r="C16" s="227" t="str">
        <x:v>Policy design</x:v>
      </x:c>
      <x:c r="D16" s="227" t="str">
        <x:v>Revenue follows legal ownership and authority; shared projects use negotiated allocation</x:v>
      </x:c>
      <x:c r="E16" s="227" t="str">
        <x:v>Provincial, Indigenous, municipal and federal funds with transparent inter-fund transfers</x:v>
      </x:c>
      <x:c r="F16" s="227" t="str">
        <x:v>No double counting and no unilateral override of constitutional or treaty rights.</x:v>
      </x:c>
      <x:c r="G16" s="227" t="str">
        <x:v>Use a federated public-wealth system with common accounting standards rather than one centralized pot.</x:v>
      </x:c>
      <x:c r="H16" s="227" t="str">
        <x:v>Policy proposal</x:v>
      </x:c>
      <x:c r="I16" s="227" t="str">
        <x:v>High</x:v>
      </x:c>
      <x:c r="J16" s="228" t="str">
        <x:v>Productive Commonwealth research contract</x:v>
      </x:c>
    </x:row>
  </x:sheetData>
  <x:mergeCells>
    <x:mergeCell ref="A1:J1"/>
    <x:mergeCell ref="A2:J2"/>
  </x:mergeCells>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26" hidden="0" customWidth="1"/>
    <x:col min="3" max="3" width="19" hidden="0" customWidth="1"/>
    <x:col min="4" max="4" width="18" hidden="0" customWidth="1"/>
    <x:col min="5" max="5" width="18" hidden="0" customWidth="1"/>
    <x:col min="6" max="6" width="18" hidden="0" customWidth="1"/>
    <x:col min="7" max="7" width="18" hidden="0" customWidth="1"/>
    <x:col min="8" max="8" width="18" hidden="0" customWidth="1"/>
    <x:col min="9" max="9" width="22" hidden="0" customWidth="1"/>
    <x:col min="10" max="10" width="34" hidden="0" customWidth="1"/>
    <x:col min="11" max="11" width="31" hidden="0" customWidth="1"/>
    <x:col min="12" max="12" width="22" hidden="0" customWidth="1"/>
    <x:col min="13" max="13" width="20" hidden="0" customWidth="1"/>
    <x:col min="14" max="14" width="42" hidden="0" customWidth="1"/>
  </x:cols>
  <x:sheetData>
    <x:row r="1" ht="28" customHeight="1">
      <x:c r="A1" s="187" t="str">
        <x:v>Sector Concentration and Excess-Return Tests</x:v>
      </x:c>
      <x:c r="B1" s="187"/>
      <x:c r="C1" s="187"/>
      <x:c r="D1" s="187"/>
      <x:c r="E1" s="187"/>
      <x:c r="F1" s="187"/>
      <x:c r="G1" s="187"/>
      <x:c r="H1" s="187"/>
      <x:c r="I1" s="187"/>
      <x:c r="J1" s="187"/>
      <x:c r="K1" s="187"/>
      <x:c r="L1" s="187"/>
      <x:c r="M1" s="187"/>
      <x:c r="N1" s="187"/>
    </x:row>
    <x:row r="2" ht="38" customHeight="1">
      <x:c r="A2" s="190" t="str">
        <x:v>Concentration is a screening input only. The current Canadian merger structural presumption uses post-merger HHI above 1,800 plus an increase above 100; this sheet does not calculate a merger delta.</x:v>
      </x:c>
      <x:c r="B2" s="190"/>
      <x:c r="C2" s="190"/>
      <x:c r="D2" s="190"/>
      <x:c r="E2" s="190"/>
      <x:c r="F2" s="190"/>
      <x:c r="G2" s="190"/>
      <x:c r="H2" s="190"/>
      <x:c r="I2" s="190"/>
      <x:c r="J2" s="190"/>
      <x:c r="K2" s="190"/>
      <x:c r="L2" s="190"/>
      <x:c r="M2" s="190"/>
      <x:c r="N2" s="190"/>
    </x:row>
    <x:row r="4" ht="34" customHeight="1">
      <x:c r="A4" s="202" t="str">
        <x:v>Sector</x:v>
      </x:c>
      <x:c r="B4" s="203" t="str">
        <x:v>Observed structural measure</x:v>
      </x:c>
      <x:c r="C4" s="203" t="str">
        <x:v>Aggregate share</x:v>
      </x:c>
      <x:c r="D4" s="203" t="str">
        <x:v>Number of leading firms</x:v>
      </x:c>
      <x:c r="E4" s="203" t="str">
        <x:v>Minimum HHI from known aggregate</x:v>
      </x:c>
      <x:c r="F4" s="203" t="str">
        <x:v>HHI status</x:v>
      </x:c>
      <x:c r="G4" s="203" t="str">
        <x:v>Profit / return test</x:v>
      </x:c>
      <x:c r="H4" s="203" t="str">
        <x:v>Entry / switching test</x:v>
      </x:c>
      <x:c r="I4" s="203" t="str">
        <x:v>Infrastructure / legal privilege</x:v>
      </x:c>
      <x:c r="J4" s="203" t="str">
        <x:v>Interpretation</x:v>
      </x:c>
      <x:c r="K4" s="203" t="str">
        <x:v>Evidence still needed</x:v>
      </x:c>
      <x:c r="L4" s="203" t="str">
        <x:v>Status</x:v>
      </x:c>
      <x:c r="M4" s="203" t="str">
        <x:v>Rent ruling</x:v>
      </x:c>
      <x:c r="N4" s="204" t="str">
        <x:v>Source URL</x:v>
      </x:c>
    </x:row>
    <x:row r="5">
      <x:c r="A5" s="221" t="str">
        <x:v>Mobile telecommunications</x:v>
      </x:c>
      <x:c r="B5" s="222" t="str">
        <x:v>Top three operators' subscriber share</x:v>
      </x:c>
      <x:c r="C5" s="248" t="n">
        <x:v>0.869</x:v>
      </x:c>
      <x:c r="D5" s="222" t="n">
        <x:v>3</x:v>
      </x:c>
      <x:c r="E5" s="251" t="n">
        <x:f>IF(AND(ISNUMBER(C5),C5&gt;0,ISNUMBER(D5),D5&gt;0),(C5*100)^2/D5,"")</x:f>
        <x:v>2517.2033333333334</x:v>
      </x:c>
      <x:c r="F5" s="222" t="str">
        <x:f>IF(E5="","Data needed",IF(E5&gt;=Model_Parameters!$B$5,"HHI at/above Canadian merger structural level — screening only","HHI below Canadian structural level — screening only"))</x:f>
        <x:v>HHI at/above Canadian merger structural level — screening only</x:v>
      </x:c>
      <x:c r="G5" s="222" t="str">
        <x:v>EBITDA and risk-adjusted ROIC by operator</x:v>
      </x:c>
      <x:c r="H5" s="222" t="str">
        <x:v>Spectrum, switching, network access and regional entry</x:v>
      </x:c>
      <x:c r="I5" s="222" t="str">
        <x:v>Licensed spectrum and national networks</x:v>
      </x:c>
      <x:c r="J5" s="222" t="str">
        <x:v>Even under an equal-share assumption, the known aggregate implies a high concentration screen.</x:v>
      </x:c>
      <x:c r="K5" s="222" t="str">
        <x:v>Individual national and regional shares; capital intensity; spectrum value; quality-adjusted prices</x:v>
      </x:c>
      <x:c r="L5" s="222" t="str">
        <x:v>Verified screen</x:v>
      </x:c>
      <x:c r="M5" s="222" t="str">
        <x:v>Rent not yet proven</x:v>
      </x:c>
      <x:c r="N5" s="223" t="str">
        <x:v>https://crtc.gc.ca/eng/publications/reports/PolicyMonitoring/2025/ctmr.htm</x:v>
      </x:c>
    </x:row>
    <x:row r="6">
      <x:c r="A6" s="224" t="str">
        <x:v>Banking</x:v>
      </x:c>
      <x:c r="B6" s="162" t="str">
        <x:v>Six largest banks' share of banking assets</x:v>
      </x:c>
      <x:c r="C6" s="249" t="n">
        <x:v>0.93</x:v>
      </x:c>
      <x:c r="D6" s="162" t="n">
        <x:v>6</x:v>
      </x:c>
      <x:c r="E6" s="252" t="n">
        <x:f>IF(AND(ISNUMBER(C6),C6&gt;0,ISNUMBER(D6),D6&gt;0),(C6*100)^2/D6,"")</x:f>
        <x:v>1441.5</x:v>
      </x:c>
      <x:c r="F6" s="162" t="str">
        <x:f>IF(E6="","Data needed",IF(E6&gt;=Model_Parameters!$B$5,"HHI at/above Canadian merger structural level — screening only","HHI below Canadian structural level — screening only"))</x:f>
        <x:v>HHI below Canadian structural level — screening only</x:v>
      </x:c>
      <x:c r="G6" s="162" t="str">
        <x:v>ROE/ROA versus peer banks after risk and capital requirements</x:v>
      </x:c>
      <x:c r="H6" s="162" t="str">
        <x:v>Charter, capital, switching and data portability</x:v>
      </x:c>
      <x:c r="I6" s="162" t="str">
        <x:v>Deposit insurance, regulation and payment infrastructure</x:v>
      </x:c>
      <x:c r="J6" s="162" t="str">
        <x:v>Extremely concentrated and stable, but stability and prudential costs complicate a monopoly-rent inference.</x:v>
      </x:c>
      <x:c r="K6" s="162" t="str">
        <x:v>Product-level market shares; fees; funding costs; risk-adjusted excess returns</x:v>
      </x:c>
      <x:c r="L6" s="162" t="str">
        <x:v>Verified screen</x:v>
      </x:c>
      <x:c r="M6" s="162" t="str">
        <x:v>Rent not yet proven</x:v>
      </x:c>
      <x:c r="N6" s="225" t="str">
        <x:v>https://www.bankofcanada.ca/2025/10/productivitys-competitive-edge/</x:v>
      </x:c>
    </x:row>
    <x:row r="7">
      <x:c r="A7" s="224" t="str">
        <x:v>Retail groceries</x:v>
      </x:c>
      <x:c r="B7" s="162" t="str">
        <x:v>Three national groups dominate; official study says sector is concentrated</x:v>
      </x:c>
      <x:c r="C7" s="249"/>
      <x:c r="D7" s="162"/>
      <x:c r="E7" s="252" t="str">
        <x:f>IF(AND(ISNUMBER(C7),C7&gt;0,ISNUMBER(D7),D7&gt;0),(C7*100)^2/D7,"")</x:f>
      </x:c>
      <x:c r="F7" s="162" t="str">
        <x:f>IF(E7="","Data needed",IF(E7&gt;=Model_Parameters!$B$5,"HHI at/above Canadian merger structural level — screening only","HHI below Canadian structural level — screening only"))</x:f>
        <x:v>Data needed</x:v>
      </x:c>
      <x:c r="G7" s="162" t="str">
        <x:v>Segment margins and ROIC versus international comparators</x:v>
      </x:c>
      <x:c r="H7" s="162" t="str">
        <x:v>Real estate covenants, wholesale access, scale and local entry</x:v>
      </x:c>
      <x:c r="I7" s="162" t="str">
        <x:v>Distribution centres, retail leases and supplier terms</x:v>
      </x:c>
      <x:c r="J7" s="162" t="str">
        <x:v>National concentration varies locally; exact CR3/HHI requires confidential or commercial market data.</x:v>
      </x:c>
      <x:c r="K7" s="162" t="str">
        <x:v>Local market shares; banner ownership; wholesale and pharmacy integration; lease restrictions</x:v>
      </x:c>
      <x:c r="L7" s="162" t="str">
        <x:v>Verified structural</x:v>
      </x:c>
      <x:c r="M7" s="162" t="str">
        <x:v>Rent not yet proven</x:v>
      </x:c>
      <x:c r="N7" s="225" t="str">
        <x:v>https://competition-bureau.canada.ca/en/how-we-foster-competition/education-and-outreach/canada-needs-more-grocery-competition</x:v>
      </x:c>
    </x:row>
    <x:row r="8">
      <x:c r="A8" s="224" t="str">
        <x:v>Freight rail</x:v>
      </x:c>
      <x:c r="B8" s="162" t="str">
        <x:v>CN and CPKC share of Canadian route-kilometres</x:v>
      </x:c>
      <x:c r="C8" s="249" t="n">
        <x:v>0.802</x:v>
      </x:c>
      <x:c r="D8" s="162" t="n">
        <x:v>2</x:v>
      </x:c>
      <x:c r="E8" s="252" t="n">
        <x:f>IF(AND(ISNUMBER(C8),C8&gt;0,ISNUMBER(D8),D8&gt;0),(C8*100)^2/D8,"")</x:f>
        <x:v>3216.0200000000004</x:v>
      </x:c>
      <x:c r="F8" s="162" t="str">
        <x:f>IF(E8="","Data needed",IF(E8&gt;=Model_Parameters!$B$5,"HHI at/above Canadian merger structural level — screening only","HHI below Canadian structural level — screening only"))</x:f>
        <x:v>HHI at/above Canadian merger structural level — screening only</x:v>
      </x:c>
      <x:c r="G8" s="162" t="str">
        <x:v>Regulated revenue adequacy, ROIC and shipper rate comparisons</x:v>
      </x:c>
      <x:c r="H8" s="162" t="str">
        <x:v>Track access, interswitching and practical route alternatives</x:v>
      </x:c>
      <x:c r="I8" s="162" t="str">
        <x:v>Essential network infrastructure</x:v>
      </x:c>
      <x:c r="J8" s="162" t="str">
        <x:v>Track ownership is a dependency proxy, not a complete freight-market share.</x:v>
      </x:c>
      <x:c r="K8" s="162" t="str">
        <x:v>Origin-destination markets; captive shippers; service levels; access remedies</x:v>
      </x:c>
      <x:c r="L8" s="162" t="str">
        <x:v>Verified proxy</x:v>
      </x:c>
      <x:c r="M8" s="162" t="str">
        <x:v>Potential infrastructure rent</x:v>
      </x:c>
      <x:c r="N8" s="225" t="str">
        <x:v>https://tc.canada.ca/en/corporate-services/transparency/briefing-documents-transport-canada/2025/transportation-sector/transportation-canada</x:v>
      </x:c>
    </x:row>
    <x:row r="9">
      <x:c r="A9" s="224" t="str">
        <x:v>Beef processing</x:v>
      </x:c>
      <x:c r="B9" s="162" t="str">
        <x:v>Three plants controlled by two firms process more than 85% of capacity</x:v>
      </x:c>
      <x:c r="C9" s="249" t="n">
        <x:v>0.85</x:v>
      </x:c>
      <x:c r="D9" s="162" t="n">
        <x:v>2</x:v>
      </x:c>
      <x:c r="E9" s="252" t="n">
        <x:f>IF(AND(ISNUMBER(C9),C9&gt;0,ISNUMBER(D9),D9&gt;0),(C9*100)^2/D9,"")</x:f>
        <x:v>3612.5</x:v>
      </x:c>
      <x:c r="F9" s="162" t="str">
        <x:f>IF(E9="","Data needed",IF(E9&gt;=Model_Parameters!$B$5,"HHI at/above Canadian merger structural level — screening only","HHI below Canadian structural level — screening only"))</x:f>
        <x:v>HHI at/above Canadian merger structural level — screening only</x:v>
      </x:c>
      <x:c r="G9" s="162" t="str">
        <x:v>Processor margins and cattle-to-boxed-beef spread</x:v>
      </x:c>
      <x:c r="H9" s="162" t="str">
        <x:v>Capital, federal inspection, labour and retailer procurement</x:v>
      </x:c>
      <x:c r="I9" s="162" t="str">
        <x:v>Large plants and regional slaughter scarcity</x:v>
      </x:c>
      <x:c r="J9" s="162" t="str">
        <x:v>Concentration is documented; causal effects on producer and consumer prices require transaction data.</x:v>
      </x:c>
      <x:c r="K9" s="162" t="str">
        <x:v>Owner-level shares; regional capacity; utilization; reference-price and procurement data</x:v>
      </x:c>
      <x:c r="L9" s="162" t="str">
        <x:v>Verified screen</x:v>
      </x:c>
      <x:c r="M9" s="162" t="str">
        <x:v>Potential buyer/processor rent</x:v>
      </x:c>
      <x:c r="N9" s="225" t="str">
        <x:v>https://www.ourcommons.ca/DocumentViewer/en/44-1/AGRI/report-5/page-30</x:v>
      </x:c>
    </x:row>
    <x:row r="10">
      <x:c r="A10" s="224" t="str">
        <x:v>Digital marketplaces</x:v>
      </x:c>
      <x:c r="B10" s="162" t="str">
        <x:v>Platform-specific Canadian shares unavailable in current official sources</x:v>
      </x:c>
      <x:c r="C10" s="249"/>
      <x:c r="D10" s="162"/>
      <x:c r="E10" s="252" t="str">
        <x:f>IF(AND(ISNUMBER(C10),C10&gt;0,ISNUMBER(D10),D10&gt;0),(C10*100)^2/D10,"")</x:f>
      </x:c>
      <x:c r="F10" s="162" t="str">
        <x:f>IF(E10="","Data needed",IF(E10&gt;=Model_Parameters!$B$5,"HHI at/above Canadian merger structural level — screening only","HHI below Canadian structural level — screening only"))</x:f>
        <x:v>Data needed</x:v>
      </x:c>
      <x:c r="G10" s="162" t="str">
        <x:v>Commission rates, ad margins and seller dependence</x:v>
      </x:c>
      <x:c r="H10" s="162" t="str">
        <x:v>Network effects, data, default status and interoperability</x:v>
      </x:c>
      <x:c r="I10" s="162" t="str">
        <x:v>Data and platform ecosystems</x:v>
      </x:c>
      <x:c r="J10" s="162" t="str">
        <x:v>Temu, Amazon and app platforms require separate product markets; parcel volume is not market power by itself.</x:v>
      </x:c>
      <x:c r="K10" s="162" t="str">
        <x:v>Canadian GMV, users, seller dependency, take rates, data and advertising shares</x:v>
      </x:c>
      <x:c r="L10" s="162" t="str">
        <x:v>Data needed</x:v>
      </x:c>
      <x:c r="M10" s="162" t="str">
        <x:v>Unresolved</x:v>
      </x:c>
      <x:c r="N10" s="225" t="str"/>
    </x:row>
    <x:row r="11">
      <x:c r="A11" s="224" t="str">
        <x:v>Telecommunications — total</x:v>
      </x:c>
      <x:c r="B11" s="162" t="str">
        <x:v>Four largest groups' share of telecom service revenues</x:v>
      </x:c>
      <x:c r="C11" s="249" t="n">
        <x:v>0.856</x:v>
      </x:c>
      <x:c r="D11" s="162" t="n">
        <x:v>4</x:v>
      </x:c>
      <x:c r="E11" s="252" t="n">
        <x:f>IF(AND(ISNUMBER(C11),C11&gt;0,ISNUMBER(D11),D11&gt;0),(C11*100)^2/D11,"")</x:f>
        <x:v>1831.8399999999997</x:v>
      </x:c>
      <x:c r="F11" s="162" t="str">
        <x:f>IF(E11="","Data needed",IF(E11&gt;=Model_Parameters!$B$5,"HHI at/above Canadian merger structural level — screening only","HHI below Canadian structural level — screening only"))</x:f>
        <x:v>HHI at/above Canadian merger structural level — screening only</x:v>
      </x:c>
      <x:c r="G11" s="162" t="str">
        <x:v>Service-level margins and capital-adjusted returns</x:v>
      </x:c>
      <x:c r="H11" s="162" t="str">
        <x:v>Facilities access and switching</x:v>
      </x:c>
      <x:c r="I11" s="162" t="str">
        <x:v>Licensed and regulated network assets</x:v>
      </x:c>
      <x:c r="J11" s="162" t="str">
        <x:v>Total-sector aggregate combines different markets and cannot replace mobile, internet and wholesale analysis.</x:v>
      </x:c>
      <x:c r="K11" s="162" t="str">
        <x:v>Product and geography-specific shares</x:v>
      </x:c>
      <x:c r="L11" s="162" t="str">
        <x:v>Verified proxy</x:v>
      </x:c>
      <x:c r="M11" s="162" t="str">
        <x:v>Rent not yet proven</x:v>
      </x:c>
      <x:c r="N11" s="225" t="str">
        <x:v>https://web.crtc.gc.ca/eng/publications/reports/PolicyMonitoring/2025/ctmr.htm</x:v>
      </x:c>
    </x:row>
    <x:row r="12">
      <x:c r="A12" s="224" t="str">
        <x:v>Cross-sector rule</x:v>
      </x:c>
      <x:c r="B12" s="162" t="str">
        <x:v>HHI and concentration are screening indicators</x:v>
      </x:c>
      <x:c r="C12" s="249"/>
      <x:c r="D12" s="162"/>
      <x:c r="E12" s="252" t="str">
        <x:f>IF(AND(ISNUMBER(C12),C12&gt;0,ISNUMBER(D12),D12&gt;0),(C12*100)^2/D12,"")</x:f>
      </x:c>
      <x:c r="F12" s="162" t="str">
        <x:f>IF(E12="","Data needed",IF(E12&gt;=Model_Parameters!$B$5,"HHI at/above Canadian merger structural level — screening only","HHI below Canadian structural level — screening only"))</x:f>
        <x:v>Data needed</x:v>
      </x:c>
      <x:c r="G12" s="162" t="str">
        <x:v>Economic profit above competitive risk-adjusted return</x:v>
      </x:c>
      <x:c r="H12" s="162" t="str">
        <x:v>Entry, expansion and switching constraints</x:v>
      </x:c>
      <x:c r="I12" s="162" t="str">
        <x:v>Legal rights, scarce licences or essential facilities</x:v>
      </x:c>
      <x:c r="J12" s="162" t="str">
        <x:v>Large size or high profit alone does not establish abuse, illegality or collectible rent.</x:v>
      </x:c>
      <x:c r="K12" s="162" t="str">
        <x:v>Full market definition and counterfactual</x:v>
      </x:c>
      <x:c r="L12" s="162" t="str">
        <x:v>Locked method</x:v>
      </x:c>
      <x:c r="M12" s="162" t="str">
        <x:v>No automatic rent</x:v>
      </x:c>
      <x:c r="N12" s="225" t="str">
        <x:v>https://competition-bureau.canada.ca/en/mergers-and-acquisitions/changes-provisions-mergers-and-restrictive-trade-practices-competition-act</x:v>
      </x:c>
    </x:row>
    <x:row r="13">
      <x:c r="A13" s="224" t="str">
        <x:v>Public policy test</x:v>
      </x:c>
      <x:c r="B13" s="162" t="str">
        <x:v>Excess-return screen</x:v>
      </x:c>
      <x:c r="C13" s="249"/>
      <x:c r="D13" s="162"/>
      <x:c r="E13" s="252" t="str">
        <x:f>IF(AND(ISNUMBER(C13),C13&gt;0,ISNUMBER(D13),D13&gt;0),(C13*100)^2/D13,"")</x:f>
      </x:c>
      <x:c r="F13" s="162" t="str">
        <x:f>IF(E13="","Data needed",IF(E13&gt;=Model_Parameters!$B$5,"HHI at/above Canadian merger structural level — screening only","HHI below Canadian structural level — screening only"))</x:f>
        <x:v>Data needed</x:v>
      </x:c>
      <x:c r="G13" s="162" t="str">
        <x:v>NOPAT minus cost of capital times invested capital</x:v>
      </x:c>
      <x:c r="H13" s="162" t="str">
        <x:v>Durability of excess returns</x:v>
      </x:c>
      <x:c r="I13" s="162" t="str">
        <x:v>Publicly created scarcity or protection</x:v>
      </x:c>
      <x:c r="J13" s="162" t="str">
        <x:v>Taxation should not become a substitute for competition reform where entry or access can be improved.</x:v>
      </x:c>
      <x:c r="K13" s="162" t="str">
        <x:v>Company accounts, segment data and comparable firms</x:v>
      </x:c>
      <x:c r="L13" s="162" t="str">
        <x:v>Method proposed</x:v>
      </x:c>
      <x:c r="M13" s="162" t="str">
        <x:v>Policy test</x:v>
      </x:c>
      <x:c r="N13" s="225" t="str">
        <x:v>Productive Commonwealth research contract</x:v>
      </x:c>
    </x:row>
    <x:row r="14">
      <x:c r="A14" s="226" t="str">
        <x:v>Publication rule</x:v>
      </x:c>
      <x:c r="B14" s="227" t="str">
        <x:v>No national monopoly-rent total from concentration alone</x:v>
      </x:c>
      <x:c r="C14" s="250"/>
      <x:c r="D14" s="227"/>
      <x:c r="E14" s="253" t="str">
        <x:f>IF(AND(ISNUMBER(C14),C14&gt;0,ISNUMBER(D14),D14&gt;0),(C14*100)^2/D14,"")</x:f>
      </x:c>
      <x:c r="F14" s="227" t="str">
        <x:f>IF(E14="","Data needed",IF(E14&gt;=Model_Parameters!$B$5,"HHI at/above Canadian merger structural level — screening only","HHI below Canadian structural level — screening only"))</x:f>
        <x:v>Data needed</x:v>
      </x:c>
      <x:c r="G14" s="227" t="str">
        <x:v>Sector-by-sector excess-profit calculation</x:v>
      </x:c>
      <x:c r="H14" s="227" t="str">
        <x:v>Sector-specific contestability</x:v>
      </x:c>
      <x:c r="I14" s="227" t="str">
        <x:v>Identify statutory and infrastructure advantages</x:v>
      </x:c>
      <x:c r="J14" s="227" t="str">
        <x:v>National totals require consistent markets, normal-return benchmarks and no double counting.</x:v>
      </x:c>
      <x:c r="K14" s="227" t="str">
        <x:v>All sector dossiers</x:v>
      </x:c>
      <x:c r="L14" s="227" t="str">
        <x:v>Locked</x:v>
      </x:c>
      <x:c r="M14" s="227" t="str">
        <x:v>NOT READY</x:v>
      </x:c>
      <x:c r="N14" s="228" t="str">
        <x:v>Productive Commonwealth research contract</x:v>
      </x:c>
    </x:row>
  </x:sheetData>
  <x:mergeCells>
    <x:mergeCell ref="A1:N1"/>
    <x:mergeCell ref="A2:N2"/>
  </x:mergeCell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20" hidden="0" customWidth="1"/>
    <x:col min="3" max="3" width="16" hidden="0" customWidth="1"/>
    <x:col min="4" max="4" width="30" hidden="0" customWidth="1"/>
    <x:col min="5" max="5" width="18" hidden="0" customWidth="1"/>
    <x:col min="6" max="6" width="20" hidden="0" customWidth="1"/>
    <x:col min="7" max="7" width="18" hidden="0" customWidth="1"/>
    <x:col min="8" max="8" width="20" hidden="0" customWidth="1"/>
    <x:col min="9" max="9" width="18" hidden="0" customWidth="1"/>
    <x:col min="10" max="10" width="40" hidden="0" customWidth="1"/>
    <x:col min="11" max="11" width="24" hidden="0" customWidth="1"/>
    <x:col min="12" max="12" width="43" hidden="0" customWidth="1"/>
  </x:cols>
  <x:sheetData>
    <x:row r="1" ht="28" customHeight="1">
      <x:c r="A1" s="274" t="str">
        <x:v>Industry-Funded Closure Security and Annual Closure Activity</x:v>
      </x:c>
      <x:c r="B1" s="274"/>
      <x:c r="C1" s="274"/>
      <x:c r="D1" s="274"/>
      <x:c r="E1" s="274"/>
      <x:c r="F1" s="274"/>
      <x:c r="G1" s="274"/>
      <x:c r="H1" s="274"/>
      <x:c r="I1" s="274"/>
      <x:c r="J1" s="274"/>
      <x:c r="K1" s="274"/>
      <x:c r="L1" s="274"/>
    </x:row>
    <x:row r="2" ht="40" customHeight="1">
      <x:c r="A2" s="277" t="str">
        <x:v>Liability stocks, security held, mandatory quotas, levies and annual remediation spending are different measures. They are kept separate to prevent false netting.</x:v>
      </x:c>
      <x:c r="B2" s="277"/>
      <x:c r="C2" s="277"/>
      <x:c r="D2" s="277"/>
      <x:c r="E2" s="277"/>
      <x:c r="F2" s="277"/>
      <x:c r="G2" s="277"/>
      <x:c r="H2" s="277"/>
      <x:c r="I2" s="277"/>
      <x:c r="J2" s="277"/>
      <x:c r="K2" s="277"/>
      <x:c r="L2" s="277"/>
    </x:row>
    <x:row r="4" ht="38" customHeight="1">
      <x:c r="A4" s="289" t="str">
        <x:v>Jurisdiction</x:v>
      </x:c>
      <x:c r="B4" s="290" t="str">
        <x:v>Sector</x:v>
      </x:c>
      <x:c r="C4" s="290" t="str">
        <x:v>Reference period</x:v>
      </x:c>
      <x:c r="D4" s="290" t="str">
        <x:v>Measure</x:v>
      </x:c>
      <x:c r="E4" s="290" t="str">
        <x:v>Amount ($B)</x:v>
      </x:c>
      <x:c r="F4" s="290" t="str">
        <x:v>Measure type</x:v>
      </x:c>
      <x:c r="G4" s="290" t="str">
        <x:v>Publicly held security?</x:v>
      </x:c>
      <x:c r="H4" s="290" t="str">
        <x:v>Can offset liability?</x:v>
      </x:c>
      <x:c r="I4" s="290" t="str">
        <x:v>Status</x:v>
      </x:c>
      <x:c r="J4" s="290" t="str">
        <x:v>Interpretation / scope warning</x:v>
      </x:c>
      <x:c r="K4" s="290" t="str">
        <x:v>Publication use</x:v>
      </x:c>
      <x:c r="L4" s="291" t="str">
        <x:v>Source URL</x:v>
      </x:c>
    </x:row>
    <x:row r="5">
      <x:c r="A5" s="308" t="str">
        <x:v>Alberta</x:v>
      </x:c>
      <x:c r="B5" s="309" t="str">
        <x:v>Oil and gas</x:v>
      </x:c>
      <x:c r="C5" s="309" t="str">
        <x:v>2024-12-31</x:v>
      </x:c>
      <x:c r="D5" s="309" t="str">
        <x:v>Estimated total active and inactive closure liability</x:v>
      </x:c>
      <x:c r="E5" s="318" t="n">
        <x:v>36.6</x:v>
      </x:c>
      <x:c r="F5" s="309" t="str">
        <x:v>Liability stock</x:v>
      </x:c>
      <x:c r="G5" s="309" t="str">
        <x:v>No</x:v>
      </x:c>
      <x:c r="H5" s="309" t="str">
        <x:v>No</x:v>
      </x:c>
      <x:c r="I5" s="309" t="str">
        <x:v>Verified</x:v>
      </x:c>
      <x:c r="J5" s="309" t="str">
        <x:v>AER estimate based on industry-submitted closure costs. Estimated cost is not cash set aside.</x:v>
      </x:c>
      <x:c r="K5" s="309" t="str">
        <x:v>Report beside revenue and security; never subtract mechanically from one annual flow.</x:v>
      </x:c>
      <x:c r="L5" s="310" t="str">
        <x:v>https://www.aer.ca/understanding-resource-development/how-we-regulate/oil-and-gas-liability-management</x:v>
      </x:c>
    </x:row>
    <x:row r="6">
      <x:c r="A6" s="311" t="str">
        <x:v>Alberta</x:v>
      </x:c>
      <x:c r="B6" s="162" t="str">
        <x:v>Oil and gas</x:v>
      </x:c>
      <x:c r="C6" s="162" t="str">
        <x:v>2024</x:v>
      </x:c>
      <x:c r="D6" s="162" t="str">
        <x:v>Licensee eligible closure spending</x:v>
      </x:c>
      <x:c r="E6" s="232" t="n">
        <x:v>0.9</x:v>
      </x:c>
      <x:c r="F6" s="162" t="str">
        <x:v>Annual spending flow</x:v>
      </x:c>
      <x:c r="G6" s="162" t="str">
        <x:v>No</x:v>
      </x:c>
      <x:c r="H6" s="162" t="str">
        <x:v>Reduces physical obligations</x:v>
      </x:c>
      <x:c r="I6" s="162" t="str">
        <x:v>Verified</x:v>
      </x:c>
      <x:c r="J6" s="162" t="str">
        <x:v>Reported eligible spending by licensees under the closure-quota framework.</x:v>
      </x:c>
      <x:c r="K6" s="162" t="str">
        <x:v>Annual net-capture analysis may deduct only the public portion, not all private spending.</x:v>
      </x:c>
      <x:c r="L6" s="312" t="str">
        <x:v>https://www.aer.ca/data-and-performance-reports/industry-performance/liability-management-performance-report</x:v>
      </x:c>
    </x:row>
    <x:row r="7">
      <x:c r="A7" s="311" t="str">
        <x:v>Alberta</x:v>
      </x:c>
      <x:c r="B7" s="162" t="str">
        <x:v>Oil and gas</x:v>
      </x:c>
      <x:c r="C7" s="162" t="str">
        <x:v>2024</x:v>
      </x:c>
      <x:c r="D7" s="162" t="str">
        <x:v>Orphan Well Association closure spending</x:v>
      </x:c>
      <x:c r="E7" s="232" t="n">
        <x:v>0.119</x:v>
      </x:c>
      <x:c r="F7" s="162" t="str">
        <x:v>Annual industry-funded spending flow</x:v>
      </x:c>
      <x:c r="G7" s="162" t="str">
        <x:v>No</x:v>
      </x:c>
      <x:c r="H7" s="162" t="str">
        <x:v>Reduces orphan obligations</x:v>
      </x:c>
      <x:c r="I7" s="162" t="str">
        <x:v>Verified</x:v>
      </x:c>
      <x:c r="J7" s="162" t="str">
        <x:v>Industry-funded OWA spending; separate from licensee eligible spending.</x:v>
      </x:c>
      <x:c r="K7" s="162" t="str">
        <x:v>May be reported as industry-funded remediation activity, not a provincial royalty deduction.</x:v>
      </x:c>
      <x:c r="L7" s="312" t="str">
        <x:v>https://www.aer.ca/data-and-performance-reports/industry-performance/liability-management-performance-report</x:v>
      </x:c>
    </x:row>
    <x:row r="8">
      <x:c r="A8" s="311" t="str">
        <x:v>Alberta</x:v>
      </x:c>
      <x:c r="B8" s="162" t="str">
        <x:v>Oil and gas</x:v>
      </x:c>
      <x:c r="C8" s="162" t="str">
        <x:v>2024</x:v>
      </x:c>
      <x:c r="D8" s="162" t="str">
        <x:v>Industry-wide mandatory closure-spend requirement</x:v>
      </x:c>
      <x:c r="E8" s="232" t="n">
        <x:v>0.7</x:v>
      </x:c>
      <x:c r="F8" s="162" t="str">
        <x:v>Regulatory quota flow</x:v>
      </x:c>
      <x:c r="G8" s="162" t="str">
        <x:v>No</x:v>
      </x:c>
      <x:c r="H8" s="162" t="str">
        <x:v>Indirectly</x:v>
      </x:c>
      <x:c r="I8" s="162" t="str">
        <x:v>Verified</x:v>
      </x:c>
      <x:c r="J8" s="162" t="str">
        <x:v>Minimum annual spending requirement, not security held and not the amount actually spent.</x:v>
      </x:c>
      <x:c r="K8" s="162" t="str">
        <x:v>Compare requirement with actual spending.</x:v>
      </x:c>
      <x:c r="L8" s="312" t="str">
        <x:v>https://www.aer.ca/data-and-performance-reports/industry-performance/liability-management-performance-report</x:v>
      </x:c>
    </x:row>
    <x:row r="9">
      <x:c r="A9" s="311" t="str">
        <x:v>Alberta</x:v>
      </x:c>
      <x:c r="B9" s="162" t="str">
        <x:v>Oil and gas</x:v>
      </x:c>
      <x:c r="C9" s="162" t="str">
        <x:v>2025</x:v>
      </x:c>
      <x:c r="D9" s="162" t="str">
        <x:v>Industry-wide mandatory closure-spend requirement</x:v>
      </x:c>
      <x:c r="E9" s="232" t="n">
        <x:v>0.75</x:v>
      </x:c>
      <x:c r="F9" s="162" t="str">
        <x:v>Regulatory quota flow</x:v>
      </x:c>
      <x:c r="G9" s="162" t="str">
        <x:v>No</x:v>
      </x:c>
      <x:c r="H9" s="162" t="str">
        <x:v>Indirectly</x:v>
      </x:c>
      <x:c r="I9" s="162" t="str">
        <x:v>Verified</x:v>
      </x:c>
      <x:c r="J9" s="162" t="str">
        <x:v>Requirement increased to $750M.</x:v>
      </x:c>
      <x:c r="K9" s="162" t="str">
        <x:v>Forward policy benchmark; do not mix with 2024 actual spending.</x:v>
      </x:c>
      <x:c r="L9" s="312" t="str">
        <x:v>https://www.aer.ca/about-aer/media-centre/bulletins/bulletin-2024-19</x:v>
      </x:c>
    </x:row>
    <x:row r="10">
      <x:c r="A10" s="311" t="str">
        <x:v>Alberta</x:v>
      </x:c>
      <x:c r="B10" s="162" t="str">
        <x:v>Oil and gas</x:v>
      </x:c>
      <x:c r="C10" s="162" t="str">
        <x:v>2026</x:v>
      </x:c>
      <x:c r="D10" s="162" t="str">
        <x:v>Industry-wide mandatory closure-spend requirement</x:v>
      </x:c>
      <x:c r="E10" s="232" t="n">
        <x:v>0.75</x:v>
      </x:c>
      <x:c r="F10" s="162" t="str">
        <x:v>Regulatory quota flow</x:v>
      </x:c>
      <x:c r="G10" s="162" t="str">
        <x:v>No</x:v>
      </x:c>
      <x:c r="H10" s="162" t="str">
        <x:v>Indirectly</x:v>
      </x:c>
      <x:c r="I10" s="162" t="str">
        <x:v>Verified</x:v>
      </x:c>
      <x:c r="J10" s="162" t="str">
        <x:v>Requirement remained $750M.</x:v>
      </x:c>
      <x:c r="K10" s="162" t="str">
        <x:v>Forward policy benchmark.</x:v>
      </x:c>
      <x:c r="L10" s="312" t="str">
        <x:v>https://www.aer.ca/about-aer/media-centre/bulletins/bulletin-2025-27</x:v>
      </x:c>
    </x:row>
    <x:row r="11">
      <x:c r="A11" s="311" t="str">
        <x:v>Alberta</x:v>
      </x:c>
      <x:c r="B11" s="162" t="str">
        <x:v>Oil and gas</x:v>
      </x:c>
      <x:c r="C11" s="162" t="str">
        <x:v>2024</x:v>
      </x:c>
      <x:c r="D11" s="162" t="str">
        <x:v>Orphan fund levy</x:v>
      </x:c>
      <x:c r="E11" s="232" t="n">
        <x:v>0.135</x:v>
      </x:c>
      <x:c r="F11" s="162" t="str">
        <x:v>Industry levy flow</x:v>
      </x:c>
      <x:c r="G11" s="162" t="str">
        <x:v>No</x:v>
      </x:c>
      <x:c r="H11" s="162" t="str">
        <x:v>Funds orphan work</x:v>
      </x:c>
      <x:c r="I11" s="162" t="str">
        <x:v>Verified</x:v>
      </x:c>
      <x:c r="J11" s="162" t="str">
        <x:v>Industry levy is a financing flow, not aggregate closure security.</x:v>
      </x:c>
      <x:c r="K11" s="162" t="str">
        <x:v>Track separately from spending and liability.</x:v>
      </x:c>
      <x:c r="L11" s="312" t="str">
        <x:v>https://www.aer.ca/data-and-performance-reports/industry-performance/liability-management-performance-report</x:v>
      </x:c>
    </x:row>
    <x:row r="12">
      <x:c r="A12" s="311" t="str">
        <x:v>Alberta</x:v>
      </x:c>
      <x:c r="B12" s="162" t="str">
        <x:v>Oil and gas</x:v>
      </x:c>
      <x:c r="C12" s="162" t="str">
        <x:v>Current</x:v>
      </x:c>
      <x:c r="D12" s="162" t="str">
        <x:v>Aggregate financial security held</x:v>
      </x:c>
      <x:c r="E12" s="232" t="n">
        <x:v>0</x:v>
      </x:c>
      <x:c r="F12" s="162" t="str">
        <x:v>Security stock</x:v>
      </x:c>
      <x:c r="G12" s="162" t="str">
        <x:v>Unknown</x:v>
      </x:c>
      <x:c r="H12" s="162" t="str">
        <x:v>Potentially</x:v>
      </x:c>
      <x:c r="I12" s="162" t="str">
        <x:v>Data needed</x:v>
      </x:c>
      <x:c r="J12" s="162" t="str">
        <x:v>No consolidated public total was identified in the reviewed AER material.</x:v>
      </x:c>
      <x:c r="K12" s="162" t="str">
        <x:v>Required before calculating secured versus unsecured exposure.</x:v>
      </x:c>
      <x:c r="L12" s="312" t="str">
        <x:v>https://www.aer.ca/understanding-resource-development/how-we-regulate/oil-and-gas-liability-management</x:v>
      </x:c>
    </x:row>
    <x:row r="13">
      <x:c r="A13" s="311" t="str">
        <x:v>British Columbia</x:v>
      </x:c>
      <x:c r="B13" s="162" t="str">
        <x:v>Major mines</x:v>
      </x:c>
      <x:c r="C13" s="162" t="str">
        <x:v>Current</x:v>
      </x:c>
      <x:c r="D13" s="162" t="str">
        <x:v>Site-specific reclamation security framework</x:v>
      </x:c>
      <x:c r="E13" s="232" t="n">
        <x:v>0</x:v>
      </x:c>
      <x:c r="F13" s="162" t="str">
        <x:v>Regulatory security structure</x:v>
      </x:c>
      <x:c r="G13" s="162" t="str">
        <x:v>Yes</x:v>
      </x:c>
      <x:c r="H13" s="162" t="str">
        <x:v>Yes</x:v>
      </x:c>
      <x:c r="I13" s="162" t="str">
        <x:v>Verified structure</x:v>
      </x:c>
      <x:c r="J13" s="162" t="str">
        <x:v>Mines post security to the province; amounts are set site by site against outstanding obligations.</x:v>
      </x:c>
      <x:c r="K13" s="162" t="str">
        <x:v>Framework is proven; current aggregate dollars still require report extraction.</x:v>
      </x:c>
      <x:c r="L13" s="312" t="str">
        <x:v>https://www2.gov.bc.ca/gov/content/industry/mineral-exploration-mining/permitting/mine-reclamation-securities</x:v>
      </x:c>
    </x:row>
    <x:row r="14">
      <x:c r="A14" s="311" t="str">
        <x:v>British Columbia</x:v>
      </x:c>
      <x:c r="B14" s="162" t="str">
        <x:v>Major mines</x:v>
      </x:c>
      <x:c r="C14" s="162" t="str">
        <x:v>2024-25</x:v>
      </x:c>
      <x:c r="D14" s="162" t="str">
        <x:v>Aggregate reclamation liability and security</x:v>
      </x:c>
      <x:c r="E14" s="232" t="n">
        <x:v>0</x:v>
      </x:c>
      <x:c r="F14" s="162" t="str">
        <x:v>Liability/security stocks</x:v>
      </x:c>
      <x:c r="G14" s="162" t="str">
        <x:v>Yes</x:v>
      </x:c>
      <x:c r="H14" s="162" t="str">
        <x:v>Yes</x:v>
      </x:c>
      <x:c r="I14" s="162" t="str">
        <x:v>Source located</x:v>
      </x:c>
      <x:c r="J14" s="162" t="str">
        <x:v>The Chief Inspector's annual report contains the aggregate table, but the values were not reliably extracted in this pass.</x:v>
      </x:c>
      <x:c r="K14" s="162" t="str">
        <x:v>Do not publish a B.C. security ratio until the table is extracted and checked.</x:v>
      </x:c>
      <x:c r="L14" s="312" t="str">
        <x:v>https://www2.gov.bc.ca/gov/content/industry/mineral-exploration-mining/health-safety/chief-inspector-s-annual-reports</x:v>
      </x:c>
    </x:row>
    <x:row r="15">
      <x:c r="A15" s="311" t="str">
        <x:v>British Columbia</x:v>
      </x:c>
      <x:c r="B15" s="162" t="str">
        <x:v>Regional mines and exploration</x:v>
      </x:c>
      <x:c r="C15" s="162" t="str">
        <x:v>Current</x:v>
      </x:c>
      <x:c r="D15" s="162" t="str">
        <x:v>Aggregate liability and security</x:v>
      </x:c>
      <x:c r="E15" s="232" t="n">
        <x:v>0</x:v>
      </x:c>
      <x:c r="F15" s="162" t="str">
        <x:v>Liability/security stocks</x:v>
      </x:c>
      <x:c r="G15" s="162" t="str">
        <x:v>Varies</x:v>
      </x:c>
      <x:c r="H15" s="162" t="str">
        <x:v>Potentially</x:v>
      </x:c>
      <x:c r="I15" s="162" t="str">
        <x:v>Data needed</x:v>
      </x:c>
      <x:c r="J15" s="162" t="str">
        <x:v>The province provides a bond calculator and site-specific process; no verified aggregate was entered.</x:v>
      </x:c>
      <x:c r="K15" s="162" t="str">
        <x:v>Requires regional permit and security dataset.</x:v>
      </x:c>
      <x:c r="L15" s="312" t="str">
        <x:v>https://www2.gov.bc.ca/gov/content/industry/mineral-exploration-mining/permitting/mine-reclamation-securities</x:v>
      </x:c>
    </x:row>
    <x:row r="16">
      <x:c r="A16" s="311" t="str">
        <x:v>Northwest Territories</x:v>
      </x:c>
      <x:c r="B16" s="162" t="str">
        <x:v>Mining</x:v>
      </x:c>
      <x:c r="C16" s="162" t="str">
        <x:v>Current</x:v>
      </x:c>
      <x:c r="D16" s="162" t="str">
        <x:v>Project-level reclamation security</x:v>
      </x:c>
      <x:c r="E16" s="232" t="n">
        <x:v>0</x:v>
      </x:c>
      <x:c r="F16" s="162" t="str">
        <x:v>Security stock</x:v>
      </x:c>
      <x:c r="G16" s="162" t="str">
        <x:v>Yes</x:v>
      </x:c>
      <x:c r="H16" s="162" t="str">
        <x:v>Yes</x:v>
      </x:c>
      <x:c r="I16" s="162" t="str">
        <x:v>Data needed</x:v>
      </x:c>
      <x:c r="J16" s="162" t="str">
        <x:v>Project security is generally set through land and water authorizations. A consolidated total has not been entered.</x:v>
      </x:c>
      <x:c r="K16" s="162" t="str">
        <x:v>Requires board and government security registers, including active receivership cases.</x:v>
      </x:c>
      <x:c r="L16" s="312" t="str"/>
    </x:row>
    <x:row r="17">
      <x:c r="A17" s="311" t="str">
        <x:v>Canada</x:v>
      </x:c>
      <x:c r="B17" s="162" t="str">
        <x:v>All resource sectors</x:v>
      </x:c>
      <x:c r="C17" s="162" t="str">
        <x:v>Current</x:v>
      </x:c>
      <x:c r="D17" s="162" t="str">
        <x:v>Consolidated industry-funded closure security</x:v>
      </x:c>
      <x:c r="E17" s="232" t="n">
        <x:v>0</x:v>
      </x:c>
      <x:c r="F17" s="162" t="str">
        <x:v>Security stock</x:v>
      </x:c>
      <x:c r="G17" s="162" t="str">
        <x:v>Mixed</x:v>
      </x:c>
      <x:c r="H17" s="162" t="str">
        <x:v>Potentially</x:v>
      </x:c>
      <x:c r="I17" s="162" t="str">
        <x:v>Data needed</x:v>
      </x:c>
      <x:c r="J17" s="162" t="str">
        <x:v>No national total currently joins oil and gas, mining, forestry and other closure security.</x:v>
      </x:c>
      <x:c r="K17" s="162" t="str">
        <x:v>Publication gate remains closed.</x:v>
      </x:c>
      <x:c r="L17" s="312" t="str"/>
    </x:row>
    <x:row r="18">
      <x:c r="A18" s="313" t="str">
        <x:v>Canada</x:v>
      </x:c>
      <x:c r="B18" s="314" t="str">
        <x:v>All resource sectors</x:v>
      </x:c>
      <x:c r="C18" s="314" t="str">
        <x:v>Current</x:v>
      </x:c>
      <x:c r="D18" s="314" t="str">
        <x:v>Security coverage ratio</x:v>
      </x:c>
      <x:c r="E18" s="319" t="n">
        <x:v>0</x:v>
      </x:c>
      <x:c r="F18" s="314" t="str">
        <x:v>Derived ratio</x:v>
      </x:c>
      <x:c r="G18" s="314" t="str">
        <x:v>Mixed</x:v>
      </x:c>
      <x:c r="H18" s="314" t="str">
        <x:v>Potentially</x:v>
      </x:c>
      <x:c r="I18" s="314" t="str">
        <x:v>Data needed</x:v>
      </x:c>
      <x:c r="J18" s="314" t="str">
        <x:v>Required formula: verified security held divided by comparable verified closure liability.</x:v>
      </x:c>
      <x:c r="K18" s="314" t="str">
        <x:v>Do not calculate from mismatched sectors or dates.</x:v>
      </x:c>
      <x:c r="L18" s="315" t="str">
        <x:v>Workbook method</x:v>
      </x:c>
    </x:row>
    <x:row r="19">
      <x:c r="A19" s="371" t="str">
        <x:v>Alberta</x:v>
      </x:c>
      <x:c r="B19" s="372" t="str">
        <x:v>Oil and gas licence transfers</x:v>
      </x:c>
      <x:c r="C19" s="372" t="str">
        <x:v>2024</x:v>
      </x:c>
      <x:c r="D19" s="372" t="str">
        <x:v>Security collected — more-capable licensees</x:v>
      </x:c>
      <x:c r="E19" s="382" t="n">
        <x:v>0.0002</x:v>
      </x:c>
      <x:c r="F19" s="372" t="str">
        <x:v>Transfer-related security flow</x:v>
      </x:c>
      <x:c r="G19" s="372" t="str">
        <x:v>Yes</x:v>
      </x:c>
      <x:c r="H19" s="372" t="str">
        <x:v>Offsets transferred inactive liability</x:v>
      </x:c>
      <x:c r="I19" s="372" t="str">
        <x:v>Verified</x:v>
      </x:c>
      <x:c r="J19" s="372" t="str">
        <x:v>Table value: $0.20M security against $23.30M inactive liability.</x:v>
      </x:c>
      <x:c r="K19" s="372" t="str">
        <x:v>Part of transfer-specific security only; not total security held.</x:v>
      </x:c>
      <x:c r="L19" s="373" t="str">
        <x:v>https://www.aer.ca/data-and-performance-reports/industry-performance/liability-management-performance-report/estimated-liability-and-licensee-capability</x:v>
      </x:c>
    </x:row>
    <x:row r="20">
      <x:c r="A20" s="374" t="str">
        <x:v>Alberta</x:v>
      </x:c>
      <x:c r="B20" s="162" t="str">
        <x:v>Oil and gas licence transfers</x:v>
      </x:c>
      <x:c r="C20" s="162" t="str">
        <x:v>2024</x:v>
      </x:c>
      <x:c r="D20" s="162" t="str">
        <x:v>Security collected — less-capable licensees</x:v>
      </x:c>
      <x:c r="E20" s="237" t="n">
        <x:v>0.0005</x:v>
      </x:c>
      <x:c r="F20" s="162" t="str">
        <x:v>Transfer-related security flow</x:v>
      </x:c>
      <x:c r="G20" s="162" t="str">
        <x:v>Yes</x:v>
      </x:c>
      <x:c r="H20" s="162" t="str">
        <x:v>Offsets transferred inactive liability</x:v>
      </x:c>
      <x:c r="I20" s="162" t="str">
        <x:v>Verified</x:v>
      </x:c>
      <x:c r="J20" s="162" t="str">
        <x:v>Table value: $0.50M security against $73.60M inactive liability.</x:v>
      </x:c>
      <x:c r="K20" s="162" t="str">
        <x:v>Part of transfer-specific security only; not total security held.</x:v>
      </x:c>
      <x:c r="L20" s="375" t="str">
        <x:v>https://www.aer.ca/data-and-performance-reports/industry-performance/liability-management-performance-report/estimated-liability-and-licensee-capability</x:v>
      </x:c>
    </x:row>
    <x:row r="21">
      <x:c r="A21" s="374" t="str">
        <x:v>Alberta</x:v>
      </x:c>
      <x:c r="B21" s="162" t="str">
        <x:v>Oil and gas licence transfers</x:v>
      </x:c>
      <x:c r="C21" s="162" t="str">
        <x:v>2024</x:v>
      </x:c>
      <x:c r="D21" s="162" t="str">
        <x:v>Security collected — new licensees</x:v>
      </x:c>
      <x:c r="E21" s="237" t="n">
        <x:v>0.0247</x:v>
      </x:c>
      <x:c r="F21" s="162" t="str">
        <x:v>Transfer-related security flow</x:v>
      </x:c>
      <x:c r="G21" s="162" t="str">
        <x:v>Yes</x:v>
      </x:c>
      <x:c r="H21" s="162" t="str">
        <x:v>Offsets transferred inactive liability</x:v>
      </x:c>
      <x:c r="I21" s="162" t="str">
        <x:v>Verified</x:v>
      </x:c>
      <x:c r="J21" s="162" t="str">
        <x:v>Table value: $24.70M security against $118.20M inactive liability.</x:v>
      </x:c>
      <x:c r="K21" s="162" t="str">
        <x:v>Part of transfer-specific security only; not total security held.</x:v>
      </x:c>
      <x:c r="L21" s="375" t="str">
        <x:v>https://www.aer.ca/data-and-performance-reports/industry-performance/liability-management-performance-report/estimated-liability-and-licensee-capability</x:v>
      </x:c>
    </x:row>
    <x:row r="22">
      <x:c r="A22" s="374" t="str">
        <x:v>Alberta</x:v>
      </x:c>
      <x:c r="B22" s="162" t="str">
        <x:v>Oil and gas licence transfers</x:v>
      </x:c>
      <x:c r="C22" s="162" t="str">
        <x:v>2024</x:v>
      </x:c>
      <x:c r="D22" s="162" t="str">
        <x:v>Total security collected in listed transfer groups</x:v>
      </x:c>
      <x:c r="E22" s="239" t="n">
        <x:f>SUM(E19:E21)</x:f>
        <x:v>0.0254</x:v>
      </x:c>
      <x:c r="F22" s="162" t="str">
        <x:v>Derived transfer-related security flow</x:v>
      </x:c>
      <x:c r="G22" s="162" t="str">
        <x:v>Yes</x:v>
      </x:c>
      <x:c r="H22" s="162" t="str">
        <x:v>Offsets transferred inactive liability</x:v>
      </x:c>
      <x:c r="I22" s="162" t="str">
        <x:v>Formula verified</x:v>
      </x:c>
      <x:c r="J22" s="162" t="str">
        <x:v>Sum of the three published table rows. Comparable inactive liability is $215.10M.</x:v>
      </x:c>
      <x:c r="K22" s="162" t="str">
        <x:v>Derived ratio is about 11.8%; source narrative separately states 21%, so no percentage is published as settled.</x:v>
      </x:c>
      <x:c r="L22" s="375" t="str">
        <x:v>AER table; workbook calculation</x:v>
      </x:c>
    </x:row>
    <x:row r="23">
      <x:c r="A23" s="374" t="str">
        <x:v>Alberta</x:v>
      </x:c>
      <x:c r="B23" s="162" t="str">
        <x:v>Oil and gas closure quota</x:v>
      </x:c>
      <x:c r="C23" s="162" t="str">
        <x:v>2024</x:v>
      </x:c>
      <x:c r="D23" s="162" t="str">
        <x:v>Outstanding closure security owed</x:v>
      </x:c>
      <x:c r="E23" s="237" t="n">
        <x:v>0.0064</x:v>
      </x:c>
      <x:c r="F23" s="162" t="str">
        <x:v>Uncollected security receivable / compliance gap</x:v>
      </x:c>
      <x:c r="G23" s="162" t="str">
        <x:v>No</x:v>
      </x:c>
      <x:c r="H23" s="162" t="str">
        <x:v>No until collected</x:v>
      </x:c>
      <x:c r="I23" s="162" t="str">
        <x:v>Verified</x:v>
      </x:c>
      <x:c r="J23" s="162" t="str">
        <x:v>69 active licensees remained noncompliant for the 2024 quota as of October 2025.</x:v>
      </x:c>
      <x:c r="K23" s="162" t="str">
        <x:v>Do not treat an amount owed as security held.</x:v>
      </x:c>
      <x:c r="L23" s="375" t="str">
        <x:v>https://www.aer.ca/data-and-performance-reports/industry-performance/liability-management-performance-report/impact-liability-estimates</x:v>
      </x:c>
    </x:row>
    <x:row r="24">
      <x:c r="A24" s="374" t="str">
        <x:v>Alberta</x:v>
      </x:c>
      <x:c r="B24" s="162" t="str">
        <x:v>Oil and gas closure quota</x:v>
      </x:c>
      <x:c r="C24" s="162" t="str">
        <x:v>2022-2024</x:v>
      </x:c>
      <x:c r="D24" s="162" t="str">
        <x:v>Cumulative outstanding security owed</x:v>
      </x:c>
      <x:c r="E24" s="237" t="n">
        <x:v>0.0133</x:v>
      </x:c>
      <x:c r="F24" s="162" t="str">
        <x:v>Uncollected security receivable / compliance gap</x:v>
      </x:c>
      <x:c r="G24" s="162" t="str">
        <x:v>No</x:v>
      </x:c>
      <x:c r="H24" s="162" t="str">
        <x:v>No until collected</x:v>
      </x:c>
      <x:c r="I24" s="162" t="str">
        <x:v>Verified</x:v>
      </x:c>
      <x:c r="J24" s="162" t="str">
        <x:v>Published total for 2022, 2023 and 2024; values can change as compliance work occurs.</x:v>
      </x:c>
      <x:c r="K24" s="162" t="str">
        <x:v>Do not add this to the 2024 row when reporting a current total.</x:v>
      </x:c>
      <x:c r="L24" s="375" t="str">
        <x:v>https://www.aer.ca/data-and-performance-reports/industry-performance/liability-management-performance-report/impact-liability-estimates</x:v>
      </x:c>
    </x:row>
    <x:row r="25">
      <x:c r="A25" s="376" t="str">
        <x:v>Alberta</x:v>
      </x:c>
      <x:c r="B25" s="377" t="str">
        <x:v>Oil and gas licence transfers</x:v>
      </x:c>
      <x:c r="C25" s="377" t="str">
        <x:v>2024</x:v>
      </x:c>
      <x:c r="D25" s="377" t="str">
        <x:v>Source discrepancy flag</x:v>
      </x:c>
      <x:c r="E25" s="384"/>
      <x:c r="F25" s="377" t="str">
        <x:v>Reconciliation control</x:v>
      </x:c>
      <x:c r="G25" s="377" t="str">
        <x:v>N/A</x:v>
      </x:c>
      <x:c r="H25" s="377" t="str">
        <x:v>N/A</x:v>
      </x:c>
      <x:c r="I25" s="377" t="str">
        <x:v>Source discrepancy</x:v>
      </x:c>
      <x:c r="J25" s="377" t="str">
        <x:v>AER table totals imply $25.4M / $215.1M = 11.8%; accompanying text states 21%.</x:v>
      </x:c>
      <x:c r="K25" s="377" t="str">
        <x:v>Retain both facts and request clarification before using a transfer-security percentage.</x:v>
      </x:c>
      <x:c r="L25" s="378" t="str">
        <x:v>AER table and narrative</x:v>
      </x:c>
    </x:row>
  </x:sheetData>
  <x:mergeCells>
    <x:mergeCell ref="A1:L1"/>
    <x:mergeCell ref="A2:L2"/>
  </x:mergeCells>
  <x:conditionalFormatting sqref="I5:I18">
    <x:cfRule type="expression" dxfId="6" priority="1">
      <x:formula>I5="Verified"</x:formula>
    </x:cfRule>
    <x:cfRule type="expression" dxfId="7" priority="2">
      <x:formula>I5="Data needed"</x:formula>
    </x:cfRule>
  </x:conditionalFormatting>
  <x:dataValidations count="2">
    <x:dataValidation type="list" sqref="I5:I18">
      <x:formula1>"Verified,Verified structure,Source located,Data needed"</x:formula1>
    </x:dataValidation>
    <x:dataValidation type="list" sqref="I19:I25">
      <x:formula1>"Verified,Formula verified,Source discrepancy"</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19" hidden="0" customWidth="1"/>
    <x:col min="3" max="3" width="24" hidden="0" customWidth="1"/>
    <x:col min="4" max="4" width="15" hidden="0" customWidth="1"/>
    <x:col min="5" max="5" width="17" hidden="0" customWidth="1"/>
    <x:col min="6" max="6" width="17" hidden="0" customWidth="1"/>
    <x:col min="7" max="7" width="17" hidden="0" customWidth="1"/>
    <x:col min="8" max="8" width="17" hidden="0" customWidth="1"/>
    <x:col min="9" max="9" width="18" hidden="0" customWidth="1"/>
    <x:col min="10" max="10" width="17" hidden="0" customWidth="1"/>
    <x:col min="11" max="11" width="17" hidden="0" customWidth="1"/>
    <x:col min="12" max="12" width="17" hidden="0" customWidth="1"/>
    <x:col min="13" max="13" width="18" hidden="0" customWidth="1"/>
    <x:col min="14" max="14" width="18" hidden="0" customWidth="1"/>
    <x:col min="15" max="15" width="18" hidden="0" customWidth="1"/>
    <x:col min="16" max="16" width="19" hidden="0" customWidth="1"/>
    <x:col min="17" max="17" width="26" hidden="0" customWidth="1"/>
    <x:col min="18" max="18" width="43" hidden="0" customWidth="1"/>
  </x:cols>
  <x:sheetData>
    <x:row r="1" ht="28" customHeight="1">
      <x:c r="A1" s="274" t="str">
        <x:v>Annual Resource-Rent Bridge by Commodity — Publication Gate</x:v>
      </x:c>
      <x:c r="B1" s="274"/>
      <x:c r="C1" s="274"/>
      <x:c r="D1" s="274"/>
      <x:c r="E1" s="274"/>
      <x:c r="F1" s="274"/>
      <x:c r="G1" s="274"/>
      <x:c r="H1" s="274"/>
      <x:c r="I1" s="274"/>
      <x:c r="J1" s="274"/>
      <x:c r="K1" s="274"/>
      <x:c r="L1" s="274"/>
      <x:c r="M1" s="274"/>
      <x:c r="N1" s="274"/>
      <x:c r="O1" s="274"/>
      <x:c r="P1" s="274"/>
      <x:c r="Q1" s="274"/>
      <x:c r="R1" s="274"/>
    </x:row>
    <x:row r="2" ht="40" customHeight="1">
      <x:c r="A2" s="277" t="str">
        <x:v>Blank cells mean required evidence is missing. No blank is treated as zero. Calculated rent and allocation fields remain blank until every required input on the row is numeric.</x:v>
      </x:c>
      <x:c r="B2" s="277"/>
      <x:c r="C2" s="277"/>
      <x:c r="D2" s="277"/>
      <x:c r="E2" s="277"/>
      <x:c r="F2" s="277"/>
      <x:c r="G2" s="277"/>
      <x:c r="H2" s="277"/>
      <x:c r="I2" s="277"/>
      <x:c r="J2" s="277"/>
      <x:c r="K2" s="277"/>
      <x:c r="L2" s="277"/>
      <x:c r="M2" s="277"/>
      <x:c r="N2" s="277"/>
      <x:c r="O2" s="277"/>
      <x:c r="P2" s="277"/>
      <x:c r="Q2" s="277"/>
      <x:c r="R2" s="277"/>
    </x:row>
    <x:row r="4" ht="38" customHeight="1">
      <x:c r="A4" s="289" t="str">
        <x:v>Commodity / category</x:v>
      </x:c>
      <x:c r="B4" s="290" t="str">
        <x:v>Geography</x:v>
      </x:c>
      <x:c r="C4" s="290" t="str">
        <x:v>Official reserve category</x:v>
      </x:c>
      <x:c r="D4" s="290" t="str">
        <x:v>Reference year</x:v>
      </x:c>
      <x:c r="E4" s="290" t="str">
        <x:v>Sales revenue ($B)</x:v>
      </x:c>
      <x:c r="F4" s="290" t="str">
        <x:v>Intermediate inputs ($B)</x:v>
      </x:c>
      <x:c r="G4" s="290" t="str">
        <x:v>Labour cost ($B)</x:v>
      </x:c>
      <x:c r="H4" s="290" t="str">
        <x:v>Consumption of fixed capital ($B)</x:v>
      </x:c>
      <x:c r="I4" s="290" t="str">
        <x:v>Normal return on produced capital ($B)</x:v>
      </x:c>
      <x:c r="J4" s="290" t="str">
        <x:v>Calculated annual resource rent ($B)</x:v>
      </x:c>
      <x:c r="K4" s="290" t="str">
        <x:v>Public capture ($B)</x:v>
      </x:c>
      <x:c r="L4" s="290" t="str">
        <x:v>Indigenous capture ($B)</x:v>
      </x:c>
      <x:c r="M4" s="290" t="str">
        <x:v>Private / other residual ($B)</x:v>
      </x:c>
      <x:c r="N4" s="290" t="str">
        <x:v>Public capture consumed ($B)</x:v>
      </x:c>
      <x:c r="O4" s="290" t="str">
        <x:v>Public capture saved / invested ($B)</x:v>
      </x:c>
      <x:c r="P4" s="290" t="str">
        <x:v>Unallocated public capture ($B)</x:v>
      </x:c>
      <x:c r="Q4" s="290" t="str">
        <x:v>Status</x:v>
      </x:c>
      <x:c r="R4" s="291" t="str">
        <x:v>Source / modelling note</x:v>
      </x:c>
    </x:row>
    <x:row r="5">
      <x:c r="A5" s="308" t="str">
        <x:v>Conventional crude oil</x:v>
      </x:c>
      <x:c r="B5" s="309" t="str">
        <x:v>Canada</x:v>
      </x:c>
      <x:c r="C5" s="309" t="str">
        <x:v>Crude oil</x:v>
      </x:c>
      <x:c r="D5" s="309" t="n">
        <x:v>2024</x:v>
      </x:c>
      <x:c r="E5" s="1781"/>
      <x:c r="F5" s="1781"/>
      <x:c r="G5" s="1781"/>
      <x:c r="H5" s="1781"/>
      <x:c r="I5" s="1781"/>
      <x:c r="J5" s="1787" t="str">
        <x:f>IF(COUNT(E5:I5)=5,E5-F5-G5-H5-I5,"")</x:f>
      </x:c>
      <x:c r="K5" s="1783"/>
      <x:c r="L5" s="1783"/>
      <x:c r="M5" s="1789" t="str">
        <x:f>IF(AND(ISNUMBER(J5),COUNT(K5:L5)=2),J5-K5-L5,"")</x:f>
      </x:c>
      <x:c r="N5" s="1783"/>
      <x:c r="O5" s="1783"/>
      <x:c r="P5" s="1789" t="str">
        <x:f>IF(AND(ISNUMBER(K5),COUNT(N5:O5)=2),K5-N5-O5,"")</x:f>
      </x:c>
      <x:c r="Q5" s="309" t="str">
        <x:v>Data needed</x:v>
      </x:c>
      <x:c r="R5" s="310" t="str">
        <x:v>Oil and gas sector accounting diagnostic is available in Commodity_Diagnostics, but it cannot populate this commodity rent row.</x:v>
      </x:c>
    </x:row>
    <x:row r="6">
      <x:c r="A6" s="311" t="str">
        <x:v>Crude bitumen</x:v>
      </x:c>
      <x:c r="B6" s="162" t="str">
        <x:v>Canada</x:v>
      </x:c>
      <x:c r="C6" s="162" t="str">
        <x:v>Crude bitumen</x:v>
      </x:c>
      <x:c r="D6" s="162" t="n">
        <x:v>2024</x:v>
      </x:c>
      <x:c r="E6" s="1784"/>
      <x:c r="F6" s="1784"/>
      <x:c r="G6" s="1784"/>
      <x:c r="H6" s="1784"/>
      <x:c r="I6" s="1784"/>
      <x:c r="J6" s="1788" t="str">
        <x:f>IF(COUNT(E6:I6)=5,E6-F6-G6-H6-I6,"")</x:f>
      </x:c>
      <x:c r="K6" s="1786"/>
      <x:c r="L6" s="1786"/>
      <x:c r="M6" s="1790" t="str">
        <x:f>IF(AND(ISNUMBER(J6),COUNT(K6:L6)=2),J6-K6-L6,"")</x:f>
      </x:c>
      <x:c r="N6" s="1786"/>
      <x:c r="O6" s="1786"/>
      <x:c r="P6" s="1790" t="str">
        <x:f>IF(AND(ISNUMBER(K6),COUNT(N6:O6)=2),K6-N6-O6,"")</x:f>
      </x:c>
      <x:c r="Q6" s="1279" t="str">
        <x:v>Industry bridge PASS; commodity LOCKED</x:v>
      </x:c>
      <x:c r="R6" s="178" t="str">
        <x:v>Oil_Sands_Bridge_2024 reconciles the 2024 oil-sands industry account exactly. Crude-bitumen commodity rent remains locked because synthetic-crude/upgrading output, operating inputs and capital are not separately observed on a compatible boundary.</x:v>
      </x:c>
    </x:row>
    <x:row r="7">
      <x:c r="A7" s="311" t="str">
        <x:v>Natural gas and NGLs</x:v>
      </x:c>
      <x:c r="B7" s="162" t="str">
        <x:v>Canada</x:v>
      </x:c>
      <x:c r="C7" s="162" t="str">
        <x:v>Natural gas</x:v>
      </x:c>
      <x:c r="D7" s="162" t="n">
        <x:v>2024</x:v>
      </x:c>
      <x:c r="E7" s="1784"/>
      <x:c r="F7" s="1784"/>
      <x:c r="G7" s="1784"/>
      <x:c r="H7" s="1784"/>
      <x:c r="I7" s="1784"/>
      <x:c r="J7" s="1788" t="str">
        <x:f>IF(COUNT(E7:I7)=5,E7-F7-G7-H7-I7,"")</x:f>
      </x:c>
      <x:c r="K7" s="1786"/>
      <x:c r="L7" s="1786"/>
      <x:c r="M7" s="1790" t="str">
        <x:f>IF(AND(ISNUMBER(J7),COUNT(K7:L7)=2),J7-K7-L7,"")</x:f>
      </x:c>
      <x:c r="N7" s="1786"/>
      <x:c r="O7" s="1786"/>
      <x:c r="P7" s="1790" t="str">
        <x:f>IF(AND(ISNUMBER(K7),COUNT(N7:O7)=2),K7-N7-O7,"")</x:f>
      </x:c>
      <x:c r="Q7" s="162" t="str">
        <x:v>Data needed</x:v>
      </x:c>
      <x:c r="R7" s="312" t="str">
        <x:v>Separate gas revenue from by-products if source data permit.</x:v>
      </x:c>
    </x:row>
    <x:row r="8">
      <x:c r="A8" s="311" t="str">
        <x:v>Coal</x:v>
      </x:c>
      <x:c r="B8" s="162" t="str">
        <x:v>Canada</x:v>
      </x:c>
      <x:c r="C8" s="162" t="str">
        <x:v>Bituminous/subbituminous/lignite coal</x:v>
      </x:c>
      <x:c r="D8" s="162" t="n">
        <x:v>2024</x:v>
      </x:c>
      <x:c r="E8" s="1784"/>
      <x:c r="F8" s="1784"/>
      <x:c r="G8" s="1784"/>
      <x:c r="H8" s="1784"/>
      <x:c r="I8" s="1784"/>
      <x:c r="J8" s="1788" t="str">
        <x:f>IF(COUNT(E8:I8)=5,E8-F8-G8-H8-I8,"")</x:f>
      </x:c>
      <x:c r="K8" s="1786"/>
      <x:c r="L8" s="1786"/>
      <x:c r="M8" s="1790" t="str">
        <x:f>IF(AND(ISNUMBER(J8),COUNT(K8:L8)=2),J8-K8-L8,"")</x:f>
      </x:c>
      <x:c r="N8" s="1786"/>
      <x:c r="O8" s="1786"/>
      <x:c r="P8" s="1790" t="str">
        <x:f>IF(AND(ISNUMBER(K8),COUNT(N8:O8)=2),K8-N8-O8,"")</x:f>
      </x:c>
      <x:c r="Q8" s="162" t="str">
        <x:v>Data needed</x:v>
      </x:c>
      <x:c r="R8" s="312" t="str">
        <x:v>Use only economically recoverable reserves and actual extraction costs.</x:v>
      </x:c>
    </x:row>
    <x:row r="9">
      <x:c r="A9" s="311" t="str">
        <x:v>Potash</x:v>
      </x:c>
      <x:c r="B9" s="162" t="str">
        <x:v>Canada</x:v>
      </x:c>
      <x:c r="C9" s="162" t="str">
        <x:v>Potash</x:v>
      </x:c>
      <x:c r="D9" s="162" t="n">
        <x:v>2024</x:v>
      </x:c>
      <x:c r="E9" s="1784"/>
      <x:c r="F9" s="1784"/>
      <x:c r="G9" s="1784"/>
      <x:c r="H9" s="1784"/>
      <x:c r="I9" s="1784"/>
      <x:c r="J9" s="1788" t="str">
        <x:f>IF(COUNT(E9:I9)=5,E9-F9-G9-H9-I9,"")</x:f>
      </x:c>
      <x:c r="K9" s="1786"/>
      <x:c r="L9" s="1786"/>
      <x:c r="M9" s="1790" t="str">
        <x:f>IF(AND(ISNUMBER(J9),COUNT(K9:L9)=2),J9-K9-L9,"")</x:f>
      </x:c>
      <x:c r="N9" s="1786"/>
      <x:c r="O9" s="1786"/>
      <x:c r="P9" s="1790" t="str">
        <x:f>IF(AND(ISNUMBER(K9),COUNT(N9:O9)=2),K9-N9-O9,"")</x:f>
      </x:c>
      <x:c r="Q9" s="162" t="str">
        <x:v>Industry bridge PASS; capital proxy FAIL; commodity LOCKED</x:v>
      </x:c>
      <x:c r="R9" s="178" t="str">
        <x:v>Potash_Bridge_2024 closes the 2024 industry production identity. The one-year CAPEX allocation changes the sign of the post-capital result versus an output-share stress scenario, so no point estimate is authorized. Import Statistics Canada tables 16-10-0022-02 and 16-10-0031-01 and replace the capital proxy before publication.</x:v>
      </x:c>
    </x:row>
    <x:row r="10">
      <x:c r="A10" s="311" t="str">
        <x:v>Gold</x:v>
      </x:c>
      <x:c r="B10" s="162" t="str">
        <x:v>Canada</x:v>
      </x:c>
      <x:c r="C10" s="162" t="str">
        <x:v>Gold from gold mines</x:v>
      </x:c>
      <x:c r="D10" s="162" t="n">
        <x:v>2024</x:v>
      </x:c>
      <x:c r="E10" s="1784"/>
      <x:c r="F10" s="1784"/>
      <x:c r="G10" s="1784"/>
      <x:c r="H10" s="1784"/>
      <x:c r="I10" s="1784"/>
      <x:c r="J10" s="1788" t="str">
        <x:f>IF(COUNT(E10:I10)=5,E10-F10-G10-H10-I10,"")</x:f>
      </x:c>
      <x:c r="K10" s="1786"/>
      <x:c r="L10" s="1786"/>
      <x:c r="M10" s="1790" t="str">
        <x:f>IF(AND(ISNUMBER(J10),COUNT(K10:L10)=2),J10-K10-L10,"")</x:f>
      </x:c>
      <x:c r="N10" s="1786"/>
      <x:c r="O10" s="1786"/>
      <x:c r="P10" s="1790" t="str">
        <x:f>IF(AND(ISNUMBER(K10),COUNT(N10:O10)=2),K10-N10-O10,"")</x:f>
      </x:c>
      <x:c r="Q10" s="162" t="str">
        <x:v>Data needed</x:v>
      </x:c>
      <x:c r="R10" s="312" t="str">
        <x:v>Do not combine mine revenue with refined-metal value added.</x:v>
      </x:c>
    </x:row>
    <x:row r="11">
      <x:c r="A11" s="311" t="str">
        <x:v>Iron</x:v>
      </x:c>
      <x:c r="B11" s="162" t="str">
        <x:v>Canada</x:v>
      </x:c>
      <x:c r="C11" s="162" t="str">
        <x:v>Iron</x:v>
      </x:c>
      <x:c r="D11" s="162" t="n">
        <x:v>2024</x:v>
      </x:c>
      <x:c r="E11" s="1784"/>
      <x:c r="F11" s="1784"/>
      <x:c r="G11" s="1784"/>
      <x:c r="H11" s="1784"/>
      <x:c r="I11" s="1784"/>
      <x:c r="J11" s="1788" t="str">
        <x:f>IF(COUNT(E11:I11)=5,E11-F11-G11-H11-I11,"")</x:f>
      </x:c>
      <x:c r="K11" s="1786"/>
      <x:c r="L11" s="1786"/>
      <x:c r="M11" s="1790" t="str">
        <x:f>IF(AND(ISNUMBER(J11),COUNT(K11:L11)=2),J11-K11-L11,"")</x:f>
      </x:c>
      <x:c r="N11" s="1786"/>
      <x:c r="O11" s="1786"/>
      <x:c r="P11" s="1790" t="str">
        <x:f>IF(AND(ISNUMBER(K11),COUNT(N11:O11)=2),K11-N11-O11,"")</x:f>
      </x:c>
      <x:c r="Q11" s="162" t="str">
        <x:v>Data needed</x:v>
      </x:c>
      <x:c r="R11" s="312" t="str">
        <x:v>Requires mine-level output/cost aggregation and provincial capture.</x:v>
      </x:c>
    </x:row>
    <x:row r="12">
      <x:c r="A12" s="311" t="str">
        <x:v>Other metallic minerals</x:v>
      </x:c>
      <x:c r="B12" s="162" t="str">
        <x:v>Canada</x:v>
      </x:c>
      <x:c r="C12" s="162" t="str">
        <x:v>Miscellaneous minerals</x:v>
      </x:c>
      <x:c r="D12" s="162" t="n">
        <x:v>2024</x:v>
      </x:c>
      <x:c r="E12" s="1784"/>
      <x:c r="F12" s="1784"/>
      <x:c r="G12" s="1784"/>
      <x:c r="H12" s="1784"/>
      <x:c r="I12" s="1784"/>
      <x:c r="J12" s="1788" t="str">
        <x:f>IF(COUNT(E12:I12)=5,E12-F12-G12-H12-I12,"")</x:f>
      </x:c>
      <x:c r="K12" s="1786"/>
      <x:c r="L12" s="1786"/>
      <x:c r="M12" s="1790" t="str">
        <x:f>IF(AND(ISNUMBER(J12),COUNT(K12:L12)=2),J12-K12-L12,"")</x:f>
      </x:c>
      <x:c r="N12" s="1786"/>
      <x:c r="O12" s="1786"/>
      <x:c r="P12" s="1790" t="str">
        <x:f>IF(AND(ISNUMBER(K12),COUNT(N12:O12)=2),K12-N12-O12,"")</x:f>
      </x:c>
      <x:c r="Q12" s="162" t="str">
        <x:v>Data needed</x:v>
      </x:c>
      <x:c r="R12" s="312" t="str">
        <x:v>Includes multiple mineral types in the official reserve account; disaggregate only with compatible source data.</x:v>
      </x:c>
    </x:row>
    <x:row r="13">
      <x:c r="A13" s="311" t="str">
        <x:v>Uranium diagnostic</x:v>
      </x:c>
      <x:c r="B13" s="162" t="str">
        <x:v>Canada</x:v>
      </x:c>
      <x:c r="C13" s="162" t="str">
        <x:v>Within miscellaneous minerals</x:v>
      </x:c>
      <x:c r="D13" s="162" t="n">
        <x:v>2024</x:v>
      </x:c>
      <x:c r="E13" s="1784"/>
      <x:c r="F13" s="1784"/>
      <x:c r="G13" s="1784"/>
      <x:c r="H13" s="1784"/>
      <x:c r="I13" s="1784"/>
      <x:c r="J13" s="1788" t="str">
        <x:f>IF(COUNT(E13:I13)=5,E13-F13-G13-H13-I13,"")</x:f>
      </x:c>
      <x:c r="K13" s="1786"/>
      <x:c r="L13" s="1786"/>
      <x:c r="M13" s="1790" t="str">
        <x:f>IF(AND(ISNUMBER(J13),COUNT(K13:L13)=2),J13-K13-L13,"")</x:f>
      </x:c>
      <x:c r="N13" s="1786"/>
      <x:c r="O13" s="1786"/>
      <x:c r="P13" s="1790" t="str">
        <x:f>IF(AND(ISNUMBER(K13),COUNT(N13:O13)=2),K13-N13-O13,"")</x:f>
      </x:c>
      <x:c r="Q13" s="162" t="str">
        <x:v>Data needed</x:v>
      </x:c>
      <x:c r="R13" s="312" t="str">
        <x:v>Do not add to the miscellaneous-minerals total unless that total is correspondingly reduced.</x:v>
      </x:c>
    </x:row>
    <x:row r="14">
      <x:c r="A14" s="311" t="str">
        <x:v>Diamonds diagnostic</x:v>
      </x:c>
      <x:c r="B14" s="162" t="str">
        <x:v>Canada</x:v>
      </x:c>
      <x:c r="C14" s="162" t="str">
        <x:v>Within miscellaneous minerals</x:v>
      </x:c>
      <x:c r="D14" s="162" t="n">
        <x:v>2024</x:v>
      </x:c>
      <x:c r="E14" s="1784"/>
      <x:c r="F14" s="1784"/>
      <x:c r="G14" s="1784"/>
      <x:c r="H14" s="1784"/>
      <x:c r="I14" s="1784"/>
      <x:c r="J14" s="1788" t="str">
        <x:f>IF(COUNT(E14:I14)=5,E14-F14-G14-H14-I14,"")</x:f>
      </x:c>
      <x:c r="K14" s="1786"/>
      <x:c r="L14" s="1786"/>
      <x:c r="M14" s="1790" t="str">
        <x:f>IF(AND(ISNUMBER(J14),COUNT(K14:L14)=2),J14-K14-L14,"")</x:f>
      </x:c>
      <x:c r="N14" s="1786"/>
      <x:c r="O14" s="1786"/>
      <x:c r="P14" s="1790" t="str">
        <x:f>IF(AND(ISNUMBER(K14),COUNT(N14:O14)=2),K14-N14-O14,"")</x:f>
      </x:c>
      <x:c r="Q14" s="162" t="str">
        <x:v>Data needed</x:v>
      </x:c>
      <x:c r="R14" s="312" t="str">
        <x:v>NWT diamond conditions affect royalties; avoid double counting with miscellaneous minerals.</x:v>
      </x:c>
    </x:row>
    <x:row r="15">
      <x:c r="A15" s="311" t="str">
        <x:v>Timber</x:v>
      </x:c>
      <x:c r="B15" s="162" t="str">
        <x:v>Canada</x:v>
      </x:c>
      <x:c r="C15" s="162" t="str">
        <x:v>Timber</x:v>
      </x:c>
      <x:c r="D15" s="162" t="n">
        <x:v>2024</x:v>
      </x:c>
      <x:c r="E15" s="1784"/>
      <x:c r="F15" s="1784"/>
      <x:c r="G15" s="1784"/>
      <x:c r="H15" s="1784"/>
      <x:c r="I15" s="1784"/>
      <x:c r="J15" s="1788" t="str">
        <x:f>IF(COUNT(E15:I15)=5,E15-F15-G15-H15-I15,"")</x:f>
      </x:c>
      <x:c r="K15" s="1786"/>
      <x:c r="L15" s="1786"/>
      <x:c r="M15" s="1790" t="str">
        <x:f>IF(AND(ISNUMBER(J15),COUNT(K15:L15)=2),J15-K15-L15,"")</x:f>
      </x:c>
      <x:c r="N15" s="1786"/>
      <x:c r="O15" s="1786"/>
      <x:c r="P15" s="1790" t="str">
        <x:f>IF(AND(ISNUMBER(K15),COUNT(N15:O15)=2),K15-N15-O15,"")</x:f>
      </x:c>
      <x:c r="Q15" s="162" t="str">
        <x:v>Data needed</x:v>
      </x:c>
      <x:c r="R15" s="312" t="str">
        <x:v>Renewable-resource valuation requires accessible harvest stock and sustainable rent assumptions.</x:v>
      </x:c>
    </x:row>
    <x:row r="16">
      <x:c r="A16" s="313" t="str">
        <x:v>All selected resources</x:v>
      </x:c>
      <x:c r="B16" s="314" t="str">
        <x:v>Canada</x:v>
      </x:c>
      <x:c r="C16" s="314" t="str">
        <x:v>Control total</x:v>
      </x:c>
      <x:c r="D16" s="314" t="n">
        <x:v>2024</x:v>
      </x:c>
      <x:c r="E16" s="1781"/>
      <x:c r="F16" s="1781"/>
      <x:c r="G16" s="1781"/>
      <x:c r="H16" s="1781"/>
      <x:c r="I16" s="1781"/>
      <x:c r="J16" s="1787" t="str">
        <x:f>IF(COUNT(E16:I16)=5,E16-F16-G16-H16-I16,"")</x:f>
      </x:c>
      <x:c r="K16" s="1783"/>
      <x:c r="L16" s="1783"/>
      <x:c r="M16" s="1789" t="str">
        <x:f>IF(AND(ISNUMBER(J16),COUNT(K16:L16)=2),J16-K16-L16,"")</x:f>
      </x:c>
      <x:c r="N16" s="1783"/>
      <x:c r="O16" s="1783"/>
      <x:c r="P16" s="1789" t="str">
        <x:f>IF(AND(ISNUMBER(K16),COUNT(N16:O16)=2),K16-N16-O16,"")</x:f>
      </x:c>
      <x:c r="Q16" s="314" t="str">
        <x:v>Data needed</x:v>
      </x:c>
      <x:c r="R16" s="315" t="str">
        <x:v>Must reconcile to resource-account control totals without adding diagnostic rows twice.</x:v>
      </x:c>
    </x:row>
  </x:sheetData>
  <x:mergeCells>
    <x:mergeCell ref="A1:R1"/>
    <x:mergeCell ref="A2:R2"/>
  </x:mergeCells>
  <x:dataValidations count="1">
    <x:dataValidation type="list" sqref="Q5:Q16">
      <x:formula1>"Data needed,Partial,Verified"</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8" hidden="0" customWidth="1"/>
    <x:col min="3" max="3" width="23" hidden="0" customWidth="1"/>
    <x:col min="4" max="4" width="22" hidden="0" customWidth="1"/>
    <x:col min="5" max="5" width="20" hidden="0" customWidth="1"/>
    <x:col min="6" max="6" width="22" hidden="0" customWidth="1"/>
    <x:col min="7" max="7" width="20" hidden="0" customWidth="1"/>
    <x:col min="8" max="8" width="20" hidden="0" customWidth="1"/>
    <x:col min="9" max="9" width="34" hidden="0" customWidth="1"/>
    <x:col min="10" max="10" width="22" hidden="0" customWidth="1"/>
    <x:col min="11" max="11" width="43" hidden="0" customWidth="1"/>
  </x:cols>
  <x:sheetData>
    <x:row r="1" ht="28" customHeight="1">
      <x:c r="A1" s="274" t="str">
        <x:v>Jurisdiction Data-Extraction Queue</x:v>
      </x:c>
      <x:c r="B1" s="274"/>
      <x:c r="C1" s="274"/>
      <x:c r="D1" s="274"/>
      <x:c r="E1" s="274"/>
      <x:c r="F1" s="274"/>
      <x:c r="G1" s="274"/>
      <x:c r="H1" s="274"/>
      <x:c r="I1" s="274"/>
      <x:c r="J1" s="274"/>
      <x:c r="K1" s="274"/>
    </x:row>
    <x:row r="2" ht="40" customHeight="1">
      <x:c r="A2" s="277" t="str">
        <x:v>The queue separates official-source discovery from verified value extraction. A source location is not treated as a completed annual input.</x:v>
      </x:c>
      <x:c r="B2" s="277"/>
      <x:c r="C2" s="277"/>
      <x:c r="D2" s="277"/>
      <x:c r="E2" s="277"/>
      <x:c r="F2" s="277"/>
      <x:c r="G2" s="277"/>
      <x:c r="H2" s="277"/>
      <x:c r="I2" s="277"/>
      <x:c r="J2" s="277"/>
      <x:c r="K2" s="277"/>
    </x:row>
    <x:row r="4" ht="38" customHeight="1">
      <x:c r="A4" s="289" t="str">
        <x:v>Jurisdiction</x:v>
      </x:c>
      <x:c r="B4" s="290" t="str">
        <x:v>Resource-revenue status</x:v>
      </x:c>
      <x:c r="C4" s="290" t="str">
        <x:v>Resource source</x:v>
      </x:c>
      <x:c r="D4" s="290" t="str">
        <x:v>Standardized CGFS rent extraction</x:v>
      </x:c>
      <x:c r="E4" s="290" t="str">
        <x:v>Property-tax status</x:v>
      </x:c>
      <x:c r="F4" s="290" t="str">
        <x:v>Property-tax source</x:v>
      </x:c>
      <x:c r="G4" s="290" t="str">
        <x:v>Closure-security status</x:v>
      </x:c>
      <x:c r="H4" s="290" t="str">
        <x:v>Liability status</x:v>
      </x:c>
      <x:c r="I4" s="290" t="str">
        <x:v>Next decisive extraction</x:v>
      </x:c>
      <x:c r="J4" s="290" t="str">
        <x:v>Overall status</x:v>
      </x:c>
      <x:c r="K4" s="291" t="str">
        <x:v>Notes</x:v>
      </x:c>
    </x:row>
    <x:row r="5">
      <x:c r="A5" s="308" t="str">
        <x:v>Federal government</x:v>
      </x:c>
      <x:c r="B5" s="309" t="str">
        <x:v>Vector mapped</x:v>
      </x:c>
      <x:c r="C5" s="309" t="str">
        <x:v>Federal public accounts / offshore and federal lands</x:v>
      </x:c>
      <x:c r="D5" s="309" t="str">
        <x:v>Rent vector v91574770; property vector v91574742</x:v>
      </x:c>
      <x:c r="E5" s="309" t="str">
        <x:v>National aggregate verified</x:v>
      </x:c>
      <x:c r="F5" s="309" t="str">
        <x:v>Statistics Canada 10-10-0172-01</x:v>
      </x:c>
      <x:c r="G5" s="309" t="str">
        <x:v>Data needed</x:v>
      </x:c>
      <x:c r="H5" s="309" t="str">
        <x:v>Data needed</x:v>
      </x:c>
      <x:c r="I5" s="309" t="str">
        <x:v>Separate federal rent, licence and Crown returns from ordinary tax revenue.</x:v>
      </x:c>
      <x:c r="J5" s="309" t="str">
        <x:v>Open</x:v>
      </x:c>
      <x:c r="K5" s="310" t="str">
        <x:v>Do not assign provincial Crown royalties to Ottawa.</x:v>
      </x:c>
    </x:row>
    <x:row r="6">
      <x:c r="A6" s="311" t="str">
        <x:v>Newfoundland and Labrador</x:v>
      </x:c>
      <x:c r="B6" s="162" t="str">
        <x:v>Public account comparator verified</x:v>
      </x:c>
      <x:c r="C6" s="162" t="str">
        <x:v>Public Accounts 2024-25 / offshore royalty notes</x:v>
      </x:c>
      <x:c r="D6" s="162" t="str">
        <x:v>Rent vector v91575119; property vector v91575090</x:v>
      </x:c>
      <x:c r="E6" s="162" t="str">
        <x:v>Local property input verified</x:v>
      </x:c>
      <x:c r="F6" s="162" t="str">
        <x:v>Statistics Canada local government table</x:v>
      </x:c>
      <x:c r="G6" s="162" t="str">
        <x:v>Data needed</x:v>
      </x:c>
      <x:c r="H6" s="162" t="str">
        <x:v>Data needed</x:v>
      </x:c>
      <x:c r="I6" s="162" t="str">
        <x:v>Retrieve CGFS v91575119 and component vectors; reconcile the $1.306572B comparator and $72.614M Future Fund contribution.</x:v>
      </x:c>
      <x:c r="J6" s="162" t="str">
        <x:v>Open</x:v>
      </x:c>
      <x:c r="K6" s="312" t="str">
        <x:v>Future Bay du Nord forecasts are not annual observed revenue.</x:v>
      </x:c>
    </x:row>
    <x:row r="7">
      <x:c r="A7" s="311" t="str">
        <x:v>Prince Edward Island</x:v>
      </x:c>
      <x:c r="B7" s="162" t="str">
        <x:v>Vector mapped</x:v>
      </x:c>
      <x:c r="C7" s="162" t="str">
        <x:v>Public Accounts / CGFS</x:v>
      </x:c>
      <x:c r="D7" s="162" t="str">
        <x:v>Rent vector v91575381; property vector v91575352</x:v>
      </x:c>
      <x:c r="E7" s="162" t="str">
        <x:v>Data needed</x:v>
      </x:c>
      <x:c r="F7" s="162" t="str">
        <x:v>CGFS/local government tables</x:v>
      </x:c>
      <x:c r="G7" s="162" t="str">
        <x:v>Data needed</x:v>
      </x:c>
      <x:c r="H7" s="162" t="str">
        <x:v>Data needed</x:v>
      </x:c>
      <x:c r="I7" s="162" t="str">
        <x:v>Confirm whether rent is zero or immaterial rather than assuming zero.</x:v>
      </x:c>
      <x:c r="J7" s="162" t="str">
        <x:v>Open</x:v>
      </x:c>
      <x:c r="K7" s="312" t="str"/>
    </x:row>
    <x:row r="8">
      <x:c r="A8" s="311" t="str">
        <x:v>Nova Scotia</x:v>
      </x:c>
      <x:c r="B8" s="162" t="str">
        <x:v>Vector mapped</x:v>
      </x:c>
      <x:c r="C8" s="162" t="str">
        <x:v>Public Accounts / offshore accounts / CGFS</x:v>
      </x:c>
      <x:c r="D8" s="162" t="str">
        <x:v>Rent vector v91575643; property vector v91575614</x:v>
      </x:c>
      <x:c r="E8" s="162" t="str">
        <x:v>Data needed</x:v>
      </x:c>
      <x:c r="F8" s="162" t="str">
        <x:v>CGFS/local government tables</x:v>
      </x:c>
      <x:c r="G8" s="162" t="str">
        <x:v>Data needed</x:v>
      </x:c>
      <x:c r="H8" s="162" t="str">
        <x:v>Data needed</x:v>
      </x:c>
      <x:c r="I8" s="162" t="str">
        <x:v>Separate offshore, forestry and mineral sources.</x:v>
      </x:c>
      <x:c r="J8" s="162" t="str">
        <x:v>Open</x:v>
      </x:c>
      <x:c r="K8" s="312" t="str"/>
    </x:row>
    <x:row r="9">
      <x:c r="A9" s="311" t="str">
        <x:v>New Brunswick</x:v>
      </x:c>
      <x:c r="B9" s="162" t="str">
        <x:v>Public account comparator verified</x:v>
      </x:c>
      <x:c r="C9" s="162" t="str">
        <x:v>Public Accounts / CGFS</x:v>
      </x:c>
      <x:c r="D9" s="162" t="str">
        <x:v>Rent vector v91575905; property vector v91575876</x:v>
      </x:c>
      <x:c r="E9" s="162" t="str">
        <x:v>Data needed</x:v>
      </x:c>
      <x:c r="F9" s="162" t="str">
        <x:v>CGFS/local government tables</x:v>
      </x:c>
      <x:c r="G9" s="162" t="str">
        <x:v>Data needed</x:v>
      </x:c>
      <x:c r="H9" s="162" t="str">
        <x:v>Data needed</x:v>
      </x:c>
      <x:c r="I9" s="162" t="str">
        <x:v>Retrieve CGFS v91575905 and component vectors; reconcile designated First Nations royalties, direct leases and mine-reclamation spending.</x:v>
      </x:c>
      <x:c r="J9" s="162" t="str">
        <x:v>Open</x:v>
      </x:c>
      <x:c r="K9" s="312" t="str"/>
    </x:row>
    <x:row r="10">
      <x:c r="A10" s="311" t="str">
        <x:v>Québec</x:v>
      </x:c>
      <x:c r="B10" s="162" t="str">
        <x:v>Partial verified</x:v>
      </x:c>
      <x:c r="C10" s="162" t="str">
        <x:v>Mining duties and surface-mineral royalty registry</x:v>
      </x:c>
      <x:c r="D10" s="162" t="str">
        <x:v>Rent vector v91576167; property vector v91576138</x:v>
      </x:c>
      <x:c r="E10" s="162" t="str">
        <x:v>Data needed</x:v>
      </x:c>
      <x:c r="F10" s="162" t="str">
        <x:v>CGFS/local government tables</x:v>
      </x:c>
      <x:c r="G10" s="162" t="str">
        <x:v>Mine payment reporting available</x:v>
      </x:c>
      <x:c r="H10" s="162" t="str">
        <x:v>Data needed</x:v>
      </x:c>
      <x:c r="I10" s="162" t="str">
        <x:v>Add hydroelectric, forestry and all other rent categories without double counting.</x:v>
      </x:c>
      <x:c r="J10" s="162" t="str">
        <x:v>Open</x:v>
      </x:c>
      <x:c r="K10" s="312" t="str"/>
    </x:row>
    <x:row r="11">
      <x:c r="A11" s="311" t="str">
        <x:v>Ontario</x:v>
      </x:c>
      <x:c r="B11" s="162" t="str">
        <x:v>Partial verified</x:v>
      </x:c>
      <x:c r="C11" s="162" t="str">
        <x:v>Public Accounts royalty line</x:v>
      </x:c>
      <x:c r="D11" s="162" t="str">
        <x:v>Rent vector v91576429; property vector v91576400</x:v>
      </x:c>
      <x:c r="E11" s="162" t="str">
        <x:v>Partial verified</x:v>
      </x:c>
      <x:c r="F11" s="162" t="str">
        <x:v>Public Accounts plus municipal data</x:v>
      </x:c>
      <x:c r="G11" s="162" t="str">
        <x:v>Project-specific</x:v>
      </x:c>
      <x:c r="H11" s="162" t="str">
        <x:v>Data needed</x:v>
      </x:c>
      <x:c r="I11" s="162" t="str">
        <x:v>Replace broad royalty line with commodity detail; add municipal tax.</x:v>
      </x:c>
      <x:c r="J11" s="162" t="str">
        <x:v>Open</x:v>
      </x:c>
      <x:c r="K11" s="312" t="str"/>
    </x:row>
    <x:row r="12">
      <x:c r="A12" s="311" t="str">
        <x:v>Manitoba</x:v>
      </x:c>
      <x:c r="B12" s="162" t="str">
        <x:v>Vector mapped</x:v>
      </x:c>
      <x:c r="C12" s="162" t="str">
        <x:v>Public Accounts / CGFS</x:v>
      </x:c>
      <x:c r="D12" s="162" t="str">
        <x:v>Rent vector v91576691; property vector v91576662</x:v>
      </x:c>
      <x:c r="E12" s="162" t="str">
        <x:v>Data needed</x:v>
      </x:c>
      <x:c r="F12" s="162" t="str">
        <x:v>CGFS/local government tables</x:v>
      </x:c>
      <x:c r="G12" s="162" t="str">
        <x:v>Data needed</x:v>
      </x:c>
      <x:c r="H12" s="162" t="str">
        <x:v>Data needed</x:v>
      </x:c>
      <x:c r="I12" s="162" t="str">
        <x:v>Extract hydro, mining, forestry and Crown returns separately.</x:v>
      </x:c>
      <x:c r="J12" s="162" t="str">
        <x:v>Open</x:v>
      </x:c>
      <x:c r="K12" s="312" t="str"/>
    </x:row>
    <x:row r="13">
      <x:c r="A13" s="311" t="str">
        <x:v>Saskatchewan</x:v>
      </x:c>
      <x:c r="B13" s="162" t="str">
        <x:v>Verified</x:v>
      </x:c>
      <x:c r="C13" s="162" t="str">
        <x:v>Public Accounts 2024-25</x:v>
      </x:c>
      <x:c r="D13" s="162" t="str">
        <x:v>Rent vector v91576953; property vector v91576924</x:v>
      </x:c>
      <x:c r="E13" s="162" t="str">
        <x:v>Partial verified</x:v>
      </x:c>
      <x:c r="F13" s="162" t="str">
        <x:v>Public Accounts</x:v>
      </x:c>
      <x:c r="G13" s="162" t="str">
        <x:v>Mine security data needed</x:v>
      </x:c>
      <x:c r="H13" s="162" t="str">
        <x:v>Partial verified</x:v>
      </x:c>
      <x:c r="I13" s="162" t="str">
        <x:v>Add mine-specific financial security and annual remediation spending.</x:v>
      </x:c>
      <x:c r="J13" s="162" t="str">
        <x:v>Open</x:v>
      </x:c>
      <x:c r="K13" s="312" t="str"/>
    </x:row>
    <x:row r="14">
      <x:c r="A14" s="311" t="str">
        <x:v>Alberta</x:v>
      </x:c>
      <x:c r="B14" s="162" t="str">
        <x:v>Verified</x:v>
      </x:c>
      <x:c r="C14" s="162" t="str">
        <x:v>Budget 2026 revenue tables</x:v>
      </x:c>
      <x:c r="D14" s="162" t="str">
        <x:v>Rent vector v91577215; property vector v91577186</x:v>
      </x:c>
      <x:c r="E14" s="162" t="str">
        <x:v>Data needed</x:v>
      </x:c>
      <x:c r="F14" s="162" t="str">
        <x:v>CGFS/local government tables</x:v>
      </x:c>
      <x:c r="G14" s="162" t="str">
        <x:v>Aggregate security missing</x:v>
      </x:c>
      <x:c r="H14" s="162" t="str">
        <x:v>Oil/gas liability verified</x:v>
      </x:c>
      <x:c r="I14" s="162" t="str">
        <x:v>Obtain financial security held and property-tax aggregate.</x:v>
      </x:c>
      <x:c r="J14" s="162" t="str">
        <x:v>Open</x:v>
      </x:c>
      <x:c r="K14" s="312" t="str"/>
    </x:row>
    <x:row r="15">
      <x:c r="A15" s="311" t="str">
        <x:v>British Columbia</x:v>
      </x:c>
      <x:c r="B15" s="162" t="str">
        <x:v>Verified</x:v>
      </x:c>
      <x:c r="C15" s="162" t="str">
        <x:v>Public Accounts 2024-25</x:v>
      </x:c>
      <x:c r="D15" s="162" t="str">
        <x:v>Rent vector v91577477; property vector v91577448</x:v>
      </x:c>
      <x:c r="E15" s="162" t="str">
        <x:v>Data needed</x:v>
      </x:c>
      <x:c r="F15" s="162" t="str">
        <x:v>CGFS/local government tables</x:v>
      </x:c>
      <x:c r="G15" s="162" t="str">
        <x:v>Framework verified; dollars pending</x:v>
      </x:c>
      <x:c r="H15" s="162" t="str">
        <x:v>Current aggregate pending</x:v>
      </x:c>
      <x:c r="I15" s="162" t="str">
        <x:v>Extract Chief Inspector aggregate liability/security table.</x:v>
      </x:c>
      <x:c r="J15" s="162" t="str">
        <x:v>Open</x:v>
      </x:c>
      <x:c r="K15" s="312" t="str"/>
    </x:row>
    <x:row r="16">
      <x:c r="A16" s="311" t="str">
        <x:v>Yukon</x:v>
      </x:c>
      <x:c r="B16" s="162" t="str">
        <x:v>Vector mapped</x:v>
      </x:c>
      <x:c r="C16" s="162" t="str">
        <x:v>Public Accounts / CGFS</x:v>
      </x:c>
      <x:c r="D16" s="162" t="str">
        <x:v>Rent vector v91577739; property vector v91577710</x:v>
      </x:c>
      <x:c r="E16" s="162" t="str">
        <x:v>Data needed</x:v>
      </x:c>
      <x:c r="F16" s="162" t="str">
        <x:v>CGFS/local government tables</x:v>
      </x:c>
      <x:c r="G16" s="162" t="str">
        <x:v>Data needed</x:v>
      </x:c>
      <x:c r="H16" s="162" t="str">
        <x:v>Data needed</x:v>
      </x:c>
      <x:c r="I16" s="162" t="str">
        <x:v>Map devolved resources, modern treaties and mine security.</x:v>
      </x:c>
      <x:c r="J16" s="162" t="str">
        <x:v>Open</x:v>
      </x:c>
      <x:c r="K16" s="312" t="str"/>
    </x:row>
    <x:row r="17">
      <x:c r="A17" s="311" t="str">
        <x:v>Northwest Territories</x:v>
      </x:c>
      <x:c r="B17" s="162" t="str">
        <x:v>Verified</x:v>
      </x:c>
      <x:c r="C17" s="162" t="str">
        <x:v>Public Accounts 2024-25</x:v>
      </x:c>
      <x:c r="D17" s="162" t="str">
        <x:v>Rent vector v91578001; property vector v91577972</x:v>
      </x:c>
      <x:c r="E17" s="162" t="str">
        <x:v>Data needed</x:v>
      </x:c>
      <x:c r="F17" s="162" t="str">
        <x:v>CGFS/local government tables</x:v>
      </x:c>
      <x:c r="G17" s="162" t="str">
        <x:v>Project-level data needed</x:v>
      </x:c>
      <x:c r="H17" s="162" t="str">
        <x:v>Broad environmental liability available</x:v>
      </x:c>
      <x:c r="I17" s="162" t="str">
        <x:v>Obtain security registry and explain negative accrual separately from cash received.</x:v>
      </x:c>
      <x:c r="J17" s="162" t="str">
        <x:v>Open</x:v>
      </x:c>
      <x:c r="K17" s="312" t="str"/>
    </x:row>
    <x:row r="18">
      <x:c r="A18" s="313" t="str">
        <x:v>Nunavut</x:v>
      </x:c>
      <x:c r="B18" s="314" t="str">
        <x:v>Vector mapped</x:v>
      </x:c>
      <x:c r="C18" s="314" t="str">
        <x:v>Public Accounts / federal and territorial sources</x:v>
      </x:c>
      <x:c r="D18" s="314" t="str">
        <x:v>Rent vector v91578263; property vector v91578234</x:v>
      </x:c>
      <x:c r="E18" s="314" t="str">
        <x:v>Data needed</x:v>
      </x:c>
      <x:c r="F18" s="314" t="str">
        <x:v>CGFS/local government tables</x:v>
      </x:c>
      <x:c r="G18" s="314" t="str">
        <x:v>Project-level data needed</x:v>
      </x:c>
      <x:c r="H18" s="314" t="str">
        <x:v>Data needed</x:v>
      </x:c>
      <x:c r="I18" s="314" t="str">
        <x:v>Separate territorial, federal and Inuit-owned revenue streams.</x:v>
      </x:c>
      <x:c r="J18" s="314" t="str">
        <x:v>Open</x:v>
      </x:c>
      <x:c r="K18" s="315" t="str"/>
    </x:row>
  </x:sheetData>
  <x:mergeCells>
    <x:mergeCell ref="A1:K1"/>
    <x:mergeCell ref="A2:K2"/>
  </x:mergeCells>
  <x:dataValidations count="1">
    <x:dataValidation type="list" sqref="J5:J18">
      <x:formula1>"Open,Complete,Blocked"</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15" hidden="0" customWidth="1"/>
    <x:col min="3" max="3" width="18" hidden="0" customWidth="1"/>
    <x:col min="4" max="4" width="18" hidden="0" customWidth="1"/>
    <x:col min="5" max="5" width="18" hidden="0" customWidth="1"/>
    <x:col min="6" max="6" width="18" hidden="0" customWidth="1"/>
    <x:col min="7" max="7" width="17" hidden="0" customWidth="1"/>
    <x:col min="8" max="8" width="17" hidden="0" customWidth="1"/>
    <x:col min="9" max="9" width="17" hidden="0" customWidth="1"/>
    <x:col min="10" max="10" width="20" hidden="0" customWidth="1"/>
    <x:col min="11" max="11" width="23" hidden="0" customWidth="1"/>
    <x:col min="12" max="12" width="22" hidden="0" customWidth="1"/>
    <x:col min="13" max="13" width="39" hidden="0" customWidth="1"/>
    <x:col min="14" max="14" width="44" hidden="0" customWidth="1"/>
  </x:cols>
  <x:sheetData>
    <x:row r="1" ht="28" customHeight="1">
      <x:c r="A1" s="337" t="str">
        <x:v>Statistics Canada CGFS Vector Map — Rent and Property Tax</x:v>
      </x:c>
      <x:c r="B1" s="337"/>
      <x:c r="C1" s="337"/>
      <x:c r="D1" s="337"/>
      <x:c r="E1" s="337"/>
      <x:c r="F1" s="337"/>
      <x:c r="G1" s="337"/>
      <x:c r="H1" s="337"/>
      <x:c r="I1" s="337"/>
      <x:c r="J1" s="337"/>
      <x:c r="K1" s="337"/>
      <x:c r="L1" s="337"/>
      <x:c r="M1" s="337"/>
      <x:c r="N1" s="337"/>
    </x:row>
    <x:row r="2" ht="42" customHeight="1">
      <x:c r="A2" s="340" t="str">
        <x:v>Exact series identifiers for standardized federal, provincial and territorial government-finance definitions. Values remain blank until the WDS observation payload is retrieved and scalar codes are applied.</x:v>
      </x:c>
      <x:c r="B2" s="340"/>
      <x:c r="C2" s="340"/>
      <x:c r="D2" s="340"/>
      <x:c r="E2" s="340"/>
      <x:c r="F2" s="340"/>
      <x:c r="G2" s="340"/>
      <x:c r="H2" s="340"/>
      <x:c r="I2" s="340"/>
      <x:c r="J2" s="340"/>
      <x:c r="K2" s="340"/>
      <x:c r="L2" s="340"/>
      <x:c r="M2" s="340"/>
      <x:c r="N2" s="340"/>
    </x:row>
    <x:row r="4" ht="40" customHeight="1">
      <x:c r="A4" s="352" t="str">
        <x:v>Jurisdiction</x:v>
      </x:c>
      <x:c r="B4" s="353" t="str">
        <x:v>Government level</x:v>
      </x:c>
      <x:c r="C4" s="353" t="str">
        <x:v>Table PID</x:v>
      </x:c>
      <x:c r="D4" s="353" t="str">
        <x:v>Rent vector</x:v>
      </x:c>
      <x:c r="E4" s="353" t="str">
        <x:v>Taxes-on-property vector</x:v>
      </x:c>
      <x:c r="F4" s="353" t="str">
        <x:v>Reference year requested</x:v>
      </x:c>
      <x:c r="G4" s="353" t="str">
        <x:v>Standardized rent ($B)</x:v>
      </x:c>
      <x:c r="H4" s="353" t="str">
        <x:v>Standardized property tax ($B)</x:v>
      </x:c>
      <x:c r="I4" s="353" t="str">
        <x:v>Public-account comparator ($B)</x:v>
      </x:c>
      <x:c r="J4" s="353" t="str">
        <x:v>Difference: public account − CGFS ($B)</x:v>
      </x:c>
      <x:c r="K4" s="353" t="str">
        <x:v>Extraction status</x:v>
      </x:c>
      <x:c r="L4" s="353" t="str">
        <x:v>Definition status</x:v>
      </x:c>
      <x:c r="M4" s="353" t="str">
        <x:v>Reconciliation warning</x:v>
      </x:c>
      <x:c r="N4" s="354" t="str">
        <x:v>Official metadata / API source</x:v>
      </x:c>
    </x:row>
    <x:row r="5">
      <x:c r="A5" s="371" t="str">
        <x:v>Federal government</x:v>
      </x:c>
      <x:c r="B5" s="372" t="str">
        <x:v>Federal</x:v>
      </x:c>
      <x:c r="C5" s="372" t="n">
        <x:v>10100016</x:v>
      </x:c>
      <x:c r="D5" s="372" t="str">
        <x:v>v91574770</x:v>
      </x:c>
      <x:c r="E5" s="372" t="str">
        <x:v>v91574742</x:v>
      </x:c>
      <x:c r="F5" s="381" t="n">
        <x:v>2024</x:v>
      </x:c>
      <x:c r="G5" s="261" t="n">
        <x:v>0.758</x:v>
      </x:c>
      <x:c r="H5" s="261" t="n">
        <x:v>0.062</x:v>
      </x:c>
      <x:c r="I5" s="382" t="n">
        <x:v>0</x:v>
      </x:c>
      <x:c r="J5" s="333" t="n">
        <x:f>IF(K5="Extracted; reconciliation pending",I5-G5,"")</x:f>
        <x:v>-0.758</x:v>
      </x:c>
      <x:c r="K5" s="372" t="str">
        <x:v>Extracted; reconciliation pending</x:v>
      </x:c>
      <x:c r="L5" s="372" t="str">
        <x:v>Transaction rent vector mapped under Transactions and other economic flows</x:v>
      </x:c>
      <x:c r="M5" s="372" t="str">
        <x:v>Public-account comparators differ in scope, recognition timing and classification. A zero comparator means not yet populated, not a verified zero.</x:v>
      </x:c>
      <x:c r="N5" s="373" t="str">
        <x:v>Use CGFS_Extraction exact request; retain scalarFactorCode, decimals, statusCode and symbolCode</x:v>
      </x:c>
    </x:row>
    <x:row r="6">
      <x:c r="A6" s="374" t="str">
        <x:v>Newfoundland and Labrador</x:v>
      </x:c>
      <x:c r="B6" s="162" t="str">
        <x:v>Provincial / territorial</x:v>
      </x:c>
      <x:c r="C6" s="162" t="n">
        <x:v>10100017</x:v>
      </x:c>
      <x:c r="D6" s="162" t="str">
        <x:v>v91575119</x:v>
      </x:c>
      <x:c r="E6" s="162" t="str">
        <x:v>v91575090</x:v>
      </x:c>
      <x:c r="F6" s="171" t="n">
        <x:v>2024</x:v>
      </x:c>
      <x:c r="G6" s="232" t="n">
        <x:v>1.009</x:v>
      </x:c>
      <x:c r="H6" s="232" t="n">
        <x:v>0.041</x:v>
      </x:c>
      <x:c r="I6" s="237" t="n">
        <x:v>1.306572</x:v>
      </x:c>
      <x:c r="J6" s="321" t="n">
        <x:f>IF(K6="Extracted; reconciliation pending",I6-G6,"")</x:f>
        <x:v>0.29757200000000017</x:v>
      </x:c>
      <x:c r="K6" s="162" t="str">
        <x:v>Extracted; reconciliation pending</x:v>
      </x:c>
      <x:c r="L6" s="162" t="str">
        <x:v>Transaction rent vector mapped under Transactions and other economic flows</x:v>
      </x:c>
      <x:c r="M6" s="162" t="str">
        <x:v>Public-account comparators differ in scope, recognition timing and classification. A zero comparator means not yet populated, not a verified zero.</x:v>
      </x:c>
      <x:c r="N6" s="375" t="str">
        <x:v>Use CGFS_Extraction exact request; retain scalarFactorCode, decimals, statusCode and symbolCode</x:v>
      </x:c>
    </x:row>
    <x:row r="7">
      <x:c r="A7" s="374" t="str">
        <x:v>Prince Edward Island</x:v>
      </x:c>
      <x:c r="B7" s="162" t="str">
        <x:v>Provincial / territorial</x:v>
      </x:c>
      <x:c r="C7" s="162" t="n">
        <x:v>10100017</x:v>
      </x:c>
      <x:c r="D7" s="162" t="str">
        <x:v>v91575381</x:v>
      </x:c>
      <x:c r="E7" s="162" t="str">
        <x:v>v91575352</x:v>
      </x:c>
      <x:c r="F7" s="171" t="n">
        <x:v>2024</x:v>
      </x:c>
      <x:c r="G7" s="232" t="n">
        <x:v>0</x:v>
      </x:c>
      <x:c r="H7" s="232" t="n">
        <x:v>0.189</x:v>
      </x:c>
      <x:c r="I7" s="237" t="n">
        <x:v>0</x:v>
      </x:c>
      <x:c r="J7" s="321" t="n">
        <x:f>IF(K7="Extracted; reconciliation pending",I7-G7,"")</x:f>
        <x:v>0</x:v>
      </x:c>
      <x:c r="K7" s="162" t="str">
        <x:v>Extracted; reconciliation pending</x:v>
      </x:c>
      <x:c r="L7" s="162" t="str">
        <x:v>Transaction rent vector mapped under Transactions and other economic flows</x:v>
      </x:c>
      <x:c r="M7" s="162" t="str">
        <x:v>Public-account comparators differ in scope, recognition timing and classification. A zero comparator means not yet populated, not a verified zero.</x:v>
      </x:c>
      <x:c r="N7" s="375" t="str">
        <x:v>Use CGFS_Extraction exact request; retain scalarFactorCode, decimals, statusCode and symbolCode</x:v>
      </x:c>
    </x:row>
    <x:row r="8">
      <x:c r="A8" s="374" t="str">
        <x:v>Nova Scotia</x:v>
      </x:c>
      <x:c r="B8" s="162" t="str">
        <x:v>Provincial / territorial</x:v>
      </x:c>
      <x:c r="C8" s="162" t="n">
        <x:v>10100017</x:v>
      </x:c>
      <x:c r="D8" s="162" t="str">
        <x:v>v91575643</x:v>
      </x:c>
      <x:c r="E8" s="162" t="str">
        <x:v>v91575614</x:v>
      </x:c>
      <x:c r="F8" s="171" t="n">
        <x:v>2024</x:v>
      </x:c>
      <x:c r="G8" s="232" t="n">
        <x:v>0.013</x:v>
      </x:c>
      <x:c r="H8" s="232" t="n">
        <x:v>0.115</x:v>
      </x:c>
      <x:c r="I8" s="237" t="n">
        <x:v>0</x:v>
      </x:c>
      <x:c r="J8" s="321" t="n">
        <x:f>IF(K8="Extracted; reconciliation pending",I8-G8,"")</x:f>
        <x:v>-0.013</x:v>
      </x:c>
      <x:c r="K8" s="162" t="str">
        <x:v>Extracted; reconciliation pending</x:v>
      </x:c>
      <x:c r="L8" s="162" t="str">
        <x:v>Transaction rent vector mapped under Transactions and other economic flows</x:v>
      </x:c>
      <x:c r="M8" s="162" t="str">
        <x:v>Public-account comparators differ in scope, recognition timing and classification. A zero comparator means not yet populated, not a verified zero.</x:v>
      </x:c>
      <x:c r="N8" s="375" t="str">
        <x:v>Use CGFS_Extraction exact request; retain scalarFactorCode, decimals, statusCode and symbolCode</x:v>
      </x:c>
    </x:row>
    <x:row r="9">
      <x:c r="A9" s="374" t="str">
        <x:v>New Brunswick</x:v>
      </x:c>
      <x:c r="B9" s="162" t="str">
        <x:v>Provincial / territorial</x:v>
      </x:c>
      <x:c r="C9" s="162" t="n">
        <x:v>10100017</x:v>
      </x:c>
      <x:c r="D9" s="162" t="str">
        <x:v>v91575905</x:v>
      </x:c>
      <x:c r="E9" s="162" t="str">
        <x:v>v91575876</x:v>
      </x:c>
      <x:c r="F9" s="171" t="n">
        <x:v>2024</x:v>
      </x:c>
      <x:c r="G9" s="232" t="n">
        <x:v>0.083</x:v>
      </x:c>
      <x:c r="H9" s="232" t="n">
        <x:v>0.604</x:v>
      </x:c>
      <x:c r="I9" s="237" t="n">
        <x:v>0.0722289</x:v>
      </x:c>
      <x:c r="J9" s="321" t="n">
        <x:f>IF(K9="Extracted; reconciliation pending",I9-G9,"")</x:f>
        <x:v>-0.010771100000000006</x:v>
      </x:c>
      <x:c r="K9" s="162" t="str">
        <x:v>Extracted; reconciliation pending</x:v>
      </x:c>
      <x:c r="L9" s="162" t="str">
        <x:v>Transaction rent vector mapped under Transactions and other economic flows</x:v>
      </x:c>
      <x:c r="M9" s="162" t="str">
        <x:v>Public-account comparators differ in scope, recognition timing and classification. A zero comparator means not yet populated, not a verified zero.</x:v>
      </x:c>
      <x:c r="N9" s="375" t="str">
        <x:v>Use CGFS_Extraction exact request; retain scalarFactorCode, decimals, statusCode and symbolCode</x:v>
      </x:c>
    </x:row>
    <x:row r="10">
      <x:c r="A10" s="374" t="str">
        <x:v>Quebec</x:v>
      </x:c>
      <x:c r="B10" s="162" t="str">
        <x:v>Provincial / territorial</x:v>
      </x:c>
      <x:c r="C10" s="162" t="n">
        <x:v>10100017</x:v>
      </x:c>
      <x:c r="D10" s="162" t="str">
        <x:v>v91576167</x:v>
      </x:c>
      <x:c r="E10" s="162" t="str">
        <x:v>v91576138</x:v>
      </x:c>
      <x:c r="F10" s="171" t="n">
        <x:v>2024</x:v>
      </x:c>
      <x:c r="G10" s="232" t="n">
        <x:v>1.586</x:v>
      </x:c>
      <x:c r="H10" s="232" t="n">
        <x:v>0.443</x:v>
      </x:c>
      <x:c r="I10" s="237" t="n">
        <x:v>0.480093797</x:v>
      </x:c>
      <x:c r="J10" s="321" t="n">
        <x:f>IF(K10="Extracted; reconciliation pending",I10-G10,"")</x:f>
        <x:v>-1.105906203</x:v>
      </x:c>
      <x:c r="K10" s="162" t="str">
        <x:v>Extracted; reconciliation pending</x:v>
      </x:c>
      <x:c r="L10" s="162" t="str">
        <x:v>Transaction rent vector mapped under Transactions and other economic flows</x:v>
      </x:c>
      <x:c r="M10" s="162" t="str">
        <x:v>Public-account comparators differ in scope, recognition timing and classification. A zero comparator means not yet populated, not a verified zero.</x:v>
      </x:c>
      <x:c r="N10" s="375" t="str">
        <x:v>Use CGFS_Extraction exact request; retain scalarFactorCode, decimals, statusCode and symbolCode</x:v>
      </x:c>
    </x:row>
    <x:row r="11">
      <x:c r="A11" s="374" t="str">
        <x:v>Ontario</x:v>
      </x:c>
      <x:c r="B11" s="162" t="str">
        <x:v>Provincial / territorial</x:v>
      </x:c>
      <x:c r="C11" s="162" t="n">
        <x:v>10100017</x:v>
      </x:c>
      <x:c r="D11" s="162" t="str">
        <x:v>v91576429</x:v>
      </x:c>
      <x:c r="E11" s="162" t="str">
        <x:v>v91576400</x:v>
      </x:c>
      <x:c r="F11" s="171" t="n">
        <x:v>2024</x:v>
      </x:c>
      <x:c r="G11" s="232" t="n">
        <x:v>0.254</x:v>
      </x:c>
      <x:c r="H11" s="232" t="n">
        <x:v>4.556</x:v>
      </x:c>
      <x:c r="I11" s="237" t="n">
        <x:v>0.297</x:v>
      </x:c>
      <x:c r="J11" s="321" t="n">
        <x:f>IF(K11="Extracted; reconciliation pending",I11-G11,"")</x:f>
        <x:v>0.04299999999999998</x:v>
      </x:c>
      <x:c r="K11" s="162" t="str">
        <x:v>Extracted; reconciliation pending</x:v>
      </x:c>
      <x:c r="L11" s="162" t="str">
        <x:v>Transaction rent vector mapped under Transactions and other economic flows</x:v>
      </x:c>
      <x:c r="M11" s="162" t="str">
        <x:v>Public-account comparators differ in scope, recognition timing and classification. A zero comparator means not yet populated, not a verified zero.</x:v>
      </x:c>
      <x:c r="N11" s="375" t="str">
        <x:v>Use CGFS_Extraction exact request; retain scalarFactorCode, decimals, statusCode and symbolCode</x:v>
      </x:c>
    </x:row>
    <x:row r="12">
      <x:c r="A12" s="374" t="str">
        <x:v>Manitoba</x:v>
      </x:c>
      <x:c r="B12" s="162" t="str">
        <x:v>Provincial / territorial</x:v>
      </x:c>
      <x:c r="C12" s="162" t="n">
        <x:v>10100017</x:v>
      </x:c>
      <x:c r="D12" s="162" t="str">
        <x:v>v91576691</x:v>
      </x:c>
      <x:c r="E12" s="162" t="str">
        <x:v>v91576662</x:v>
      </x:c>
      <x:c r="F12" s="171" t="n">
        <x:v>2024</x:v>
      </x:c>
      <x:c r="G12" s="232" t="n">
        <x:v>0.083</x:v>
      </x:c>
      <x:c r="H12" s="232" t="n">
        <x:v>0.554</x:v>
      </x:c>
      <x:c r="I12" s="237" t="n">
        <x:v>0</x:v>
      </x:c>
      <x:c r="J12" s="321" t="n">
        <x:f>IF(K12="Extracted; reconciliation pending",I12-G12,"")</x:f>
        <x:v>-0.083</x:v>
      </x:c>
      <x:c r="K12" s="162" t="str">
        <x:v>Extracted; reconciliation pending</x:v>
      </x:c>
      <x:c r="L12" s="162" t="str">
        <x:v>Transaction rent vector mapped under Transactions and other economic flows</x:v>
      </x:c>
      <x:c r="M12" s="162" t="str">
        <x:v>Public-account comparators differ in scope, recognition timing and classification. A zero comparator means not yet populated, not a verified zero.</x:v>
      </x:c>
      <x:c r="N12" s="375" t="str">
        <x:v>Use CGFS_Extraction exact request; retain scalarFactorCode, decimals, statusCode and symbolCode</x:v>
      </x:c>
    </x:row>
    <x:row r="13">
      <x:c r="A13" s="374" t="str">
        <x:v>Saskatchewan</x:v>
      </x:c>
      <x:c r="B13" s="162" t="str">
        <x:v>Provincial / territorial</x:v>
      </x:c>
      <x:c r="C13" s="162" t="n">
        <x:v>10100017</x:v>
      </x:c>
      <x:c r="D13" s="162" t="str">
        <x:v>v91576953</x:v>
      </x:c>
      <x:c r="E13" s="162" t="str">
        <x:v>v91576924</x:v>
      </x:c>
      <x:c r="F13" s="171" t="n">
        <x:v>2024</x:v>
      </x:c>
      <x:c r="G13" s="232" t="n">
        <x:v>1.617</x:v>
      </x:c>
      <x:c r="H13" s="232" t="n">
        <x:v>0.876</x:v>
      </x:c>
      <x:c r="I13" s="237" t="n">
        <x:v>2.573657</x:v>
      </x:c>
      <x:c r="J13" s="321" t="n">
        <x:f>IF(K13="Extracted; reconciliation pending",I13-G13,"")</x:f>
        <x:v>0.9566569999999999</x:v>
      </x:c>
      <x:c r="K13" s="162" t="str">
        <x:v>Extracted; reconciliation pending</x:v>
      </x:c>
      <x:c r="L13" s="162" t="str">
        <x:v>Transaction rent vector mapped under Transactions and other economic flows</x:v>
      </x:c>
      <x:c r="M13" s="162" t="str">
        <x:v>Public-account comparators differ in scope, recognition timing and classification. A zero comparator means not yet populated, not a verified zero.</x:v>
      </x:c>
      <x:c r="N13" s="375" t="str">
        <x:v>Use CGFS_Extraction exact request; retain scalarFactorCode, decimals, statusCode and symbolCode</x:v>
      </x:c>
    </x:row>
    <x:row r="14">
      <x:c r="A14" s="374" t="str">
        <x:v>Alberta</x:v>
      </x:c>
      <x:c r="B14" s="162" t="str">
        <x:v>Provincial / territorial</x:v>
      </x:c>
      <x:c r="C14" s="162" t="n">
        <x:v>10100017</x:v>
      </x:c>
      <x:c r="D14" s="162" t="str">
        <x:v>v91577215</x:v>
      </x:c>
      <x:c r="E14" s="162" t="str">
        <x:v>v91577186</x:v>
      </x:c>
      <x:c r="F14" s="171" t="n">
        <x:v>2024</x:v>
      </x:c>
      <x:c r="G14" s="232" t="n">
        <x:v>22.791</x:v>
      </x:c>
      <x:c r="H14" s="232" t="n">
        <x:v>2.649</x:v>
      </x:c>
      <x:c r="I14" s="237" t="n">
        <x:v>21.986</x:v>
      </x:c>
      <x:c r="J14" s="321" t="n">
        <x:f>IF(K14="Extracted; reconciliation pending",I14-G14,"")</x:f>
        <x:v>-0.8049999999999997</x:v>
      </x:c>
      <x:c r="K14" s="162" t="str">
        <x:v>Extracted; reconciliation pending</x:v>
      </x:c>
      <x:c r="L14" s="162" t="str">
        <x:v>Transaction rent vector mapped under Transactions and other economic flows</x:v>
      </x:c>
      <x:c r="M14" s="162" t="str">
        <x:v>Public-account comparators differ in scope, recognition timing and classification. A zero comparator means not yet populated, not a verified zero.</x:v>
      </x:c>
      <x:c r="N14" s="375" t="str">
        <x:v>Use CGFS_Extraction exact request; retain scalarFactorCode, decimals, statusCode and symbolCode</x:v>
      </x:c>
    </x:row>
    <x:row r="15">
      <x:c r="A15" s="374" t="str">
        <x:v>British Columbia</x:v>
      </x:c>
      <x:c r="B15" s="162" t="str">
        <x:v>Provincial / territorial</x:v>
      </x:c>
      <x:c r="C15" s="162" t="n">
        <x:v>10100017</x:v>
      </x:c>
      <x:c r="D15" s="162" t="str">
        <x:v>v91577477</x:v>
      </x:c>
      <x:c r="E15" s="162" t="str">
        <x:v>v91577448</x:v>
      </x:c>
      <x:c r="F15" s="171" t="n">
        <x:v>2024</x:v>
      </x:c>
      <x:c r="G15" s="232" t="n">
        <x:v>1.869</x:v>
      </x:c>
      <x:c r="H15" s="232" t="n">
        <x:v>5.871</x:v>
      </x:c>
      <x:c r="I15" s="237" t="n">
        <x:v>2.416</x:v>
      </x:c>
      <x:c r="J15" s="321" t="n">
        <x:f>IF(K15="Extracted; reconciliation pending",I15-G15,"")</x:f>
        <x:v>0.5469999999999999</x:v>
      </x:c>
      <x:c r="K15" s="162" t="str">
        <x:v>Extracted; reconciliation pending</x:v>
      </x:c>
      <x:c r="L15" s="162" t="str">
        <x:v>Transaction rent vector mapped under Transactions and other economic flows</x:v>
      </x:c>
      <x:c r="M15" s="162" t="str">
        <x:v>Public-account comparators differ in scope, recognition timing and classification. A zero comparator means not yet populated, not a verified zero.</x:v>
      </x:c>
      <x:c r="N15" s="375" t="str">
        <x:v>Use CGFS_Extraction exact request; retain scalarFactorCode, decimals, statusCode and symbolCode</x:v>
      </x:c>
    </x:row>
    <x:row r="16">
      <x:c r="A16" s="374" t="str">
        <x:v>Yukon</x:v>
      </x:c>
      <x:c r="B16" s="162" t="str">
        <x:v>Provincial / territorial</x:v>
      </x:c>
      <x:c r="C16" s="162" t="n">
        <x:v>10100017</x:v>
      </x:c>
      <x:c r="D16" s="162" t="str">
        <x:v>v91577739</x:v>
      </x:c>
      <x:c r="E16" s="162" t="str">
        <x:v>v91577710</x:v>
      </x:c>
      <x:c r="F16" s="171" t="n">
        <x:v>2024</x:v>
      </x:c>
      <x:c r="G16" s="232" t="n">
        <x:v>0.002</x:v>
      </x:c>
      <x:c r="H16" s="232" t="n">
        <x:v>0.008</x:v>
      </x:c>
      <x:c r="I16" s="237" t="n">
        <x:v>0</x:v>
      </x:c>
      <x:c r="J16" s="321" t="n">
        <x:f>IF(K16="Extracted; reconciliation pending",I16-G16,"")</x:f>
        <x:v>-0.002</x:v>
      </x:c>
      <x:c r="K16" s="162" t="str">
        <x:v>Extracted; reconciliation pending</x:v>
      </x:c>
      <x:c r="L16" s="162" t="str">
        <x:v>Transaction rent vector mapped under Transactions and other economic flows</x:v>
      </x:c>
      <x:c r="M16" s="162" t="str">
        <x:v>Public-account comparators differ in scope, recognition timing and classification. A zero comparator means not yet populated, not a verified zero.</x:v>
      </x:c>
      <x:c r="N16" s="375" t="str">
        <x:v>Use CGFS_Extraction exact request; retain scalarFactorCode, decimals, statusCode and symbolCode</x:v>
      </x:c>
    </x:row>
    <x:row r="17">
      <x:c r="A17" s="374" t="str">
        <x:v>Northwest Territories</x:v>
      </x:c>
      <x:c r="B17" s="162" t="str">
        <x:v>Provincial / territorial</x:v>
      </x:c>
      <x:c r="C17" s="162" t="n">
        <x:v>10100017</x:v>
      </x:c>
      <x:c r="D17" s="162" t="str">
        <x:v>v91578001</x:v>
      </x:c>
      <x:c r="E17" s="162" t="str">
        <x:v>v91577972</x:v>
      </x:c>
      <x:c r="F17" s="171" t="n">
        <x:v>2024</x:v>
      </x:c>
      <x:c r="G17" s="232" t="n">
        <x:v>0.009</x:v>
      </x:c>
      <x:c r="H17" s="232" t="n">
        <x:v>0.027</x:v>
      </x:c>
      <x:c r="I17" s="237" t="n">
        <x:v>-0.004492</x:v>
      </x:c>
      <x:c r="J17" s="321" t="n">
        <x:f>IF(K17="Extracted; reconciliation pending",I17-G17,"")</x:f>
        <x:v>-0.013492</x:v>
      </x:c>
      <x:c r="K17" s="162" t="str">
        <x:v>Extracted; reconciliation pending</x:v>
      </x:c>
      <x:c r="L17" s="162" t="str">
        <x:v>Transaction rent vector mapped under Transactions and other economic flows</x:v>
      </x:c>
      <x:c r="M17" s="162" t="str">
        <x:v>Public-account comparators differ in scope, recognition timing and classification. A zero comparator means not yet populated, not a verified zero.</x:v>
      </x:c>
      <x:c r="N17" s="375" t="str">
        <x:v>Use CGFS_Extraction exact request; retain scalarFactorCode, decimals, statusCode and symbolCode</x:v>
      </x:c>
    </x:row>
    <x:row r="18">
      <x:c r="A18" s="376" t="str">
        <x:v>Nunavut</x:v>
      </x:c>
      <x:c r="B18" s="377" t="str">
        <x:v>Provincial / territorial</x:v>
      </x:c>
      <x:c r="C18" s="377" t="n">
        <x:v>10100017</x:v>
      </x:c>
      <x:c r="D18" s="377" t="str">
        <x:v>v91578263</x:v>
      </x:c>
      <x:c r="E18" s="377" t="str">
        <x:v>v91578234</x:v>
      </x:c>
      <x:c r="F18" s="383" t="n">
        <x:v>2024</x:v>
      </x:c>
      <x:c r="G18" s="261" t="n">
        <x:v>0</x:v>
      </x:c>
      <x:c r="H18" s="261" t="n">
        <x:v>0.016</x:v>
      </x:c>
      <x:c r="I18" s="384" t="n">
        <x:v>0</x:v>
      </x:c>
      <x:c r="J18" s="333" t="n">
        <x:f>IF(K18="Extracted; reconciliation pending",I18-G18,"")</x:f>
        <x:v>0</x:v>
      </x:c>
      <x:c r="K18" s="377" t="str">
        <x:v>Extracted; reconciliation pending</x:v>
      </x:c>
      <x:c r="L18" s="377" t="str">
        <x:v>Transaction rent vector mapped under Transactions and other economic flows</x:v>
      </x:c>
      <x:c r="M18" s="377" t="str">
        <x:v>Public-account comparators differ in scope, recognition timing and classification. A zero comparator means not yet populated, not a verified zero.</x:v>
      </x:c>
      <x:c r="N18" s="378" t="str">
        <x:v>Use CGFS_Extraction exact request; retain scalarFactorCode, decimals, statusCode and symbolCode</x:v>
      </x:c>
    </x:row>
  </x:sheetData>
  <x:mergeCells>
    <x:mergeCell ref="A1:N1"/>
    <x:mergeCell ref="A2:N2"/>
  </x:mergeCells>
  <x:conditionalFormatting sqref="K5:K18">
    <x:cfRule type="expression" dxfId="8" priority="1">
      <x:formula>K5="Vector mapped; value unextracted"</x:formula>
    </x:cfRule>
  </x:conditionalFormatting>
  <x:dataValidations count="1">
    <x:dataValidation type="list" sqref="K5:K18">
      <x:formula1>"Vector mapped; value unextracted,Extracted; reconciliation pending,Reconciled,Blocked"</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21" hidden="0" customWidth="1"/>
    <x:col min="2" max="2" width="16" hidden="0" customWidth="1"/>
    <x:col min="3" max="3" width="19" hidden="0" customWidth="1"/>
    <x:col min="4" max="4" width="18" hidden="0" customWidth="1"/>
    <x:col min="5" max="5" width="19" hidden="0" customWidth="1"/>
    <x:col min="6" max="6" width="19" hidden="0" customWidth="1"/>
    <x:col min="7" max="7" width="18" hidden="0" customWidth="1"/>
    <x:col min="8" max="8" width="18" hidden="0" customWidth="1"/>
    <x:col min="9" max="9" width="18" hidden="0" customWidth="1"/>
    <x:col min="10" max="10" width="18" hidden="0" customWidth="1"/>
    <x:col min="11" max="11" width="18" hidden="0" customWidth="1"/>
    <x:col min="12" max="12" width="20" hidden="0" customWidth="1"/>
    <x:col min="13" max="13" width="22" hidden="0" customWidth="1"/>
    <x:col min="14" max="14" width="37" hidden="0" customWidth="1"/>
    <x:col min="15" max="15" width="23" hidden="0" customWidth="1"/>
    <x:col min="16" max="16" width="43" hidden="0" customWidth="1"/>
  </x:cols>
  <x:sheetData>
    <x:row r="1" ht="28" customHeight="1">
      <x:c r="A1" s="337" t="str">
        <x:v>Public Resource Revenue — Consumed, Saved, Invested or Transferred</x:v>
      </x:c>
      <x:c r="B1" s="337"/>
      <x:c r="C1" s="337"/>
      <x:c r="D1" s="337"/>
      <x:c r="E1" s="337"/>
      <x:c r="F1" s="337"/>
      <x:c r="G1" s="337"/>
      <x:c r="H1" s="337"/>
      <x:c r="I1" s="337"/>
      <x:c r="J1" s="337"/>
      <x:c r="K1" s="337"/>
      <x:c r="L1" s="337"/>
      <x:c r="M1" s="337"/>
      <x:c r="N1" s="337"/>
      <x:c r="O1" s="337"/>
      <x:c r="P1" s="337"/>
    </x:row>
    <x:row r="2" ht="42" customHeight="1">
      <x:c r="A2" s="340" t="str">
        <x:v>Government revenue is fungible unless legislation or a transaction directly earmarks it. Arithmetic residuals are not described as traced spending.</x:v>
      </x:c>
      <x:c r="B2" s="340"/>
      <x:c r="C2" s="340"/>
      <x:c r="D2" s="340"/>
      <x:c r="E2" s="340"/>
      <x:c r="F2" s="340"/>
      <x:c r="G2" s="340"/>
      <x:c r="H2" s="340"/>
      <x:c r="I2" s="340"/>
      <x:c r="J2" s="340"/>
      <x:c r="K2" s="340"/>
      <x:c r="L2" s="340"/>
      <x:c r="M2" s="340"/>
      <x:c r="N2" s="340"/>
      <x:c r="O2" s="340"/>
      <x:c r="P2" s="340"/>
    </x:row>
    <x:row r="4" ht="40" customHeight="1">
      <x:c r="A4" s="352" t="str">
        <x:v>Jurisdiction</x:v>
      </x:c>
      <x:c r="B4" s="353" t="str">
        <x:v>Revenue period</x:v>
      </x:c>
      <x:c r="C4" s="353" t="str">
        <x:v>Observed public resource revenue ($B)</x:v>
      </x:c>
      <x:c r="D4" s="353" t="str">
        <x:v>Direct statutory saving ($B)</x:v>
      </x:c>
      <x:c r="E4" s="353" t="str">
        <x:v>Discretionary fund deposit ($B)</x:v>
      </x:c>
      <x:c r="F4" s="353" t="str">
        <x:v>Debt reduction ($B)</x:v>
      </x:c>
      <x:c r="G4" s="353" t="str">
        <x:v>Indigenous transfer ($B)</x:v>
      </x:c>
      <x:c r="H4" s="353" t="str">
        <x:v>Remediation spending ($B)</x:v>
      </x:c>
      <x:c r="I4" s="353" t="str">
        <x:v>Productive public investment ($B)</x:v>
      </x:c>
      <x:c r="J4" s="353" t="str">
        <x:v>General fiscal pool / unclassified ($B)</x:v>
      </x:c>
      <x:c r="K4" s="353" t="str">
        <x:v>Illustrative saving ratio</x:v>
      </x:c>
      <x:c r="L4" s="353" t="str">
        <x:v>Traceability status</x:v>
      </x:c>
      <x:c r="M4" s="353" t="str">
        <x:v>Classification ruling</x:v>
      </x:c>
      <x:c r="N4" s="353" t="str">
        <x:v>Scope warning</x:v>
      </x:c>
      <x:c r="O4" s="353" t="str">
        <x:v>Status</x:v>
      </x:c>
      <x:c r="P4" s="354" t="str">
        <x:v>Source</x:v>
      </x:c>
    </x:row>
    <x:row r="5">
      <x:c r="A5" s="371" t="str">
        <x:v>Alberta</x:v>
      </x:c>
      <x:c r="B5" s="372" t="str">
        <x:v>2024-25</x:v>
      </x:c>
      <x:c r="C5" s="382" t="n">
        <x:v>21.986</x:v>
      </x:c>
      <x:c r="D5" s="382" t="n">
        <x:v>0</x:v>
      </x:c>
      <x:c r="E5" s="382" t="n">
        <x:v>2.8</x:v>
      </x:c>
      <x:c r="F5" s="382" t="n">
        <x:v>0</x:v>
      </x:c>
      <x:c r="G5" s="382" t="n">
        <x:v>0</x:v>
      </x:c>
      <x:c r="H5" s="382" t="n">
        <x:v>0</x:v>
      </x:c>
      <x:c r="I5" s="382" t="n">
        <x:v>0</x:v>
      </x:c>
      <x:c r="J5" s="385" t="n">
        <x:f>IF(C5=0,0,C5-SUM(D5:I5))</x:f>
        <x:v>19.186</x:v>
      </x:c>
      <x:c r="K5" s="397" t="n">
        <x:f>IF(C5&lt;=0,"",SUM(D5:I5)/C5)</x:f>
        <x:v>0.12735377058127897</x:v>
      </x:c>
      <x:c r="L5" s="372" t="str">
        <x:v>Deposit traced; remainder fungible</x:v>
      </x:c>
      <x:c r="M5" s="372" t="str">
        <x:v>Partially classified</x:v>
      </x:c>
      <x:c r="N5" s="372" t="str">
        <x:v>$2.8B was approved for deposit in 2025-26 using available surplus cash from 2024-25. It was not identified as a statutory percentage of 2024-25 resource revenue.</x:v>
      </x:c>
      <x:c r="O5" s="372" t="str">
        <x:v>Verified partial</x:v>
      </x:c>
      <x:c r="P5" s="373" t="str">
        <x:v>Alberta revenue page and Heritage Fund page</x:v>
      </x:c>
    </x:row>
    <x:row r="6">
      <x:c r="A6" s="374" t="str">
        <x:v>Saskatchewan</x:v>
      </x:c>
      <x:c r="B6" s="162" t="str">
        <x:v>2024-25</x:v>
      </x:c>
      <x:c r="C6" s="237" t="n">
        <x:v>2.573657</x:v>
      </x:c>
      <x:c r="D6" s="237" t="n">
        <x:v>0</x:v>
      </x:c>
      <x:c r="E6" s="237" t="n">
        <x:v>0</x:v>
      </x:c>
      <x:c r="F6" s="237" t="n">
        <x:v>0</x:v>
      </x:c>
      <x:c r="G6" s="237" t="n">
        <x:v>0</x:v>
      </x:c>
      <x:c r="H6" s="237" t="n">
        <x:v>0</x:v>
      </x:c>
      <x:c r="I6" s="237" t="n">
        <x:v>0</x:v>
      </x:c>
      <x:c r="J6" s="239" t="n">
        <x:f>IF(C6=0,0,C6-SUM(D6:I6))</x:f>
        <x:v>2.573657</x:v>
      </x:c>
      <x:c r="K6" s="398" t="n">
        <x:f>IF(C6&lt;=0,"",SUM(D6:I6)/C6)</x:f>
        <x:v>0</x:v>
      </x:c>
      <x:c r="L6" s="162" t="str">
        <x:v>Unclassified</x:v>
      </x:c>
      <x:c r="M6" s="162" t="str">
        <x:v>Open</x:v>
      </x:c>
      <x:c r="N6" s="162" t="str">
        <x:v>Public Accounts establishes revenue but not a dollar-for-dollar use of the fungible general pool.</x:v>
      </x:c>
      <x:c r="O6" s="162" t="str">
        <x:v>Data needed</x:v>
      </x:c>
      <x:c r="P6" s="375" t="str">
        <x:v>Saskatchewan Public Accounts</x:v>
      </x:c>
    </x:row>
    <x:row r="7">
      <x:c r="A7" s="374" t="str">
        <x:v>British Columbia</x:v>
      </x:c>
      <x:c r="B7" s="162" t="str">
        <x:v>2024-25</x:v>
      </x:c>
      <x:c r="C7" s="237" t="n">
        <x:v>2.416</x:v>
      </x:c>
      <x:c r="D7" s="237" t="n">
        <x:v>0</x:v>
      </x:c>
      <x:c r="E7" s="237" t="n">
        <x:v>0</x:v>
      </x:c>
      <x:c r="F7" s="237" t="n">
        <x:v>0</x:v>
      </x:c>
      <x:c r="G7" s="237" t="n">
        <x:v>0</x:v>
      </x:c>
      <x:c r="H7" s="237" t="n">
        <x:v>0</x:v>
      </x:c>
      <x:c r="I7" s="237" t="n">
        <x:v>0</x:v>
      </x:c>
      <x:c r="J7" s="239" t="n">
        <x:f>IF(C7=0,0,C7-SUM(D7:I7))</x:f>
        <x:v>2.416</x:v>
      </x:c>
      <x:c r="K7" s="398" t="n">
        <x:f>IF(C7&lt;=0,"",SUM(D7:I7)/C7)</x:f>
        <x:v>0</x:v>
      </x:c>
      <x:c r="L7" s="162" t="str">
        <x:v>Unclassified</x:v>
      </x:c>
      <x:c r="M7" s="162" t="str">
        <x:v>Open</x:v>
      </x:c>
      <x:c r="N7" s="162" t="str">
        <x:v>Requires reconciliation to provincial funds, Indigenous agreements, remediation and capital accounts.</x:v>
      </x:c>
      <x:c r="O7" s="162" t="str">
        <x:v>Data needed</x:v>
      </x:c>
      <x:c r="P7" s="375" t="str">
        <x:v>B.C. Public Accounts</x:v>
      </x:c>
    </x:row>
    <x:row r="8">
      <x:c r="A8" s="374" t="str">
        <x:v>Quebec</x:v>
      </x:c>
      <x:c r="B8" s="162" t="str">
        <x:v>2024</x:v>
      </x:c>
      <x:c r="C8" s="237" t="n">
        <x:v>0.480093797</x:v>
      </x:c>
      <x:c r="D8" s="237" t="n">
        <x:v>0</x:v>
      </x:c>
      <x:c r="E8" s="237" t="n">
        <x:v>0</x:v>
      </x:c>
      <x:c r="F8" s="237" t="n">
        <x:v>0</x:v>
      </x:c>
      <x:c r="G8" s="237" t="n">
        <x:v>0</x:v>
      </x:c>
      <x:c r="H8" s="237" t="n">
        <x:v>0</x:v>
      </x:c>
      <x:c r="I8" s="237" t="n">
        <x:v>0</x:v>
      </x:c>
      <x:c r="J8" s="239" t="n">
        <x:f>IF(C8=0,0,C8-SUM(D8:I8))</x:f>
        <x:v>0.480093797</x:v>
      </x:c>
      <x:c r="K8" s="398" t="n">
        <x:f>IF(C8&lt;=0,"",SUM(D8:I8)/C8)</x:f>
        <x:v>0</x:v>
      </x:c>
      <x:c r="L8" s="162" t="str">
        <x:v>Partial revenue only</x:v>
      </x:c>
      <x:c r="M8" s="162" t="str">
        <x:v>Open</x:v>
      </x:c>
      <x:c r="N8" s="162" t="str">
        <x:v>Mining duties and listed royalties are incomplete relative to all provincial resource income.</x:v>
      </x:c>
      <x:c r="O8" s="162" t="str">
        <x:v>Data needed</x:v>
      </x:c>
      <x:c r="P8" s="375" t="str">
        <x:v>Québec mining registry</x:v>
      </x:c>
    </x:row>
    <x:row r="9">
      <x:c r="A9" s="374" t="str">
        <x:v>Ontario</x:v>
      </x:c>
      <x:c r="B9" s="162" t="str">
        <x:v>2024-25</x:v>
      </x:c>
      <x:c r="C9" s="237" t="n">
        <x:v>0.297</x:v>
      </x:c>
      <x:c r="D9" s="237" t="n">
        <x:v>0</x:v>
      </x:c>
      <x:c r="E9" s="237" t="n">
        <x:v>0</x:v>
      </x:c>
      <x:c r="F9" s="237" t="n">
        <x:v>0</x:v>
      </x:c>
      <x:c r="G9" s="237" t="n">
        <x:v>0</x:v>
      </x:c>
      <x:c r="H9" s="237" t="n">
        <x:v>0</x:v>
      </x:c>
      <x:c r="I9" s="237" t="n">
        <x:v>0</x:v>
      </x:c>
      <x:c r="J9" s="239" t="n">
        <x:f>IF(C9=0,0,C9-SUM(D9:I9))</x:f>
        <x:v>0.297</x:v>
      </x:c>
      <x:c r="K9" s="398" t="n">
        <x:f>IF(C9&lt;=0,"",SUM(D9:I9)/C9)</x:f>
        <x:v>0</x:v>
      </x:c>
      <x:c r="L9" s="162" t="str">
        <x:v>Partial revenue only</x:v>
      </x:c>
      <x:c r="M9" s="162" t="str">
        <x:v>Open</x:v>
      </x:c>
      <x:c r="N9" s="162" t="str">
        <x:v>Broad royalty line is incomplete and use is not traced.</x:v>
      </x:c>
      <x:c r="O9" s="162" t="str">
        <x:v>Data needed</x:v>
      </x:c>
      <x:c r="P9" s="375" t="str">
        <x:v>Ontario Public Accounts</x:v>
      </x:c>
    </x:row>
    <x:row r="10">
      <x:c r="A10" s="374" t="str">
        <x:v>Northwest Territories</x:v>
      </x:c>
      <x:c r="B10" s="162" t="str">
        <x:v>2024-25</x:v>
      </x:c>
      <x:c r="C10" s="237" t="n">
        <x:v>-0.004492</x:v>
      </x:c>
      <x:c r="D10" s="237" t="n">
        <x:v>0</x:v>
      </x:c>
      <x:c r="E10" s="237" t="n">
        <x:v>0</x:v>
      </x:c>
      <x:c r="F10" s="237" t="n">
        <x:v>0</x:v>
      </x:c>
      <x:c r="G10" s="237" t="n">
        <x:v>0</x:v>
      </x:c>
      <x:c r="H10" s="237" t="n">
        <x:v>0</x:v>
      </x:c>
      <x:c r="I10" s="237" t="n">
        <x:v>0</x:v>
      </x:c>
      <x:c r="J10" s="239" t="n">
        <x:f>IF(C10=0,0,C10-SUM(D10:I10))</x:f>
        <x:v>-0.004492</x:v>
      </x:c>
      <x:c r="K10" s="398" t="str">
        <x:f>IF(C10&lt;=0,"",SUM(D10:I10)/C10)</x:f>
      </x:c>
      <x:c r="L10" s="162" t="str">
        <x:v>Accounting true-up</x:v>
      </x:c>
      <x:c r="M10" s="162" t="str">
        <x:v>Not classifiable as current resource use</x:v>
      </x:c>
      <x:c r="N10" s="162" t="str">
        <x:v>Negative accounting revenue resulted from an accrual revision.</x:v>
      </x:c>
      <x:c r="O10" s="162" t="str">
        <x:v>Verified with limitation</x:v>
      </x:c>
      <x:c r="P10" s="375" t="str">
        <x:v>NWT Public Accounts</x:v>
      </x:c>
    </x:row>
    <x:row r="11">
      <x:c r="A11" s="374" t="str">
        <x:v>Newfoundland and Labrador</x:v>
      </x:c>
      <x:c r="B11" s="162" t="str">
        <x:v>2024-25</x:v>
      </x:c>
      <x:c r="C11" s="237" t="n">
        <x:v>1.306572</x:v>
      </x:c>
      <x:c r="D11" s="237" t="n">
        <x:v>0</x:v>
      </x:c>
      <x:c r="E11" s="237" t="n">
        <x:v>0.072614</x:v>
      </x:c>
      <x:c r="F11" s="237" t="n">
        <x:v>0</x:v>
      </x:c>
      <x:c r="G11" s="237" t="n">
        <x:v>0</x:v>
      </x:c>
      <x:c r="H11" s="237" t="n">
        <x:v>0</x:v>
      </x:c>
      <x:c r="I11" s="237" t="n">
        <x:v>0</x:v>
      </x:c>
      <x:c r="J11" s="239" t="n">
        <x:f>IF(C11=0,0,C11-SUM(D11:I11))</x:f>
        <x:v>1.233958</x:v>
      </x:c>
      <x:c r="K11" s="398" t="n">
        <x:f>IF(C11&lt;=0,"",SUM(D11:I11)/C11)</x:f>
        <x:v>0.05557596519747859</x:v>
      </x:c>
      <x:c r="L11" s="162" t="str">
        <x:v>Future Fund contribution traced; remaining revenue fungible</x:v>
      </x:c>
      <x:c r="M11" s="162" t="str">
        <x:v>Partially classified</x:v>
      </x:c>
      <x:c r="N11" s="162" t="str">
        <x:v>$72.614M was contributed to the Future Fund in 2024-25. The transaction is verified, but the public accounts do not establish that it was a statutory dollar-for-dollar allocation from the $1.306572B comparator assembled here.</x:v>
      </x:c>
      <x:c r="O11" s="162" t="str">
        <x:v>Verified partial</x:v>
      </x:c>
      <x:c r="P11" s="375" t="str">
        <x:v>Newfoundland and Labrador 2024-25 Program Expenditures and Revenues</x:v>
      </x:c>
    </x:row>
    <x:row r="12">
      <x:c r="A12" s="374" t="str">
        <x:v>Canada — control rule</x:v>
      </x:c>
      <x:c r="B12" s="162" t="str">
        <x:v>Annual</x:v>
      </x:c>
      <x:c r="C12" s="237" t="n">
        <x:v>0</x:v>
      </x:c>
      <x:c r="D12" s="237" t="n">
        <x:v>0</x:v>
      </x:c>
      <x:c r="E12" s="237" t="n">
        <x:v>0</x:v>
      </x:c>
      <x:c r="F12" s="237" t="n">
        <x:v>0</x:v>
      </x:c>
      <x:c r="G12" s="237" t="n">
        <x:v>0</x:v>
      </x:c>
      <x:c r="H12" s="237" t="n">
        <x:v>0</x:v>
      </x:c>
      <x:c r="I12" s="237" t="n">
        <x:v>0</x:v>
      </x:c>
      <x:c r="J12" s="239" t="n">
        <x:f>IF(C12=0,0,C12-SUM(D12:I12))</x:f>
        <x:v>0</x:v>
      </x:c>
      <x:c r="K12" s="398" t="str">
        <x:f>IF(C12&lt;=0,"",SUM(D12:I12)/C12)</x:f>
      </x:c>
      <x:c r="L12" s="162" t="str">
        <x:v>Method</x:v>
      </x:c>
      <x:c r="M12" s="162" t="str">
        <x:v>Locked</x:v>
      </x:c>
      <x:c r="N12" s="162" t="str">
        <x:v>Only direct statutory allocation, documented transfer or identifiable transaction may be labelled saved, invested or transferred.</x:v>
      </x:c>
      <x:c r="O12" s="162" t="str">
        <x:v>Locked</x:v>
      </x:c>
      <x:c r="P12" s="375" t="str">
        <x:v>Productive Commonwealth research contract</x:v>
      </x:c>
    </x:row>
    <x:row r="13">
      <x:c r="A13" s="374" t="str">
        <x:v>Canada — accounting identity</x:v>
      </x:c>
      <x:c r="B13" s="162" t="str">
        <x:v>Annual</x:v>
      </x:c>
      <x:c r="C13" s="237" t="n">
        <x:v>0</x:v>
      </x:c>
      <x:c r="D13" s="237" t="n">
        <x:v>0</x:v>
      </x:c>
      <x:c r="E13" s="237" t="n">
        <x:v>0</x:v>
      </x:c>
      <x:c r="F13" s="237" t="n">
        <x:v>0</x:v>
      </x:c>
      <x:c r="G13" s="237" t="n">
        <x:v>0</x:v>
      </x:c>
      <x:c r="H13" s="237" t="n">
        <x:v>0</x:v>
      </x:c>
      <x:c r="I13" s="237" t="n">
        <x:v>0</x:v>
      </x:c>
      <x:c r="J13" s="239" t="n">
        <x:f>IF(C13=0,0,C13-SUM(D13:I13))</x:f>
        <x:v>0</x:v>
      </x:c>
      <x:c r="K13" s="398" t="str">
        <x:f>IF(C13&lt;=0,"",SUM(D13:I13)/C13)</x:f>
      </x:c>
      <x:c r="L13" s="162" t="str">
        <x:v>Formula</x:v>
      </x:c>
      <x:c r="M13" s="162" t="str">
        <x:v>Locked</x:v>
      </x:c>
      <x:c r="N13" s="162" t="str">
        <x:v>Resource revenue less classified uses equals unclassified/general fiscal pool, not proven current consumption.</x:v>
      </x:c>
      <x:c r="O13" s="162" t="str">
        <x:v>Locked</x:v>
      </x:c>
      <x:c r="P13" s="375" t="str">
        <x:v>Workbook formula</x:v>
      </x:c>
    </x:row>
    <x:row r="14">
      <x:c r="A14" s="374" t="str">
        <x:v>Publication rule</x:v>
      </x:c>
      <x:c r="B14" s="162" t="str">
        <x:v>Current</x:v>
      </x:c>
      <x:c r="C14" s="237" t="n">
        <x:v>0</x:v>
      </x:c>
      <x:c r="D14" s="237" t="n">
        <x:v>0</x:v>
      </x:c>
      <x:c r="E14" s="237" t="n">
        <x:v>0</x:v>
      </x:c>
      <x:c r="F14" s="237" t="n">
        <x:v>0</x:v>
      </x:c>
      <x:c r="G14" s="237" t="n">
        <x:v>0</x:v>
      </x:c>
      <x:c r="H14" s="237" t="n">
        <x:v>0</x:v>
      </x:c>
      <x:c r="I14" s="237" t="n">
        <x:v>0</x:v>
      </x:c>
      <x:c r="J14" s="239" t="n">
        <x:f>IF(C14=0,0,C14-SUM(D14:I14))</x:f>
        <x:v>0</x:v>
      </x:c>
      <x:c r="K14" s="398" t="str">
        <x:f>IF(C14&lt;=0,"",SUM(D14:I14)/C14)</x:f>
      </x:c>
      <x:c r="L14" s="162" t="str">
        <x:v>Evidence gate</x:v>
      </x:c>
      <x:c r="M14" s="162" t="str">
        <x:v>NOT READY</x:v>
      </x:c>
      <x:c r="N14" s="162" t="str">
        <x:v>No national consume/save/invest estimate until all major jurisdictions use a common reference period and classification method.</x:v>
      </x:c>
      <x:c r="O14" s="162" t="str">
        <x:v>Data needed</x:v>
      </x:c>
      <x:c r="P14" s="375" t="str">
        <x:v>Workbook evidence gate</x:v>
      </x:c>
    </x:row>
    <x:row r="15">
      <x:c r="A15" s="374" t="str">
        <x:v>Classification note</x:v>
      </x:c>
      <x:c r="B15" s="162" t="str">
        <x:v>Current</x:v>
      </x:c>
      <x:c r="C15" s="237" t="n">
        <x:v>0</x:v>
      </x:c>
      <x:c r="D15" s="237" t="n">
        <x:v>0</x:v>
      </x:c>
      <x:c r="E15" s="237" t="n">
        <x:v>0</x:v>
      </x:c>
      <x:c r="F15" s="237" t="n">
        <x:v>0</x:v>
      </x:c>
      <x:c r="G15" s="237" t="n">
        <x:v>0</x:v>
      </x:c>
      <x:c r="H15" s="237" t="n">
        <x:v>0</x:v>
      </x:c>
      <x:c r="I15" s="237" t="n">
        <x:v>0</x:v>
      </x:c>
      <x:c r="J15" s="239" t="n">
        <x:f>IF(C15=0,0,C15-SUM(D15:I15))</x:f>
        <x:v>0</x:v>
      </x:c>
      <x:c r="K15" s="398" t="str">
        <x:f>IF(C15&lt;=0,"",SUM(D15:I15)/C15)</x:f>
      </x:c>
      <x:c r="L15" s="162" t="str">
        <x:v>Method</x:v>
      </x:c>
      <x:c r="M15" s="162" t="str">
        <x:v>Locked</x:v>
      </x:c>
      <x:c r="N15" s="162" t="str">
        <x:v>Fund investment income is not counted as new resource revenue saved.</x:v>
      </x:c>
      <x:c r="O15" s="162" t="str">
        <x:v>Locked</x:v>
      </x:c>
      <x:c r="P15" s="375" t="str">
        <x:v>Fund statements</x:v>
      </x:c>
    </x:row>
    <x:row r="16">
      <x:c r="A16" s="374" t="str">
        <x:v>Classification note</x:v>
      </x:c>
      <x:c r="B16" s="162" t="str">
        <x:v>Current</x:v>
      </x:c>
      <x:c r="C16" s="237" t="n">
        <x:v>0</x:v>
      </x:c>
      <x:c r="D16" s="237" t="n">
        <x:v>0</x:v>
      </x:c>
      <x:c r="E16" s="237" t="n">
        <x:v>0</x:v>
      </x:c>
      <x:c r="F16" s="237" t="n">
        <x:v>0</x:v>
      </x:c>
      <x:c r="G16" s="237" t="n">
        <x:v>0</x:v>
      </x:c>
      <x:c r="H16" s="237" t="n">
        <x:v>0</x:v>
      </x:c>
      <x:c r="I16" s="237" t="n">
        <x:v>0</x:v>
      </x:c>
      <x:c r="J16" s="239" t="n">
        <x:f>IF(C16=0,0,C16-SUM(D16:I16))</x:f>
        <x:v>0</x:v>
      </x:c>
      <x:c r="K16" s="398" t="str">
        <x:f>IF(C16&lt;=0,"",SUM(D16:I16)/C16)</x:f>
      </x:c>
      <x:c r="L16" s="162" t="str">
        <x:v>Method</x:v>
      </x:c>
      <x:c r="M16" s="162" t="str">
        <x:v>Locked</x:v>
      </x:c>
      <x:c r="N16" s="162" t="str">
        <x:v>Industry-funded private closure spending is not deducted from public resource revenue.</x:v>
      </x:c>
      <x:c r="O16" s="162" t="str">
        <x:v>Locked</x:v>
      </x:c>
      <x:c r="P16" s="375" t="str">
        <x:v>Closure_Security</x:v>
      </x:c>
    </x:row>
    <x:row r="17">
      <x:c r="A17" s="374" t="str">
        <x:v>Classification note</x:v>
      </x:c>
      <x:c r="B17" s="162" t="str">
        <x:v>Current</x:v>
      </x:c>
      <x:c r="C17" s="237" t="n">
        <x:v>0</x:v>
      </x:c>
      <x:c r="D17" s="237" t="n">
        <x:v>0</x:v>
      </x:c>
      <x:c r="E17" s="237" t="n">
        <x:v>0</x:v>
      </x:c>
      <x:c r="F17" s="237" t="n">
        <x:v>0</x:v>
      </x:c>
      <x:c r="G17" s="237" t="n">
        <x:v>0</x:v>
      </x:c>
      <x:c r="H17" s="237" t="n">
        <x:v>0</x:v>
      </x:c>
      <x:c r="I17" s="237" t="n">
        <x:v>0</x:v>
      </x:c>
      <x:c r="J17" s="239" t="n">
        <x:f>IF(C17=0,0,C17-SUM(D17:I17))</x:f>
        <x:v>0</x:v>
      </x:c>
      <x:c r="K17" s="398" t="str">
        <x:f>IF(C17&lt;=0,"",SUM(D17:I17)/C17)</x:f>
      </x:c>
      <x:c r="L17" s="162" t="str">
        <x:v>Method</x:v>
      </x:c>
      <x:c r="M17" s="162" t="str">
        <x:v>Locked</x:v>
      </x:c>
      <x:c r="N17" s="162" t="str">
        <x:v>Loan guarantees and equity assets are recorded by exposure and ownership, not as annual spending.</x:v>
      </x:c>
      <x:c r="O17" s="162" t="str">
        <x:v>Locked</x:v>
      </x:c>
      <x:c r="P17" s="375" t="str">
        <x:v>Indigenous_Models / Public_Funds</x:v>
      </x:c>
    </x:row>
    <x:row r="18">
      <x:c r="A18" s="376" t="str">
        <x:v>Unresolved</x:v>
      </x:c>
      <x:c r="B18" s="377" t="str">
        <x:v>Current</x:v>
      </x:c>
      <x:c r="C18" s="384" t="n">
        <x:v>0</x:v>
      </x:c>
      <x:c r="D18" s="384" t="n">
        <x:v>0</x:v>
      </x:c>
      <x:c r="E18" s="384" t="n">
        <x:v>0</x:v>
      </x:c>
      <x:c r="F18" s="384" t="n">
        <x:v>0</x:v>
      </x:c>
      <x:c r="G18" s="384" t="n">
        <x:v>0</x:v>
      </x:c>
      <x:c r="H18" s="384" t="n">
        <x:v>0</x:v>
      </x:c>
      <x:c r="I18" s="384" t="n">
        <x:v>0</x:v>
      </x:c>
      <x:c r="J18" s="386" t="n">
        <x:f>IF(C18=0,0,C18-SUM(D18:I18))</x:f>
        <x:v>0</x:v>
      </x:c>
      <x:c r="K18" s="399" t="str">
        <x:f>IF(C18&lt;=0,"",SUM(D18:I18)/C18)</x:f>
      </x:c>
      <x:c r="L18" s="377" t="str">
        <x:v>Data gap</x:v>
      </x:c>
      <x:c r="M18" s="377" t="str">
        <x:v>Open</x:v>
      </x:c>
      <x:c r="N18" s="377" t="str">
        <x:v>Need federal, provincial and Indigenous transfers to avoid double counting.</x:v>
      </x:c>
      <x:c r="O18" s="377" t="str">
        <x:v>Data needed</x:v>
      </x:c>
      <x:c r="P18" s="378" t="str">
        <x:v>Jurisdiction_Queue</x:v>
      </x:c>
    </x:row>
    <x:row r="19">
      <x:c r="A19" s="443" t="str">
        <x:v>New Brunswick</x:v>
      </x:c>
      <x:c r="B19" s="444" t="str">
        <x:v>2024-25</x:v>
      </x:c>
      <x:c r="C19" s="445" t="n">
        <x:v>0.0722289</x:v>
      </x:c>
      <x:c r="D19" s="445" t="n">
        <x:v>0</x:v>
      </x:c>
      <x:c r="E19" s="445" t="n">
        <x:v>0</x:v>
      </x:c>
      <x:c r="F19" s="445" t="n">
        <x:v>0</x:v>
      </x:c>
      <x:c r="G19" s="445" t="n">
        <x:v>0.0034889</x:v>
      </x:c>
      <x:c r="H19" s="445" t="n">
        <x:v>0.0005103</x:v>
      </x:c>
      <x:c r="I19" s="445" t="n">
        <x:v>0</x:v>
      </x:c>
      <x:c r="J19" s="446" t="n">
        <x:f>IF(C19=0,0,C19-SUM(D19:I19))</x:f>
        <x:v>0.0682297</x:v>
      </x:c>
      <x:c r="K19" s="447" t="n">
        <x:f>IF(C19&lt;=0,"",SUM(D19:I19)/C19)</x:f>
        <x:v>0.05536841901233439</x:v>
      </x:c>
      <x:c r="L19" s="444" t="str">
        <x:v>Partially traceable</x:v>
      </x:c>
      <x:c r="M19" s="444" t="str">
        <x:v>Partially classified</x:v>
      </x:c>
      <x:c r="N19" s="444" t="str">
        <x:v>Gross comparator combines $71.817M directly labelled royalties and $0.4119M directly labelled resource leases. The $3.4889M First Nations amount is designated revenue included inside the royalty total; the $0.5103M mine-reclamation amount is capital expenditure, not necessarily funded from the same revenue dollars.</x:v>
      </x:c>
      <x:c r="O19" s="444" t="str">
        <x:v>Verified with limitation</x:v>
      </x:c>
      <x:c r="P19" s="448" t="str">
        <x:v>New Brunswick Public Accounts 2024-25, Volume II</x:v>
      </x:c>
    </x:row>
    <x:row r="20">
      <x:c r="A20" s="449" t="str">
        <x:v>Classification control</x:v>
      </x:c>
      <x:c r="B20" s="162" t="str">
        <x:v>Annual</x:v>
      </x:c>
      <x:c r="C20" s="237" t="n">
        <x:v>0</x:v>
      </x:c>
      <x:c r="D20" s="237" t="n">
        <x:v>0</x:v>
      </x:c>
      <x:c r="E20" s="237" t="n">
        <x:v>0</x:v>
      </x:c>
      <x:c r="F20" s="237" t="n">
        <x:v>0</x:v>
      </x:c>
      <x:c r="G20" s="237" t="n">
        <x:v>0</x:v>
      </x:c>
      <x:c r="H20" s="237" t="n">
        <x:v>0</x:v>
      </x:c>
      <x:c r="I20" s="237" t="n">
        <x:v>0</x:v>
      </x:c>
      <x:c r="J20" s="239" t="n">
        <x:f>IF(C20=0,0,C20-SUM(D20:I20))</x:f>
        <x:v>0</x:v>
      </x:c>
      <x:c r="K20" s="398" t="str">
        <x:f>IF(C20&lt;=0,"",SUM(D20:I20)/C20)</x:f>
      </x:c>
      <x:c r="L20" s="162" t="str">
        <x:v>No double counting</x:v>
      </x:c>
      <x:c r="M20" s="162" t="str">
        <x:v>Locked</x:v>
      </x:c>
      <x:c r="N20" s="162" t="str">
        <x:v>Designated Indigenous revenue may be included in gross public receipts and then shown as a transfer or restriction. It must not be added again to national capture.</x:v>
      </x:c>
      <x:c r="O20" s="162" t="str">
        <x:v>Locked</x:v>
      </x:c>
      <x:c r="P20" s="450" t="str">
        <x:v>Workbook method</x:v>
      </x:c>
    </x:row>
    <x:row r="21">
      <x:c r="A21" s="449" t="str">
        <x:v>Classification control</x:v>
      </x:c>
      <x:c r="B21" s="162" t="str">
        <x:v>Annual</x:v>
      </x:c>
      <x:c r="C21" s="237" t="n">
        <x:v>0</x:v>
      </x:c>
      <x:c r="D21" s="237" t="n">
        <x:v>0</x:v>
      </x:c>
      <x:c r="E21" s="237" t="n">
        <x:v>0</x:v>
      </x:c>
      <x:c r="F21" s="237" t="n">
        <x:v>0</x:v>
      </x:c>
      <x:c r="G21" s="237" t="n">
        <x:v>0</x:v>
      </x:c>
      <x:c r="H21" s="237" t="n">
        <x:v>0</x:v>
      </x:c>
      <x:c r="I21" s="237" t="n">
        <x:v>0</x:v>
      </x:c>
      <x:c r="J21" s="239" t="n">
        <x:f>IF(C21=0,0,C21-SUM(D21:I21))</x:f>
        <x:v>0</x:v>
      </x:c>
      <x:c r="K21" s="398" t="str">
        <x:f>IF(C21&lt;=0,"",SUM(D21:I21)/C21)</x:f>
      </x:c>
      <x:c r="L21" s="162" t="str">
        <x:v>Spending versus liability</x:v>
      </x:c>
      <x:c r="M21" s="162" t="str">
        <x:v>Locked</x:v>
      </x:c>
      <x:c r="N21" s="162" t="str">
        <x:v>Annual remediation spending is a flow. Reclamation liabilities and financial security are stocks and remain in separate ledgers.</x:v>
      </x:c>
      <x:c r="O21" s="162" t="str">
        <x:v>Locked</x:v>
      </x:c>
      <x:c r="P21" s="450" t="str">
        <x:v>Workbook method</x:v>
      </x:c>
    </x:row>
    <x:row r="22">
      <x:c r="A22" s="451" t="str">
        <x:v>Publication control</x:v>
      </x:c>
      <x:c r="B22" s="452" t="str">
        <x:v>Current</x:v>
      </x:c>
      <x:c r="C22" s="453" t="n">
        <x:v>0</x:v>
      </x:c>
      <x:c r="D22" s="453" t="n">
        <x:v>0</x:v>
      </x:c>
      <x:c r="E22" s="453" t="n">
        <x:v>0</x:v>
      </x:c>
      <x:c r="F22" s="453" t="n">
        <x:v>0</x:v>
      </x:c>
      <x:c r="G22" s="453" t="n">
        <x:v>0</x:v>
      </x:c>
      <x:c r="H22" s="453" t="n">
        <x:v>0</x:v>
      </x:c>
      <x:c r="I22" s="453" t="n">
        <x:v>0</x:v>
      </x:c>
      <x:c r="J22" s="454" t="n">
        <x:f>IF(C22=0,0,C22-SUM(D22:I22))</x:f>
        <x:v>0</x:v>
      </x:c>
      <x:c r="K22" s="455" t="str">
        <x:f>IF(C22&lt;=0,"",SUM(D22:I22)/C22)</x:f>
      </x:c>
      <x:c r="L22" s="452" t="str">
        <x:v>Evidence gate</x:v>
      </x:c>
      <x:c r="M22" s="452" t="str">
        <x:v>NOT READY</x:v>
      </x:c>
      <x:c r="N22" s="452" t="str">
        <x:v>Public-account comparators are not substitutes for standardized CGFS observations.</x:v>
      </x:c>
      <x:c r="O22" s="452" t="str">
        <x:v>Data needed</x:v>
      </x:c>
      <x:c r="P22" s="456" t="str">
        <x:v>StatsCan_Vector_Map</x:v>
      </x:c>
    </x:row>
  </x:sheetData>
  <x:mergeCells>
    <x:mergeCell ref="A1:P1"/>
    <x:mergeCell ref="A2:P2"/>
  </x:mergeCells>
  <x:dataValidations count="1">
    <x:dataValidation type="list" sqref="O5:O18">
      <x:formula1>"Verified partial,Verified with limitation,Data needed,Locked"</x:formula1>
    </x:dataValidation>
  </x:dataValidation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5" hidden="0" customWidth="1"/>
    <x:col min="3" max="3" width="20" hidden="0" customWidth="1"/>
    <x:col min="4" max="4" width="20"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4" hidden="0" customWidth="1"/>
    <x:col min="12" max="12" width="24" hidden="0" customWidth="1"/>
    <x:col min="13" max="13" width="39" hidden="0" customWidth="1"/>
    <x:col min="14" max="14" width="23" hidden="0" customWidth="1"/>
    <x:col min="15" max="15" width="43" hidden="0" customWidth="1"/>
  </x:cols>
  <x:sheetData>
    <x:row r="1" ht="28" customHeight="1">
      <x:c r="A1" s="460" t="str">
        <x:v>Public Accounts versus Standardized CGFS Rent</x:v>
      </x:c>
      <x:c r="B1" s="460"/>
      <x:c r="C1" s="460"/>
      <x:c r="D1" s="460"/>
      <x:c r="E1" s="460"/>
      <x:c r="F1" s="460"/>
      <x:c r="G1" s="460"/>
      <x:c r="H1" s="460"/>
      <x:c r="I1" s="460"/>
      <x:c r="J1" s="460"/>
      <x:c r="K1" s="460"/>
      <x:c r="L1" s="460"/>
      <x:c r="M1" s="460"/>
      <x:c r="N1" s="460"/>
      <x:c r="O1" s="460"/>
    </x:row>
    <x:row r="2" ht="42" customHeight="1">
      <x:c r="A2" s="463" t="str">
        <x:v>Public accounts, departmental revenue schedules and Canadian Government Finance Statistics use different scopes and recognition rules. This sheet preserves both measurements and explains the bridge rather than forcing them to match.</x:v>
      </x:c>
      <x:c r="B2" s="463"/>
      <x:c r="C2" s="463"/>
      <x:c r="D2" s="463"/>
      <x:c r="E2" s="463"/>
      <x:c r="F2" s="463"/>
      <x:c r="G2" s="463"/>
      <x:c r="H2" s="463"/>
      <x:c r="I2" s="463"/>
      <x:c r="J2" s="463"/>
      <x:c r="K2" s="463"/>
      <x:c r="L2" s="463"/>
      <x:c r="M2" s="463"/>
      <x:c r="N2" s="463"/>
      <x:c r="O2" s="463"/>
    </x:row>
    <x:row r="4" ht="40" customHeight="1">
      <x:c r="A4" s="475" t="str">
        <x:v>Jurisdiction</x:v>
      </x:c>
      <x:c r="B4" s="476" t="str">
        <x:v>Reference period</x:v>
      </x:c>
      <x:c r="C4" s="476" t="str">
        <x:v>Direct royalties / rent ($B)</x:v>
      </x:c>
      <x:c r="D4" s="476" t="str">
        <x:v>Leases / licences included ($B)</x:v>
      </x:c>
      <x:c r="E4" s="476" t="str">
        <x:v>Resource-specific taxes ($B)</x:v>
      </x:c>
      <x:c r="F4" s="476" t="str">
        <x:v>Observed public-account comparator ($B)</x:v>
      </x:c>
      <x:c r="G4" s="476" t="str">
        <x:v>CGFS standardized rent ($B)</x:v>
      </x:c>
      <x:c r="H4" s="476" t="str">
        <x:v>Difference: comparator − CGFS ($B)</x:v>
      </x:c>
      <x:c r="I4" s="476" t="str">
        <x:v>Designated Indigenous amount inside total ($B)</x:v>
      </x:c>
      <x:c r="J4" s="476" t="str">
        <x:v>Annual remediation spending ($B)</x:v>
      </x:c>
      <x:c r="K4" s="476" t="str">
        <x:v>Fund saving / deposit ($B)</x:v>
      </x:c>
      <x:c r="L4" s="476" t="str">
        <x:v>Reconciliation status</x:v>
      </x:c>
      <x:c r="M4" s="476" t="str">
        <x:v>Known classification differences</x:v>
      </x:c>
      <x:c r="N4" s="476" t="str">
        <x:v>Evidence status</x:v>
      </x:c>
      <x:c r="O4" s="477" t="str">
        <x:v>Source</x:v>
      </x:c>
    </x:row>
    <x:row r="5">
      <x:c r="A5" s="443" t="str">
        <x:v>Newfoundland and Labrador</x:v>
      </x:c>
      <x:c r="B5" s="444" t="str">
        <x:v>2024-25</x:v>
      </x:c>
      <x:c r="C5" s="445" t="n">
        <x:v>1.20904</x:v>
      </x:c>
      <x:c r="D5" s="445" t="n">
        <x:v>0</x:v>
      </x:c>
      <x:c r="E5" s="445" t="n">
        <x:v>0.097532</x:v>
      </x:c>
      <x:c r="F5" s="480" t="n">
        <x:f>SUM(C5:E5)</x:f>
        <x:v>1.3065719999999998</x:v>
      </x:c>
      <x:c r="G5" s="480" t="n">
        <x:f>StatsCan_Vector_Map!G6</x:f>
        <x:v>1.009</x:v>
      </x:c>
      <x:c r="H5" s="480" t="n">
        <x:f>IF(G5=0,"",F5-G5)</x:f>
        <x:v>0.29757199999999995</x:v>
      </x:c>
      <x:c r="I5" s="478" t="n">
        <x:v>0</x:v>
      </x:c>
      <x:c r="J5" s="478" t="n">
        <x:v>0</x:v>
      </x:c>
      <x:c r="K5" s="478" t="n">
        <x:v>0.072614</x:v>
      </x:c>
      <x:c r="L5" s="444" t="str">
        <x:v>See Jurisdiction_Reconciliation</x:v>
      </x:c>
      <x:c r="M5" s="444" t="str">
        <x:v>Mining tax is shown separately; licence and permit fees, Crown land and the Offshore Revenue Fund are excluded pending classification.</x:v>
      </x:c>
      <x:c r="N5" s="444" t="str">
        <x:v>Verified partial</x:v>
      </x:c>
      <x:c r="O5" s="448" t="str">
        <x:v>NL Program Expenditures and Revenues</x:v>
      </x:c>
    </x:row>
    <x:row r="6">
      <x:c r="A6" s="449" t="str">
        <x:v>New Brunswick</x:v>
      </x:c>
      <x:c r="B6" s="162" t="str">
        <x:v>2024-25</x:v>
      </x:c>
      <x:c r="C6" s="237" t="n">
        <x:v>0.071817</x:v>
      </x:c>
      <x:c r="D6" s="237" t="n">
        <x:v>0.0004119</x:v>
      </x:c>
      <x:c r="E6" s="237" t="n">
        <x:v>0</x:v>
      </x:c>
      <x:c r="F6" s="481" t="n">
        <x:f>SUM(C6:E6)</x:f>
        <x:v>0.07222890000000001</x:v>
      </x:c>
      <x:c r="G6" s="481" t="n">
        <x:f>StatsCan_Vector_Map!G9</x:f>
        <x:v>0.083</x:v>
      </x:c>
      <x:c r="H6" s="481" t="n">
        <x:f>IF(G6=0,"",F6-G6)</x:f>
        <x:v>-0.010771099999999992</x:v>
      </x:c>
      <x:c r="I6" s="235" t="n">
        <x:v>0.0034889</x:v>
      </x:c>
      <x:c r="J6" s="235" t="n">
        <x:v>0.0005103</x:v>
      </x:c>
      <x:c r="K6" s="235" t="n">
        <x:v>0</x:v>
      </x:c>
      <x:c r="L6" s="162" t="str">
        <x:v>See Jurisdiction_Reconciliation</x:v>
      </x:c>
      <x:c r="M6" s="162" t="str">
        <x:v>First Nations designated timber revenue is included in the royalty total. Supplementary detail is unaudited and CGFS may classify additional leases or fees as rent.</x:v>
      </x:c>
      <x:c r="N6" s="162" t="str">
        <x:v>Verified partial</x:v>
      </x:c>
      <x:c r="O6" s="450" t="str">
        <x:v>NB Public Accounts Volume II</x:v>
      </x:c>
    </x:row>
    <x:row r="7">
      <x:c r="A7" s="449" t="str">
        <x:v>Quebec</x:v>
      </x:c>
      <x:c r="B7" s="162" t="str">
        <x:v>2024</x:v>
      </x:c>
      <x:c r="C7" s="237" t="n">
        <x:v>0.002393797</x:v>
      </x:c>
      <x:c r="D7" s="237" t="n">
        <x:v>0</x:v>
      </x:c>
      <x:c r="E7" s="237" t="n">
        <x:v>0.4777</x:v>
      </x:c>
      <x:c r="F7" s="481" t="n">
        <x:f>SUM(C7:E7)</x:f>
        <x:v>0.480093797</x:v>
      </x:c>
      <x:c r="G7" s="481" t="n">
        <x:f>StatsCan_Vector_Map!G10</x:f>
        <x:v>1.586</x:v>
      </x:c>
      <x:c r="H7" s="481" t="n">
        <x:f>IF(G7=0,"",F7-G7)</x:f>
        <x:v>-1.105906203</x:v>
      </x:c>
      <x:c r="I7" s="235" t="n">
        <x:v>0</x:v>
      </x:c>
      <x:c r="J7" s="235" t="n">
        <x:v>0</x:v>
      </x:c>
      <x:c r="K7" s="235" t="n">
        <x:v>0</x:v>
      </x:c>
      <x:c r="L7" s="162" t="str">
        <x:v>See Jurisdiction_Reconciliation</x:v>
      </x:c>
      <x:c r="M7" s="162" t="str">
        <x:v>Current comparator includes mining duties and listed surface-mineral royalties only; forestry and water/hydroelectric rents remain missing.</x:v>
      </x:c>
      <x:c r="N7" s="162" t="str">
        <x:v>Verified partial</x:v>
      </x:c>
      <x:c r="O7" s="450" t="str">
        <x:v>Québec mining registry</x:v>
      </x:c>
    </x:row>
    <x:row r="8">
      <x:c r="A8" s="449" t="str">
        <x:v>Ontario</x:v>
      </x:c>
      <x:c r="B8" s="162" t="str">
        <x:v>2024-25</x:v>
      </x:c>
      <x:c r="C8" s="237" t="n">
        <x:v>0.297</x:v>
      </x:c>
      <x:c r="D8" s="237" t="n">
        <x:v>0</x:v>
      </x:c>
      <x:c r="E8" s="237" t="n">
        <x:v>0</x:v>
      </x:c>
      <x:c r="F8" s="481" t="n">
        <x:f>SUM(C8:E8)</x:f>
        <x:v>0.297</x:v>
      </x:c>
      <x:c r="G8" s="481" t="n">
        <x:f>StatsCan_Vector_Map!G11</x:f>
        <x:v>0.254</x:v>
      </x:c>
      <x:c r="H8" s="481" t="n">
        <x:f>IF(G8=0,"",F8-G8)</x:f>
        <x:v>0.04299999999999998</x:v>
      </x:c>
      <x:c r="I8" s="235" t="n">
        <x:v>0</x:v>
      </x:c>
      <x:c r="J8" s="235" t="n">
        <x:v>0</x:v>
      </x:c>
      <x:c r="K8" s="235" t="n">
        <x:v>0</x:v>
      </x:c>
      <x:c r="L8" s="162" t="str">
        <x:v>See Jurisdiction_Reconciliation</x:v>
      </x:c>
      <x:c r="M8" s="162" t="str">
        <x:v>Broad public-account royalty line; detailed commodity and classification bridge unavailable.</x:v>
      </x:c>
      <x:c r="N8" s="162" t="str">
        <x:v>Verified partial</x:v>
      </x:c>
      <x:c r="O8" s="450" t="str">
        <x:v>Ontario Public Accounts</x:v>
      </x:c>
    </x:row>
    <x:row r="9">
      <x:c r="A9" s="449" t="str">
        <x:v>Saskatchewan</x:v>
      </x:c>
      <x:c r="B9" s="162" t="str">
        <x:v>2024-25</x:v>
      </x:c>
      <x:c r="C9" s="237" t="n">
        <x:v>2.044154</x:v>
      </x:c>
      <x:c r="D9" s="237" t="n">
        <x:v>0</x:v>
      </x:c>
      <x:c r="E9" s="237" t="n">
        <x:v>0.529503</x:v>
      </x:c>
      <x:c r="F9" s="481" t="n">
        <x:f>SUM(C9:E9)</x:f>
        <x:v>2.573657</x:v>
      </x:c>
      <x:c r="G9" s="481" t="n">
        <x:f>StatsCan_Vector_Map!G13</x:f>
        <x:v>1.617</x:v>
      </x:c>
      <x:c r="H9" s="481" t="n">
        <x:f>IF(G9=0,"",F9-G9)</x:f>
        <x:v>0.9566569999999999</x:v>
      </x:c>
      <x:c r="I9" s="235" t="n">
        <x:v>0</x:v>
      </x:c>
      <x:c r="J9" s="235" t="n">
        <x:v>0</x:v>
      </x:c>
      <x:c r="K9" s="235" t="n">
        <x:v>0</x:v>
      </x:c>
      <x:c r="L9" s="162" t="str">
        <x:v>See Jurisdiction_Reconciliation</x:v>
      </x:c>
      <x:c r="M9" s="162" t="str">
        <x:v>Resource surcharge is separated from royalties. Commodity components are audited.</x:v>
      </x:c>
      <x:c r="N9" s="162" t="str">
        <x:v>Verified</x:v>
      </x:c>
      <x:c r="O9" s="450" t="str">
        <x:v>Saskatchewan Public Accounts</x:v>
      </x:c>
    </x:row>
    <x:row r="10">
      <x:c r="A10" s="449" t="str">
        <x:v>Alberta</x:v>
      </x:c>
      <x:c r="B10" s="162" t="str">
        <x:v>2024-25</x:v>
      </x:c>
      <x:c r="C10" s="237" t="n">
        <x:v>21.986</x:v>
      </x:c>
      <x:c r="D10" s="237" t="n">
        <x:v>0</x:v>
      </x:c>
      <x:c r="E10" s="237" t="n">
        <x:v>0</x:v>
      </x:c>
      <x:c r="F10" s="481" t="n">
        <x:f>SUM(C10:E10)</x:f>
        <x:v>21.986</x:v>
      </x:c>
      <x:c r="G10" s="481" t="n">
        <x:f>StatsCan_Vector_Map!G14</x:f>
        <x:v>22.791</x:v>
      </x:c>
      <x:c r="H10" s="481" t="n">
        <x:f>IF(G10=0,"",F10-G10)</x:f>
        <x:v>-0.8049999999999997</x:v>
      </x:c>
      <x:c r="I10" s="235" t="n">
        <x:v>0</x:v>
      </x:c>
      <x:c r="J10" s="235" t="n">
        <x:v>0</x:v>
      </x:c>
      <x:c r="K10" s="235" t="n">
        <x:v>2.8</x:v>
      </x:c>
      <x:c r="L10" s="162" t="str">
        <x:v>See Jurisdiction_Reconciliation</x:v>
      </x:c>
      <x:c r="M10" s="162" t="str">
        <x:v>Public-account total combines royalty and related non-renewable revenue categories. Heritage deposit was funded from surplus cash, not proven statutory resource earmarking.</x:v>
      </x:c>
      <x:c r="N10" s="162" t="str">
        <x:v>Verified with limitation</x:v>
      </x:c>
      <x:c r="O10" s="450" t="str">
        <x:v>Alberta revenue and Heritage Fund</x:v>
      </x:c>
    </x:row>
    <x:row r="11">
      <x:c r="A11" s="449" t="str">
        <x:v>British Columbia</x:v>
      </x:c>
      <x:c r="B11" s="162" t="str">
        <x:v>2024-25</x:v>
      </x:c>
      <x:c r="C11" s="237" t="n">
        <x:v>2.416</x:v>
      </x:c>
      <x:c r="D11" s="237" t="n">
        <x:v>0</x:v>
      </x:c>
      <x:c r="E11" s="237" t="n">
        <x:v>0</x:v>
      </x:c>
      <x:c r="F11" s="481" t="n">
        <x:f>SUM(C11:E11)</x:f>
        <x:v>2.416</x:v>
      </x:c>
      <x:c r="G11" s="481" t="n">
        <x:f>StatsCan_Vector_Map!G15</x:f>
        <x:v>1.869</x:v>
      </x:c>
      <x:c r="H11" s="481" t="n">
        <x:f>IF(G11=0,"",F11-G11)</x:f>
        <x:v>0.5469999999999999</x:v>
      </x:c>
      <x:c r="I11" s="235" t="n">
        <x:v>0</x:v>
      </x:c>
      <x:c r="J11" s="235" t="n">
        <x:v>0</x:v>
      </x:c>
      <x:c r="K11" s="235" t="n">
        <x:v>0</x:v>
      </x:c>
      <x:c r="L11" s="162" t="str">
        <x:v>See Jurisdiction_Reconciliation</x:v>
      </x:c>
      <x:c r="M11" s="162" t="str">
        <x:v>Public-account total includes petroleum/gas/minerals, forests, water and other revenue.</x:v>
      </x:c>
      <x:c r="N11" s="162" t="str">
        <x:v>Verified</x:v>
      </x:c>
      <x:c r="O11" s="450" t="str">
        <x:v>B.C. Public Accounts</x:v>
      </x:c>
    </x:row>
    <x:row r="12">
      <x:c r="A12" s="449" t="str">
        <x:v>Northwest Territories</x:v>
      </x:c>
      <x:c r="B12" s="162" t="str">
        <x:v>2024-25</x:v>
      </x:c>
      <x:c r="C12" s="237" t="n">
        <x:v>-0.004492</x:v>
      </x:c>
      <x:c r="D12" s="237" t="n">
        <x:v>0</x:v>
      </x:c>
      <x:c r="E12" s="237" t="n">
        <x:v>0</x:v>
      </x:c>
      <x:c r="F12" s="481" t="n">
        <x:f>SUM(C12:E12)</x:f>
        <x:v>-0.004492</x:v>
      </x:c>
      <x:c r="G12" s="481" t="n">
        <x:f>StatsCan_Vector_Map!G17</x:f>
        <x:v>0.009</x:v>
      </x:c>
      <x:c r="H12" s="481" t="n">
        <x:f>IF(G12=0,"",F12-G12)</x:f>
        <x:v>-0.013492</x:v>
      </x:c>
      <x:c r="I12" s="235" t="n">
        <x:v>0</x:v>
      </x:c>
      <x:c r="J12" s="235" t="n">
        <x:v>0</x:v>
      </x:c>
      <x:c r="K12" s="235" t="n">
        <x:v>0</x:v>
      </x:c>
      <x:c r="L12" s="162" t="str">
        <x:v>See Jurisdiction_Reconciliation</x:v>
      </x:c>
      <x:c r="M12" s="162" t="str">
        <x:v>Negative accounting revenue reflects an accrual true-up and is not economic rent.</x:v>
      </x:c>
      <x:c r="N12" s="162" t="str">
        <x:v>Verified with limitation</x:v>
      </x:c>
      <x:c r="O12" s="450" t="str">
        <x:v>NWT Public Accounts</x:v>
      </x:c>
    </x:row>
    <x:row r="13">
      <x:c r="A13" s="449" t="str">
        <x:v>Control</x:v>
      </x:c>
      <x:c r="B13" s="162" t="str">
        <x:v>Current</x:v>
      </x:c>
      <x:c r="C13" s="237" t="n">
        <x:v>0</x:v>
      </x:c>
      <x:c r="D13" s="237" t="n">
        <x:v>0</x:v>
      </x:c>
      <x:c r="E13" s="237" t="n">
        <x:v>0</x:v>
      </x:c>
      <x:c r="F13" s="481" t="n">
        <x:f>SUM(C13:E13)</x:f>
        <x:v>0</x:v>
      </x:c>
      <x:c r="G13" s="481" t="n">
        <x:v>0</x:v>
      </x:c>
      <x:c r="H13" s="481" t="str">
        <x:f>IF(G13=0,"",F13-G13)</x:f>
      </x:c>
      <x:c r="I13" s="235" t="n">
        <x:v>0</x:v>
      </x:c>
      <x:c r="J13" s="235" t="n">
        <x:v>0</x:v>
      </x:c>
      <x:c r="K13" s="235" t="n">
        <x:v>0</x:v>
      </x:c>
      <x:c r="L13" s="162" t="str">
        <x:v>NOT READY</x:v>
      </x:c>
      <x:c r="M13" s="162" t="str">
        <x:v>CGFS extraction is complete. Final reconciliation now requires component vectors and scope/timing explanations.</x:v>
      </x:c>
      <x:c r="N13" s="162" t="str">
        <x:v>Locked</x:v>
      </x:c>
      <x:c r="O13" s="450" t="str">
        <x:v>Productive Commonwealth research contract</x:v>
      </x:c>
    </x:row>
    <x:row r="14">
      <x:c r="A14" s="449" t="str">
        <x:v>Control</x:v>
      </x:c>
      <x:c r="B14" s="162" t="str">
        <x:v>Current</x:v>
      </x:c>
      <x:c r="C14" s="237" t="n">
        <x:v>0</x:v>
      </x:c>
      <x:c r="D14" s="237" t="n">
        <x:v>0</x:v>
      </x:c>
      <x:c r="E14" s="237" t="n">
        <x:v>0</x:v>
      </x:c>
      <x:c r="F14" s="481" t="n">
        <x:f>SUM(C14:E14)</x:f>
        <x:v>0</x:v>
      </x:c>
      <x:c r="G14" s="481" t="n">
        <x:v>0</x:v>
      </x:c>
      <x:c r="H14" s="481" t="str">
        <x:f>IF(G14=0,"",F14-G14)</x:f>
      </x:c>
      <x:c r="I14" s="235" t="n">
        <x:v>0</x:v>
      </x:c>
      <x:c r="J14" s="235" t="n">
        <x:v>0</x:v>
      </x:c>
      <x:c r="K14" s="235" t="n">
        <x:v>0</x:v>
      </x:c>
      <x:c r="L14" s="162" t="str">
        <x:v>NOT READY</x:v>
      </x:c>
      <x:c r="M14" s="162" t="str">
        <x:v>Fiscal-year public accounts and calendar-year CGFS data must retain their time-period warning.</x:v>
      </x:c>
      <x:c r="N14" s="162" t="str">
        <x:v>Locked</x:v>
      </x:c>
      <x:c r="O14" s="450" t="str">
        <x:v>Workbook method</x:v>
      </x:c>
    </x:row>
    <x:row r="15">
      <x:c r="A15" s="451" t="str">
        <x:v>Control</x:v>
      </x:c>
      <x:c r="B15" s="452" t="str">
        <x:v>Current</x:v>
      </x:c>
      <x:c r="C15" s="453" t="n">
        <x:v>0</x:v>
      </x:c>
      <x:c r="D15" s="453" t="n">
        <x:v>0</x:v>
      </x:c>
      <x:c r="E15" s="453" t="n">
        <x:v>0</x:v>
      </x:c>
      <x:c r="F15" s="482" t="n">
        <x:f>SUM(C15:E15)</x:f>
        <x:v>0</x:v>
      </x:c>
      <x:c r="G15" s="482" t="n">
        <x:v>0</x:v>
      </x:c>
      <x:c r="H15" s="482" t="str">
        <x:f>IF(G15=0,"",F15-G15)</x:f>
      </x:c>
      <x:c r="I15" s="479" t="n">
        <x:v>0</x:v>
      </x:c>
      <x:c r="J15" s="479" t="n">
        <x:v>0</x:v>
      </x:c>
      <x:c r="K15" s="479" t="n">
        <x:v>0</x:v>
      </x:c>
      <x:c r="L15" s="452" t="str">
        <x:v>NOT READY</x:v>
      </x:c>
      <x:c r="M15" s="452" t="str">
        <x:v>Departmental supplementary schedules may be unaudited even when the consolidated statements are audited.</x:v>
      </x:c>
      <x:c r="N15" s="452" t="str">
        <x:v>Locked</x:v>
      </x:c>
      <x:c r="O15" s="456" t="str">
        <x:v>Source-specific notes</x:v>
      </x:c>
    </x:row>
  </x:sheetData>
  <x:mergeCells>
    <x:mergeCell ref="A1:O1"/>
    <x:mergeCell ref="A2:O2"/>
  </x:mergeCells>
  <x:dataValidations count="1">
    <x:dataValidation type="list" sqref="L5:L15">
      <x:formula1>"Reconciliation pending,Reconciled,Source discrepancy,NOT READY"</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24"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8" hidden="0" customWidth="1"/>
    <x:col min="9" max="9" width="18" hidden="0" customWidth="1"/>
    <x:col min="10" max="10" width="22" hidden="0" customWidth="1"/>
    <x:col min="11" max="11" width="37" hidden="0" customWidth="1"/>
    <x:col min="12" max="12" width="43" hidden="0" customWidth="1"/>
  </x:cols>
  <x:sheetData>
    <x:row r="1" ht="28" customHeight="1">
      <x:c r="A1" s="460" t="str">
        <x:v>CGFS Resource-Rent Component Vector Map</x:v>
      </x:c>
      <x:c r="B1" s="460"/>
      <x:c r="C1" s="460"/>
      <x:c r="D1" s="460"/>
      <x:c r="E1" s="460"/>
      <x:c r="F1" s="460"/>
      <x:c r="G1" s="460"/>
      <x:c r="H1" s="460"/>
      <x:c r="I1" s="460"/>
      <x:c r="J1" s="460"/>
      <x:c r="K1" s="460"/>
      <x:c r="L1" s="460"/>
    </x:row>
    <x:row r="2" ht="42" customHeight="1">
      <x:c r="A2" s="463" t="str">
        <x:v>The standardized Rent series is decomposed into oil and gas, forestry, mineral and other resources, water resources and other rent. Vector IDs are used for deterministic retrieval; observation values remain pending.</x:v>
      </x:c>
      <x:c r="B2" s="463"/>
      <x:c r="C2" s="463"/>
      <x:c r="D2" s="463"/>
      <x:c r="E2" s="463"/>
      <x:c r="F2" s="463"/>
      <x:c r="G2" s="463"/>
      <x:c r="H2" s="463"/>
      <x:c r="I2" s="463"/>
      <x:c r="J2" s="463"/>
      <x:c r="K2" s="463"/>
      <x:c r="L2" s="463"/>
    </x:row>
    <x:row r="4" ht="40" customHeight="1">
      <x:c r="A4" s="475" t="str">
        <x:v>Jurisdiction</x:v>
      </x:c>
      <x:c r="B4" s="476" t="str">
        <x:v>Total rent vector</x:v>
      </x:c>
      <x:c r="C4" s="476" t="str">
        <x:v>Oil and gas vector</x:v>
      </x:c>
      <x:c r="D4" s="476" t="str">
        <x:v>Forestry vector</x:v>
      </x:c>
      <x:c r="E4" s="476" t="str">
        <x:v>Mineral and other resources vector</x:v>
      </x:c>
      <x:c r="F4" s="476" t="str">
        <x:v>Water resources vector</x:v>
      </x:c>
      <x:c r="G4" s="476" t="str">
        <x:v>Other rent vector</x:v>
      </x:c>
      <x:c r="H4" s="476" t="str">
        <x:v>Reference year</x:v>
      </x:c>
      <x:c r="I4" s="476" t="str">
        <x:v>Values extracted</x:v>
      </x:c>
      <x:c r="J4" s="476" t="str">
        <x:v>Mapping status</x:v>
      </x:c>
      <x:c r="K4" s="476" t="str">
        <x:v>Reconciliation use</x:v>
      </x:c>
      <x:c r="L4" s="477" t="str">
        <x:v>Official source</x:v>
      </x:c>
    </x:row>
    <x:row r="5">
      <x:c r="A5" s="443" t="str">
        <x:v>Federal government</x:v>
      </x:c>
      <x:c r="B5" s="444" t="str">
        <x:v>v91574770</x:v>
      </x:c>
      <x:c r="C5" s="444" t="str">
        <x:v>v91574771</x:v>
      </x:c>
      <x:c r="D5" s="444" t="str">
        <x:v>N/A</x:v>
      </x:c>
      <x:c r="E5" s="444" t="str">
        <x:v>v91574772</x:v>
      </x:c>
      <x:c r="F5" s="444" t="str">
        <x:v>N/A</x:v>
      </x:c>
      <x:c r="G5" s="444" t="str">
        <x:v>v91574773</x:v>
      </x:c>
      <x:c r="H5" s="483" t="n">
        <x:v>2024</x:v>
      </x:c>
      <x:c r="I5" s="485" t="n">
        <x:v>0</x:v>
      </x:c>
      <x:c r="J5" s="444" t="str">
        <x:v>Corrected official federal sequence</x:v>
      </x:c>
      <x:c r="K5" s="444" t="str">
        <x:v>Federal table has no separate forestry or water rent rows. Vectors v91574774 and v91574775 are sales and administrative fees.</x:v>
      </x:c>
      <x:c r="L5" s="448" t="str">
        <x:v>Statistics Canada federal CGFS metadata</x:v>
      </x:c>
    </x:row>
    <x:row r="6">
      <x:c r="A6" s="449" t="str">
        <x:v>Newfoundland and Labrador</x:v>
      </x:c>
      <x:c r="B6" s="162" t="str">
        <x:v>v91575119</x:v>
      </x:c>
      <x:c r="C6" s="162" t="str">
        <x:v>v91575120</x:v>
      </x:c>
      <x:c r="D6" s="162" t="str">
        <x:v>v91575121</x:v>
      </x:c>
      <x:c r="E6" s="162" t="str">
        <x:v>v91575122</x:v>
      </x:c>
      <x:c r="F6" s="162" t="str">
        <x:v>v91575123</x:v>
      </x:c>
      <x:c r="G6" s="162" t="str">
        <x:v>v91575124</x:v>
      </x:c>
      <x:c r="H6" s="171" t="n">
        <x:v>2024</x:v>
      </x:c>
      <x:c r="I6" s="486" t="n">
        <x:v>0</x:v>
      </x:c>
      <x:c r="J6" s="162" t="str">
        <x:v>Exact sequence mapped</x:v>
      </x:c>
      <x:c r="K6" s="162" t="str">
        <x:v>Compare total and components with public-account royalty, tax and lease categories.</x:v>
      </x:c>
      <x:c r="L6" s="450" t="str">
        <x:v>Statistics Canada table 10-10-0016-01 or 10-10-0017-01 metadata</x:v>
      </x:c>
    </x:row>
    <x:row r="7">
      <x:c r="A7" s="449" t="str">
        <x:v>Prince Edward Island</x:v>
      </x:c>
      <x:c r="B7" s="162" t="str">
        <x:v>v91575381</x:v>
      </x:c>
      <x:c r="C7" s="162" t="str">
        <x:v>v91575382</x:v>
      </x:c>
      <x:c r="D7" s="162" t="str">
        <x:v>v91575383</x:v>
      </x:c>
      <x:c r="E7" s="162" t="str">
        <x:v>v91575384</x:v>
      </x:c>
      <x:c r="F7" s="162" t="str">
        <x:v>v91575385</x:v>
      </x:c>
      <x:c r="G7" s="162" t="str">
        <x:v>v91575386</x:v>
      </x:c>
      <x:c r="H7" s="171" t="n">
        <x:v>2024</x:v>
      </x:c>
      <x:c r="I7" s="486" t="n">
        <x:v>0</x:v>
      </x:c>
      <x:c r="J7" s="162" t="str">
        <x:v>Exact sequence mapped</x:v>
      </x:c>
      <x:c r="K7" s="162" t="str">
        <x:v>Compare total and components with public-account royalty, tax and lease categories.</x:v>
      </x:c>
      <x:c r="L7" s="450" t="str">
        <x:v>Statistics Canada table 10-10-0016-01 or 10-10-0017-01 metadata</x:v>
      </x:c>
    </x:row>
    <x:row r="8">
      <x:c r="A8" s="449" t="str">
        <x:v>Nova Scotia</x:v>
      </x:c>
      <x:c r="B8" s="162" t="str">
        <x:v>v91575643</x:v>
      </x:c>
      <x:c r="C8" s="162" t="str">
        <x:v>v91575644</x:v>
      </x:c>
      <x:c r="D8" s="162" t="str">
        <x:v>v91575645</x:v>
      </x:c>
      <x:c r="E8" s="162" t="str">
        <x:v>v91575646</x:v>
      </x:c>
      <x:c r="F8" s="162" t="str">
        <x:v>v91575647</x:v>
      </x:c>
      <x:c r="G8" s="162" t="str">
        <x:v>v91575648</x:v>
      </x:c>
      <x:c r="H8" s="171" t="n">
        <x:v>2024</x:v>
      </x:c>
      <x:c r="I8" s="486" t="n">
        <x:v>0</x:v>
      </x:c>
      <x:c r="J8" s="162" t="str">
        <x:v>Exact sequence mapped</x:v>
      </x:c>
      <x:c r="K8" s="162" t="str">
        <x:v>Compare total and components with public-account royalty, tax and lease categories.</x:v>
      </x:c>
      <x:c r="L8" s="450" t="str">
        <x:v>Statistics Canada table 10-10-0016-01 or 10-10-0017-01 metadata</x:v>
      </x:c>
    </x:row>
    <x:row r="9">
      <x:c r="A9" s="449" t="str">
        <x:v>New Brunswick</x:v>
      </x:c>
      <x:c r="B9" s="162" t="str">
        <x:v>v91575905</x:v>
      </x:c>
      <x:c r="C9" s="162" t="str">
        <x:v>v91575906</x:v>
      </x:c>
      <x:c r="D9" s="162" t="str">
        <x:v>v91575907</x:v>
      </x:c>
      <x:c r="E9" s="162" t="str">
        <x:v>v91575908</x:v>
      </x:c>
      <x:c r="F9" s="162" t="str">
        <x:v>v91575909</x:v>
      </x:c>
      <x:c r="G9" s="162" t="str">
        <x:v>v91575910</x:v>
      </x:c>
      <x:c r="H9" s="171" t="n">
        <x:v>2024</x:v>
      </x:c>
      <x:c r="I9" s="486" t="n">
        <x:v>0</x:v>
      </x:c>
      <x:c r="J9" s="162" t="str">
        <x:v>Exact sequence mapped</x:v>
      </x:c>
      <x:c r="K9" s="162" t="str">
        <x:v>Compare total and components with public-account royalty, tax and lease categories.</x:v>
      </x:c>
      <x:c r="L9" s="450" t="str">
        <x:v>Statistics Canada table 10-10-0016-01 or 10-10-0017-01 metadata</x:v>
      </x:c>
    </x:row>
    <x:row r="10">
      <x:c r="A10" s="449" t="str">
        <x:v>Quebec</x:v>
      </x:c>
      <x:c r="B10" s="162" t="str">
        <x:v>v91576167</x:v>
      </x:c>
      <x:c r="C10" s="162" t="str">
        <x:v>v91576168</x:v>
      </x:c>
      <x:c r="D10" s="162" t="str">
        <x:v>v91576169</x:v>
      </x:c>
      <x:c r="E10" s="162" t="str">
        <x:v>v91576170</x:v>
      </x:c>
      <x:c r="F10" s="162" t="str">
        <x:v>v91576171</x:v>
      </x:c>
      <x:c r="G10" s="162" t="str">
        <x:v>v91576172</x:v>
      </x:c>
      <x:c r="H10" s="171" t="n">
        <x:v>2024</x:v>
      </x:c>
      <x:c r="I10" s="486" t="n">
        <x:v>0</x:v>
      </x:c>
      <x:c r="J10" s="162" t="str">
        <x:v>Exact sequence mapped</x:v>
      </x:c>
      <x:c r="K10" s="162" t="str">
        <x:v>Compare total and components with public-account royalty, tax and lease categories.</x:v>
      </x:c>
      <x:c r="L10" s="450" t="str">
        <x:v>Statistics Canada table 10-10-0016-01 or 10-10-0017-01 metadata</x:v>
      </x:c>
    </x:row>
    <x:row r="11">
      <x:c r="A11" s="449" t="str">
        <x:v>Ontario</x:v>
      </x:c>
      <x:c r="B11" s="162" t="str">
        <x:v>v91576429</x:v>
      </x:c>
      <x:c r="C11" s="162" t="str">
        <x:v>v91576430</x:v>
      </x:c>
      <x:c r="D11" s="162" t="str">
        <x:v>v91576431</x:v>
      </x:c>
      <x:c r="E11" s="162" t="str">
        <x:v>v91576432</x:v>
      </x:c>
      <x:c r="F11" s="162" t="str">
        <x:v>v91576433</x:v>
      </x:c>
      <x:c r="G11" s="162" t="str">
        <x:v>v91576434</x:v>
      </x:c>
      <x:c r="H11" s="171" t="n">
        <x:v>2024</x:v>
      </x:c>
      <x:c r="I11" s="486" t="n">
        <x:v>0</x:v>
      </x:c>
      <x:c r="J11" s="162" t="str">
        <x:v>Exact sequence mapped</x:v>
      </x:c>
      <x:c r="K11" s="162" t="str">
        <x:v>Compare total and components with public-account royalty, tax and lease categories.</x:v>
      </x:c>
      <x:c r="L11" s="450" t="str">
        <x:v>Statistics Canada table 10-10-0016-01 or 10-10-0017-01 metadata</x:v>
      </x:c>
    </x:row>
    <x:row r="12">
      <x:c r="A12" s="449" t="str">
        <x:v>Manitoba</x:v>
      </x:c>
      <x:c r="B12" s="162" t="str">
        <x:v>v91576691</x:v>
      </x:c>
      <x:c r="C12" s="162" t="str">
        <x:v>v91576692</x:v>
      </x:c>
      <x:c r="D12" s="162" t="str">
        <x:v>v91576693</x:v>
      </x:c>
      <x:c r="E12" s="162" t="str">
        <x:v>v91576694</x:v>
      </x:c>
      <x:c r="F12" s="162" t="str">
        <x:v>v91576695</x:v>
      </x:c>
      <x:c r="G12" s="162" t="str">
        <x:v>v91576696</x:v>
      </x:c>
      <x:c r="H12" s="171" t="n">
        <x:v>2024</x:v>
      </x:c>
      <x:c r="I12" s="486" t="n">
        <x:v>0</x:v>
      </x:c>
      <x:c r="J12" s="162" t="str">
        <x:v>Exact sequence mapped</x:v>
      </x:c>
      <x:c r="K12" s="162" t="str">
        <x:v>Compare total and components with public-account royalty, tax and lease categories.</x:v>
      </x:c>
      <x:c r="L12" s="450" t="str">
        <x:v>Statistics Canada table 10-10-0016-01 or 10-10-0017-01 metadata</x:v>
      </x:c>
    </x:row>
    <x:row r="13">
      <x:c r="A13" s="449" t="str">
        <x:v>Saskatchewan</x:v>
      </x:c>
      <x:c r="B13" s="162" t="str">
        <x:v>v91576953</x:v>
      </x:c>
      <x:c r="C13" s="162" t="str">
        <x:v>v91576954</x:v>
      </x:c>
      <x:c r="D13" s="162" t="str">
        <x:v>v91576955</x:v>
      </x:c>
      <x:c r="E13" s="162" t="str">
        <x:v>v91576956</x:v>
      </x:c>
      <x:c r="F13" s="162" t="str">
        <x:v>v91576957</x:v>
      </x:c>
      <x:c r="G13" s="162" t="str">
        <x:v>v91576958</x:v>
      </x:c>
      <x:c r="H13" s="171" t="n">
        <x:v>2024</x:v>
      </x:c>
      <x:c r="I13" s="486" t="n">
        <x:v>0</x:v>
      </x:c>
      <x:c r="J13" s="162" t="str">
        <x:v>Exact sequence mapped</x:v>
      </x:c>
      <x:c r="K13" s="162" t="str">
        <x:v>Compare total and components with public-account royalty, tax and lease categories.</x:v>
      </x:c>
      <x:c r="L13" s="450" t="str">
        <x:v>Statistics Canada table 10-10-0016-01 or 10-10-0017-01 metadata</x:v>
      </x:c>
    </x:row>
    <x:row r="14">
      <x:c r="A14" s="449" t="str">
        <x:v>Alberta</x:v>
      </x:c>
      <x:c r="B14" s="162" t="str">
        <x:v>v91577215</x:v>
      </x:c>
      <x:c r="C14" s="162" t="str">
        <x:v>v91577216</x:v>
      </x:c>
      <x:c r="D14" s="162" t="str">
        <x:v>v91577217</x:v>
      </x:c>
      <x:c r="E14" s="162" t="str">
        <x:v>v91577218</x:v>
      </x:c>
      <x:c r="F14" s="162" t="str">
        <x:v>v91577219</x:v>
      </x:c>
      <x:c r="G14" s="162" t="str">
        <x:v>v91577220</x:v>
      </x:c>
      <x:c r="H14" s="171" t="n">
        <x:v>2024</x:v>
      </x:c>
      <x:c r="I14" s="486" t="n">
        <x:v>0</x:v>
      </x:c>
      <x:c r="J14" s="162" t="str">
        <x:v>Exact sequence mapped</x:v>
      </x:c>
      <x:c r="K14" s="162" t="str">
        <x:v>Compare total and components with public-account royalty, tax and lease categories.</x:v>
      </x:c>
      <x:c r="L14" s="450" t="str">
        <x:v>Statistics Canada table 10-10-0016-01 or 10-10-0017-01 metadata</x:v>
      </x:c>
    </x:row>
    <x:row r="15">
      <x:c r="A15" s="449" t="str">
        <x:v>British Columbia</x:v>
      </x:c>
      <x:c r="B15" s="162" t="str">
        <x:v>v91577477</x:v>
      </x:c>
      <x:c r="C15" s="162" t="str">
        <x:v>v91577478</x:v>
      </x:c>
      <x:c r="D15" s="162" t="str">
        <x:v>v91577479</x:v>
      </x:c>
      <x:c r="E15" s="162" t="str">
        <x:v>v91577480</x:v>
      </x:c>
      <x:c r="F15" s="162" t="str">
        <x:v>v91577481</x:v>
      </x:c>
      <x:c r="G15" s="162" t="str">
        <x:v>v91577482</x:v>
      </x:c>
      <x:c r="H15" s="171" t="n">
        <x:v>2024</x:v>
      </x:c>
      <x:c r="I15" s="486" t="n">
        <x:v>0</x:v>
      </x:c>
      <x:c r="J15" s="162" t="str">
        <x:v>Exact sequence mapped</x:v>
      </x:c>
      <x:c r="K15" s="162" t="str">
        <x:v>Compare total and components with public-account royalty, tax and lease categories.</x:v>
      </x:c>
      <x:c r="L15" s="450" t="str">
        <x:v>Statistics Canada table 10-10-0016-01 or 10-10-0017-01 metadata</x:v>
      </x:c>
    </x:row>
    <x:row r="16">
      <x:c r="A16" s="449" t="str">
        <x:v>Yukon</x:v>
      </x:c>
      <x:c r="B16" s="162" t="str">
        <x:v>v91577739</x:v>
      </x:c>
      <x:c r="C16" s="162" t="str">
        <x:v>v91577740</x:v>
      </x:c>
      <x:c r="D16" s="162" t="str">
        <x:v>v91577741</x:v>
      </x:c>
      <x:c r="E16" s="162" t="str">
        <x:v>v91577742</x:v>
      </x:c>
      <x:c r="F16" s="162" t="str">
        <x:v>v91577743</x:v>
      </x:c>
      <x:c r="G16" s="162" t="str">
        <x:v>v91577744</x:v>
      </x:c>
      <x:c r="H16" s="171" t="n">
        <x:v>2024</x:v>
      </x:c>
      <x:c r="I16" s="486" t="n">
        <x:v>0</x:v>
      </x:c>
      <x:c r="J16" s="162" t="str">
        <x:v>Exact sequence mapped</x:v>
      </x:c>
      <x:c r="K16" s="162" t="str">
        <x:v>Compare total and components with public-account royalty, tax and lease categories.</x:v>
      </x:c>
      <x:c r="L16" s="450" t="str">
        <x:v>Statistics Canada table 10-10-0016-01 or 10-10-0017-01 metadata</x:v>
      </x:c>
    </x:row>
    <x:row r="17">
      <x:c r="A17" s="449" t="str">
        <x:v>Northwest Territories</x:v>
      </x:c>
      <x:c r="B17" s="162" t="str">
        <x:v>v91578001</x:v>
      </x:c>
      <x:c r="C17" s="162" t="str">
        <x:v>v91578002</x:v>
      </x:c>
      <x:c r="D17" s="162" t="str">
        <x:v>v91578003</x:v>
      </x:c>
      <x:c r="E17" s="162" t="str">
        <x:v>v91578004</x:v>
      </x:c>
      <x:c r="F17" s="162" t="str">
        <x:v>v91578005</x:v>
      </x:c>
      <x:c r="G17" s="162" t="str">
        <x:v>v91578006</x:v>
      </x:c>
      <x:c r="H17" s="171" t="n">
        <x:v>2024</x:v>
      </x:c>
      <x:c r="I17" s="486" t="n">
        <x:v>0</x:v>
      </x:c>
      <x:c r="J17" s="162" t="str">
        <x:v>Exact sequence mapped</x:v>
      </x:c>
      <x:c r="K17" s="162" t="str">
        <x:v>Compare total and components with public-account royalty, tax and lease categories.</x:v>
      </x:c>
      <x:c r="L17" s="450" t="str">
        <x:v>Statistics Canada table 10-10-0016-01 or 10-10-0017-01 metadata</x:v>
      </x:c>
    </x:row>
    <x:row r="18">
      <x:c r="A18" s="451" t="str">
        <x:v>Nunavut</x:v>
      </x:c>
      <x:c r="B18" s="452" t="str">
        <x:v>v91578263</x:v>
      </x:c>
      <x:c r="C18" s="452" t="str">
        <x:v>v91578264</x:v>
      </x:c>
      <x:c r="D18" s="452" t="str">
        <x:v>v91578265</x:v>
      </x:c>
      <x:c r="E18" s="452" t="str">
        <x:v>v91578266</x:v>
      </x:c>
      <x:c r="F18" s="452" t="str">
        <x:v>v91578267</x:v>
      </x:c>
      <x:c r="G18" s="452" t="str">
        <x:v>v91578268</x:v>
      </x:c>
      <x:c r="H18" s="484" t="n">
        <x:v>2024</x:v>
      </x:c>
      <x:c r="I18" s="487" t="n">
        <x:v>0</x:v>
      </x:c>
      <x:c r="J18" s="452" t="str">
        <x:v>Exact sequence mapped</x:v>
      </x:c>
      <x:c r="K18" s="452" t="str">
        <x:v>Compare total and components with public-account royalty, tax and lease categories.</x:v>
      </x:c>
      <x:c r="L18" s="456" t="str">
        <x:v>Statistics Canada table 10-10-0016-01 or 10-10-0017-01 metadata</x:v>
      </x:c>
    </x:row>
  </x:sheetData>
  <x:mergeCells>
    <x:mergeCell ref="A1:L1"/>
    <x:mergeCell ref="A2:L2"/>
  </x:mergeCells>
  <x:dataValidations count="1">
    <x:dataValidation type="list" sqref="J5:J18">
      <x:formula1>"Exact sequence mapped,Values extracted,Reconciled,Blocked"</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22" hidden="0" customWidth="1"/>
    <x:col min="2" max="2" width="24" hidden="0" customWidth="1"/>
    <x:col min="3" max="3" width="29" hidden="0" customWidth="1"/>
    <x:col min="4" max="4" width="28" hidden="0" customWidth="1"/>
    <x:col min="5" max="5" width="27" hidden="0" customWidth="1"/>
    <x:col min="6" max="6" width="28" hidden="0" customWidth="1"/>
    <x:col min="7" max="7" width="29" hidden="0" customWidth="1"/>
    <x:col min="8" max="8" width="27" hidden="0" customWidth="1"/>
    <x:col min="9" max="9" width="25" hidden="0" customWidth="1"/>
    <x:col min="10" max="10" width="19" hidden="0" customWidth="1"/>
    <x:col min="11" max="11" width="19" hidden="0" customWidth="1"/>
    <x:col min="12" max="12" width="19" hidden="0" customWidth="1"/>
    <x:col min="13" max="13" width="19" hidden="0" customWidth="1"/>
    <x:col min="14" max="14" width="23" hidden="0" customWidth="1"/>
    <x:col min="15" max="15" width="23" hidden="0" customWidth="1"/>
    <x:col min="16" max="16" width="43" hidden="0" customWidth="1"/>
  </x:cols>
  <x:sheetData>
    <x:row r="1" ht="28" customHeight="1">
      <x:c r="A1" s="460" t="str">
        <x:v>Commodity Rent Input Map — Official Data Sources</x:v>
      </x:c>
      <x:c r="B1" s="460"/>
      <x:c r="C1" s="460"/>
      <x:c r="D1" s="460"/>
      <x:c r="E1" s="460"/>
      <x:c r="F1" s="460"/>
      <x:c r="G1" s="460"/>
      <x:c r="H1" s="460"/>
      <x:c r="I1" s="460"/>
      <x:c r="J1" s="460"/>
      <x:c r="K1" s="460"/>
      <x:c r="L1" s="460"/>
      <x:c r="M1" s="460"/>
      <x:c r="N1" s="460"/>
      <x:c r="O1" s="460"/>
      <x:c r="P1" s="460"/>
    </x:row>
    <x:row r="2" ht="42" customHeight="1">
      <x:c r="A2" s="463" t="str">
        <x:v>This sheet maps each required rent component to an official data source. It does not substitute sector-wide output, wages or capital for commodity-specific extraction data.</x:v>
      </x:c>
      <x:c r="B2" s="463"/>
      <x:c r="C2" s="463"/>
      <x:c r="D2" s="463"/>
      <x:c r="E2" s="463"/>
      <x:c r="F2" s="463"/>
      <x:c r="G2" s="463"/>
      <x:c r="H2" s="463"/>
      <x:c r="I2" s="463"/>
      <x:c r="J2" s="463"/>
      <x:c r="K2" s="463"/>
      <x:c r="L2" s="463"/>
      <x:c r="M2" s="463"/>
      <x:c r="N2" s="463"/>
      <x:c r="O2" s="463"/>
      <x:c r="P2" s="463"/>
    </x:row>
    <x:row r="4" ht="40" customHeight="1">
      <x:c r="A4" s="475" t="str">
        <x:v>Commodity / category</x:v>
      </x:c>
      <x:c r="B4" s="476" t="str">
        <x:v>Required production boundary</x:v>
      </x:c>
      <x:c r="C4" s="476" t="str">
        <x:v>Sales / output source</x:v>
      </x:c>
      <x:c r="D4" s="476" t="str">
        <x:v>Intermediate-input source</x:v>
      </x:c>
      <x:c r="E4" s="476" t="str">
        <x:v>Labour-compensation source</x:v>
      </x:c>
      <x:c r="F4" s="476" t="str">
        <x:v>Depreciation source</x:v>
      </x:c>
      <x:c r="G4" s="476" t="str">
        <x:v>Produced-capital-stock source</x:v>
      </x:c>
      <x:c r="H4" s="476" t="str">
        <x:v>Normal-return source</x:v>
      </x:c>
      <x:c r="I4" s="476" t="str">
        <x:v>Public-capture source</x:v>
      </x:c>
      <x:c r="J4" s="476" t="str">
        <x:v>Sales extracted?</x:v>
      </x:c>
      <x:c r="K4" s="476" t="str">
        <x:v>Inputs extracted?</x:v>
      </x:c>
      <x:c r="L4" s="476" t="str">
        <x:v>Labour extracted?</x:v>
      </x:c>
      <x:c r="M4" s="476" t="str">
        <x:v>Capital extracted?</x:v>
      </x:c>
      <x:c r="N4" s="476" t="str">
        <x:v>Boundary status</x:v>
      </x:c>
      <x:c r="O4" s="476" t="str">
        <x:v>Overall status</x:v>
      </x:c>
      <x:c r="P4" s="477" t="str">
        <x:v>Method note</x:v>
      </x:c>
    </x:row>
    <x:row r="5">
      <x:c r="A5" s="443" t="str">
        <x:v>Conventional crude oil</x:v>
      </x:c>
      <x:c r="B5" s="444" t="str">
        <x:v>Oil extraction excluding bitumen and downstream refining</x:v>
      </x:c>
      <x:c r="C5" s="444" t="str">
        <x:v>Statistics Canada 36-10-0001-01 input-output detail; resource-account production and price series</x:v>
      </x:c>
      <x:c r="D5" s="444" t="str">
        <x:v>Statistics Canada 36-10-0001-01 intermediate purchases / use table</x:v>
      </x:c>
      <x:c r="E5" s="444" t="str">
        <x:v>Statistics Canada 36-10-0209-01 labour compensation by industry; commodity allocation still required</x:v>
      </x:c>
      <x:c r="F5" s="444" t="str">
        <x:v>Statistics Canada 36-10-0096-01 consumption of fixed capital by industry and asset</x:v>
      </x:c>
      <x:c r="G5" s="444" t="str">
        <x:v>Statistics Canada 36-10-0096-01 net capital stock by industry and asset</x:v>
      </x:c>
      <x:c r="H5" s="444" t="str">
        <x:v>Statistics Canada resource-wealth method uses a five-year Government of Canada bond rate; Bank of Canada benchmark yield series</x:v>
      </x:c>
      <x:c r="I5" s="444" t="str">
        <x:v>Public_Account_Recon, CGFS component vectors, Indigenous_Models</x:v>
      </x:c>
      <x:c r="J5" s="444" t="str">
        <x:v>No</x:v>
      </x:c>
      <x:c r="K5" s="444" t="str">
        <x:v>No</x:v>
      </x:c>
      <x:c r="L5" s="444" t="str">
        <x:v>No</x:v>
      </x:c>
      <x:c r="M5" s="444" t="str">
        <x:v>No</x:v>
      </x:c>
      <x:c r="N5" s="444" t="str">
        <x:v>Boundary defined</x:v>
      </x:c>
      <x:c r="O5" s="444" t="str">
        <x:v>Data needed</x:v>
      </x:c>
      <x:c r="P5" s="448" t="str">
        <x:v>Industry tables are source inputs, not automatically valid commodity values. Allocation methods and control totals must be documented.</x:v>
      </x:c>
    </x:row>
    <x:row r="6">
      <x:c r="A6" s="449" t="str">
        <x:v>Crude bitumen</x:v>
      </x:c>
      <x:c r="B6" s="162" t="str">
        <x:v>Oil-sands extraction/upgrading boundary must be explicit</x:v>
      </x:c>
      <x:c r="C6" s="162" t="str">
        <x:v>Statistics Canada 36-10-0001-01 input-output detail; resource-account production and price series</x:v>
      </x:c>
      <x:c r="D6" s="162" t="str">
        <x:v>Statistics Canada 36-10-0001-01 intermediate purchases / use table</x:v>
      </x:c>
      <x:c r="E6" s="162" t="str">
        <x:v>Statistics Canada 36-10-0209-01 labour compensation by industry; commodity allocation still required</x:v>
      </x:c>
      <x:c r="F6" s="162" t="str">
        <x:v>Statistics Canada 36-10-0096-01 consumption of fixed capital by industry and asset</x:v>
      </x:c>
      <x:c r="G6" s="162" t="str">
        <x:v>Statistics Canada 36-10-0096-01 net capital stock by industry and asset</x:v>
      </x:c>
      <x:c r="H6" s="162" t="str">
        <x:v>Statistics Canada resource-wealth method uses a five-year Government of Canada bond rate; Bank of Canada benchmark yield series</x:v>
      </x:c>
      <x:c r="I6" s="162" t="str">
        <x:v>Public_Account_Recon, CGFS component vectors, Indigenous_Models</x:v>
      </x:c>
      <x:c r="J6" s="162" t="str">
        <x:v>No</x:v>
      </x:c>
      <x:c r="K6" s="162" t="str">
        <x:v>No</x:v>
      </x:c>
      <x:c r="L6" s="162" t="str">
        <x:v>No</x:v>
      </x:c>
      <x:c r="M6" s="162" t="str">
        <x:v>No</x:v>
      </x:c>
      <x:c r="N6" s="162" t="str">
        <x:v>Boundary defined</x:v>
      </x:c>
      <x:c r="O6" s="162" t="str">
        <x:v>Data needed</x:v>
      </x:c>
      <x:c r="P6" s="450" t="str">
        <x:v>Industry tables are source inputs, not automatically valid commodity values. Allocation methods and control totals must be documented.</x:v>
      </x:c>
    </x:row>
    <x:row r="7">
      <x:c r="A7" s="449" t="str">
        <x:v>Natural gas and NGLs</x:v>
      </x:c>
      <x:c r="B7" s="162" t="str">
        <x:v>Natural-gas extraction; separate processing where possible</x:v>
      </x:c>
      <x:c r="C7" s="162" t="str">
        <x:v>Statistics Canada 36-10-0001-01 input-output detail; resource-account production and price series</x:v>
      </x:c>
      <x:c r="D7" s="162" t="str">
        <x:v>Statistics Canada 36-10-0001-01 intermediate purchases / use table</x:v>
      </x:c>
      <x:c r="E7" s="162" t="str">
        <x:v>Statistics Canada 36-10-0209-01 labour compensation by industry; commodity allocation still required</x:v>
      </x:c>
      <x:c r="F7" s="162" t="str">
        <x:v>Statistics Canada 36-10-0096-01 consumption of fixed capital by industry and asset</x:v>
      </x:c>
      <x:c r="G7" s="162" t="str">
        <x:v>Statistics Canada 36-10-0096-01 net capital stock by industry and asset</x:v>
      </x:c>
      <x:c r="H7" s="162" t="str">
        <x:v>Statistics Canada resource-wealth method uses a five-year Government of Canada bond rate; Bank of Canada benchmark yield series</x:v>
      </x:c>
      <x:c r="I7" s="162" t="str">
        <x:v>Public_Account_Recon, CGFS component vectors, Indigenous_Models</x:v>
      </x:c>
      <x:c r="J7" s="162" t="str">
        <x:v>No</x:v>
      </x:c>
      <x:c r="K7" s="162" t="str">
        <x:v>No</x:v>
      </x:c>
      <x:c r="L7" s="162" t="str">
        <x:v>No</x:v>
      </x:c>
      <x:c r="M7" s="162" t="str">
        <x:v>No</x:v>
      </x:c>
      <x:c r="N7" s="162" t="str">
        <x:v>Boundary defined</x:v>
      </x:c>
      <x:c r="O7" s="162" t="str">
        <x:v>Data needed</x:v>
      </x:c>
      <x:c r="P7" s="450" t="str">
        <x:v>Industry tables are source inputs, not automatically valid commodity values. Allocation methods and control totals must be documented.</x:v>
      </x:c>
    </x:row>
    <x:row r="8">
      <x:c r="A8" s="449" t="str">
        <x:v>Coal</x:v>
      </x:c>
      <x:c r="B8" s="162" t="str">
        <x:v>Coal mining only</x:v>
      </x:c>
      <x:c r="C8" s="162" t="str">
        <x:v>Statistics Canada 36-10-0001-01 input-output detail; resource-account production and price series</x:v>
      </x:c>
      <x:c r="D8" s="162" t="str">
        <x:v>Statistics Canada 36-10-0001-01 intermediate purchases / use table</x:v>
      </x:c>
      <x:c r="E8" s="162" t="str">
        <x:v>Statistics Canada 36-10-0209-01 labour compensation by industry; commodity allocation still required</x:v>
      </x:c>
      <x:c r="F8" s="162" t="str">
        <x:v>Statistics Canada 36-10-0096-01 consumption of fixed capital by industry and asset</x:v>
      </x:c>
      <x:c r="G8" s="162" t="str">
        <x:v>Statistics Canada 36-10-0096-01 net capital stock by industry and asset</x:v>
      </x:c>
      <x:c r="H8" s="162" t="str">
        <x:v>Statistics Canada resource-wealth method uses a five-year Government of Canada bond rate; Bank of Canada benchmark yield series</x:v>
      </x:c>
      <x:c r="I8" s="162" t="str">
        <x:v>Public_Account_Recon, CGFS component vectors, Indigenous_Models</x:v>
      </x:c>
      <x:c r="J8" s="162" t="str">
        <x:v>No</x:v>
      </x:c>
      <x:c r="K8" s="162" t="str">
        <x:v>No</x:v>
      </x:c>
      <x:c r="L8" s="162" t="str">
        <x:v>No</x:v>
      </x:c>
      <x:c r="M8" s="162" t="str">
        <x:v>No</x:v>
      </x:c>
      <x:c r="N8" s="162" t="str">
        <x:v>Boundary defined</x:v>
      </x:c>
      <x:c r="O8" s="162" t="str">
        <x:v>Data needed</x:v>
      </x:c>
      <x:c r="P8" s="450" t="str">
        <x:v>Industry tables are source inputs, not automatically valid commodity values. Allocation methods and control totals must be documented.</x:v>
      </x:c>
    </x:row>
    <x:row r="9">
      <x:c r="A9" s="449" t="str">
        <x:v>Potash</x:v>
      </x:c>
      <x:c r="B9" s="162" t="str">
        <x:v>Potash mining and primary concentration</x:v>
      </x:c>
      <x:c r="C9" s="162" t="str">
        <x:v>Statistics Canada 36-10-0001-01 input-output detail; resource-account production and price series</x:v>
      </x:c>
      <x:c r="D9" s="162" t="str">
        <x:v>Statistics Canada 36-10-0001-01 intermediate purchases / use table</x:v>
      </x:c>
      <x:c r="E9" s="162" t="str">
        <x:v>Statistics Canada 36-10-0209-01 labour compensation by industry; commodity allocation still required</x:v>
      </x:c>
      <x:c r="F9" s="162" t="str">
        <x:v>Statistics Canada 36-10-0096-01 consumption of fixed capital by industry and asset</x:v>
      </x:c>
      <x:c r="G9" s="162" t="str">
        <x:v>Statistics Canada 36-10-0096-01 net capital stock by industry and asset</x:v>
      </x:c>
      <x:c r="H9" s="162" t="str">
        <x:v>Statistics Canada resource-wealth method uses a five-year Government of Canada bond rate; Bank of Canada benchmark yield series</x:v>
      </x:c>
      <x:c r="I9" s="162" t="str">
        <x:v>Public_Account_Recon, CGFS component vectors, Indigenous_Models</x:v>
      </x:c>
      <x:c r="J9" s="162" t="str">
        <x:v>No</x:v>
      </x:c>
      <x:c r="K9" s="162" t="str">
        <x:v>No</x:v>
      </x:c>
      <x:c r="L9" s="162" t="str">
        <x:v>No</x:v>
      </x:c>
      <x:c r="M9" s="162" t="str">
        <x:v>No</x:v>
      </x:c>
      <x:c r="N9" s="162" t="str">
        <x:v>Boundary defined</x:v>
      </x:c>
      <x:c r="O9" s="162" t="str">
        <x:v>Data needed</x:v>
      </x:c>
      <x:c r="P9" s="450" t="str">
        <x:v>Industry tables are source inputs, not automatically valid commodity values. Allocation methods and control totals must be documented.</x:v>
      </x:c>
    </x:row>
    <x:row r="10">
      <x:c r="A10" s="449" t="str">
        <x:v>Gold</x:v>
      </x:c>
      <x:c r="B10" s="162" t="str">
        <x:v>Gold-mine extraction, excluding refining</x:v>
      </x:c>
      <x:c r="C10" s="162" t="str">
        <x:v>Statistics Canada 36-10-0001-01 input-output detail; resource-account production and price series</x:v>
      </x:c>
      <x:c r="D10" s="162" t="str">
        <x:v>Statistics Canada 36-10-0001-01 intermediate purchases / use table</x:v>
      </x:c>
      <x:c r="E10" s="162" t="str">
        <x:v>Statistics Canada 36-10-0209-01 labour compensation by industry; commodity allocation still required</x:v>
      </x:c>
      <x:c r="F10" s="162" t="str">
        <x:v>Statistics Canada 36-10-0096-01 consumption of fixed capital by industry and asset</x:v>
      </x:c>
      <x:c r="G10" s="162" t="str">
        <x:v>Statistics Canada 36-10-0096-01 net capital stock by industry and asset</x:v>
      </x:c>
      <x:c r="H10" s="162" t="str">
        <x:v>Statistics Canada resource-wealth method uses a five-year Government of Canada bond rate; Bank of Canada benchmark yield series</x:v>
      </x:c>
      <x:c r="I10" s="162" t="str">
        <x:v>Public_Account_Recon, CGFS component vectors, Indigenous_Models</x:v>
      </x:c>
      <x:c r="J10" s="162" t="str">
        <x:v>No</x:v>
      </x:c>
      <x:c r="K10" s="162" t="str">
        <x:v>No</x:v>
      </x:c>
      <x:c r="L10" s="162" t="str">
        <x:v>No</x:v>
      </x:c>
      <x:c r="M10" s="162" t="str">
        <x:v>No</x:v>
      </x:c>
      <x:c r="N10" s="162" t="str">
        <x:v>Boundary defined</x:v>
      </x:c>
      <x:c r="O10" s="162" t="str">
        <x:v>Data needed</x:v>
      </x:c>
      <x:c r="P10" s="450" t="str">
        <x:v>Industry tables are source inputs, not automatically valid commodity values. Allocation methods and control totals must be documented.</x:v>
      </x:c>
    </x:row>
    <x:row r="11">
      <x:c r="A11" s="449" t="str">
        <x:v>Iron</x:v>
      </x:c>
      <x:c r="B11" s="162" t="str">
        <x:v>Iron-ore mining and primary concentration</x:v>
      </x:c>
      <x:c r="C11" s="162" t="str">
        <x:v>Statistics Canada 36-10-0001-01 input-output detail; resource-account production and price series</x:v>
      </x:c>
      <x:c r="D11" s="162" t="str">
        <x:v>Statistics Canada 36-10-0001-01 intermediate purchases / use table</x:v>
      </x:c>
      <x:c r="E11" s="162" t="str">
        <x:v>Statistics Canada 36-10-0209-01 labour compensation by industry; commodity allocation still required</x:v>
      </x:c>
      <x:c r="F11" s="162" t="str">
        <x:v>Statistics Canada 36-10-0096-01 consumption of fixed capital by industry and asset</x:v>
      </x:c>
      <x:c r="G11" s="162" t="str">
        <x:v>Statistics Canada 36-10-0096-01 net capital stock by industry and asset</x:v>
      </x:c>
      <x:c r="H11" s="162" t="str">
        <x:v>Statistics Canada resource-wealth method uses a five-year Government of Canada bond rate; Bank of Canada benchmark yield series</x:v>
      </x:c>
      <x:c r="I11" s="162" t="str">
        <x:v>Public_Account_Recon, CGFS component vectors, Indigenous_Models</x:v>
      </x:c>
      <x:c r="J11" s="162" t="str">
        <x:v>No</x:v>
      </x:c>
      <x:c r="K11" s="162" t="str">
        <x:v>No</x:v>
      </x:c>
      <x:c r="L11" s="162" t="str">
        <x:v>No</x:v>
      </x:c>
      <x:c r="M11" s="162" t="str">
        <x:v>No</x:v>
      </x:c>
      <x:c r="N11" s="162" t="str">
        <x:v>Boundary defined</x:v>
      </x:c>
      <x:c r="O11" s="162" t="str">
        <x:v>Data needed</x:v>
      </x:c>
      <x:c r="P11" s="450" t="str">
        <x:v>Industry tables are source inputs, not automatically valid commodity values. Allocation methods and control totals must be documented.</x:v>
      </x:c>
    </x:row>
    <x:row r="12">
      <x:c r="A12" s="449" t="str">
        <x:v>Other metallic minerals</x:v>
      </x:c>
      <x:c r="B12" s="162" t="str">
        <x:v>Official miscellaneous-mineral control category</x:v>
      </x:c>
      <x:c r="C12" s="162" t="str">
        <x:v>Statistics Canada 36-10-0001-01 input-output detail; resource-account production and price series</x:v>
      </x:c>
      <x:c r="D12" s="162" t="str">
        <x:v>Statistics Canada 36-10-0001-01 intermediate purchases / use table</x:v>
      </x:c>
      <x:c r="E12" s="162" t="str">
        <x:v>Statistics Canada 36-10-0209-01 labour compensation by industry; commodity allocation still required</x:v>
      </x:c>
      <x:c r="F12" s="162" t="str">
        <x:v>Statistics Canada 36-10-0096-01 consumption of fixed capital by industry and asset</x:v>
      </x:c>
      <x:c r="G12" s="162" t="str">
        <x:v>Statistics Canada 36-10-0096-01 net capital stock by industry and asset</x:v>
      </x:c>
      <x:c r="H12" s="162" t="str">
        <x:v>Statistics Canada resource-wealth method uses a five-year Government of Canada bond rate; Bank of Canada benchmark yield series</x:v>
      </x:c>
      <x:c r="I12" s="162" t="str">
        <x:v>Public_Account_Recon, CGFS component vectors, Indigenous_Models</x:v>
      </x:c>
      <x:c r="J12" s="162" t="str">
        <x:v>No</x:v>
      </x:c>
      <x:c r="K12" s="162" t="str">
        <x:v>No</x:v>
      </x:c>
      <x:c r="L12" s="162" t="str">
        <x:v>No</x:v>
      </x:c>
      <x:c r="M12" s="162" t="str">
        <x:v>No</x:v>
      </x:c>
      <x:c r="N12" s="162" t="str">
        <x:v>Boundary defined</x:v>
      </x:c>
      <x:c r="O12" s="162" t="str">
        <x:v>Data needed</x:v>
      </x:c>
      <x:c r="P12" s="450" t="str">
        <x:v>Industry tables are source inputs, not automatically valid commodity values. Allocation methods and control totals must be documented.</x:v>
      </x:c>
    </x:row>
    <x:row r="13">
      <x:c r="A13" s="449" t="str">
        <x:v>Uranium diagnostic</x:v>
      </x:c>
      <x:c r="B13" s="162" t="str">
        <x:v>Diagnostic row within miscellaneous minerals; no double count</x:v>
      </x:c>
      <x:c r="C13" s="162" t="str">
        <x:v>Statistics Canada 36-10-0001-01 input-output detail; resource-account production and price series</x:v>
      </x:c>
      <x:c r="D13" s="162" t="str">
        <x:v>Statistics Canada 36-10-0001-01 intermediate purchases / use table</x:v>
      </x:c>
      <x:c r="E13" s="162" t="str">
        <x:v>Statistics Canada 36-10-0209-01 labour compensation by industry; commodity allocation still required</x:v>
      </x:c>
      <x:c r="F13" s="162" t="str">
        <x:v>Statistics Canada 36-10-0096-01 consumption of fixed capital by industry and asset</x:v>
      </x:c>
      <x:c r="G13" s="162" t="str">
        <x:v>Statistics Canada 36-10-0096-01 net capital stock by industry and asset</x:v>
      </x:c>
      <x:c r="H13" s="162" t="str">
        <x:v>Statistics Canada resource-wealth method uses a five-year Government of Canada bond rate; Bank of Canada benchmark yield series</x:v>
      </x:c>
      <x:c r="I13" s="162" t="str">
        <x:v>Public_Account_Recon, CGFS component vectors, Indigenous_Models</x:v>
      </x:c>
      <x:c r="J13" s="162" t="str">
        <x:v>No</x:v>
      </x:c>
      <x:c r="K13" s="162" t="str">
        <x:v>No</x:v>
      </x:c>
      <x:c r="L13" s="162" t="str">
        <x:v>No</x:v>
      </x:c>
      <x:c r="M13" s="162" t="str">
        <x:v>No</x:v>
      </x:c>
      <x:c r="N13" s="162" t="str">
        <x:v>Diagnostic — exclude from control total</x:v>
      </x:c>
      <x:c r="O13" s="162" t="str">
        <x:v>Data needed</x:v>
      </x:c>
      <x:c r="P13" s="450" t="str">
        <x:v>Industry tables are source inputs, not automatically valid commodity values. Allocation methods and control totals must be documented.</x:v>
      </x:c>
    </x:row>
    <x:row r="14">
      <x:c r="A14" s="449" t="str">
        <x:v>Diamonds diagnostic</x:v>
      </x:c>
      <x:c r="B14" s="162" t="str">
        <x:v>Diagnostic row within miscellaneous minerals; no double count</x:v>
      </x:c>
      <x:c r="C14" s="162" t="str">
        <x:v>Statistics Canada 36-10-0001-01 input-output detail; resource-account production and price series</x:v>
      </x:c>
      <x:c r="D14" s="162" t="str">
        <x:v>Statistics Canada 36-10-0001-01 intermediate purchases / use table</x:v>
      </x:c>
      <x:c r="E14" s="162" t="str">
        <x:v>Statistics Canada 36-10-0209-01 labour compensation by industry; commodity allocation still required</x:v>
      </x:c>
      <x:c r="F14" s="162" t="str">
        <x:v>Statistics Canada 36-10-0096-01 consumption of fixed capital by industry and asset</x:v>
      </x:c>
      <x:c r="G14" s="162" t="str">
        <x:v>Statistics Canada 36-10-0096-01 net capital stock by industry and asset</x:v>
      </x:c>
      <x:c r="H14" s="162" t="str">
        <x:v>Statistics Canada resource-wealth method uses a five-year Government of Canada bond rate; Bank of Canada benchmark yield series</x:v>
      </x:c>
      <x:c r="I14" s="162" t="str">
        <x:v>Public_Account_Recon, CGFS component vectors, Indigenous_Models</x:v>
      </x:c>
      <x:c r="J14" s="162" t="str">
        <x:v>No</x:v>
      </x:c>
      <x:c r="K14" s="162" t="str">
        <x:v>No</x:v>
      </x:c>
      <x:c r="L14" s="162" t="str">
        <x:v>No</x:v>
      </x:c>
      <x:c r="M14" s="162" t="str">
        <x:v>No</x:v>
      </x:c>
      <x:c r="N14" s="162" t="str">
        <x:v>Diagnostic — exclude from control total</x:v>
      </x:c>
      <x:c r="O14" s="162" t="str">
        <x:v>Data needed</x:v>
      </x:c>
      <x:c r="P14" s="450" t="str">
        <x:v>Industry tables are source inputs, not automatically valid commodity values. Allocation methods and control totals must be documented.</x:v>
      </x:c>
    </x:row>
    <x:row r="15">
      <x:c r="A15" s="449" t="str">
        <x:v>Timber</x:v>
      </x:c>
      <x:c r="B15" s="162" t="str">
        <x:v>Standing timber / harvest rent, not all forestry manufacturing</x:v>
      </x:c>
      <x:c r="C15" s="162" t="str">
        <x:v>Statistics Canada 36-10-0001-01 input-output detail; resource-account production and price series</x:v>
      </x:c>
      <x:c r="D15" s="162" t="str">
        <x:v>Statistics Canada 36-10-0001-01 intermediate purchases / use table</x:v>
      </x:c>
      <x:c r="E15" s="162" t="str">
        <x:v>Statistics Canada 36-10-0209-01 labour compensation by industry; commodity allocation still required</x:v>
      </x:c>
      <x:c r="F15" s="162" t="str">
        <x:v>Statistics Canada 36-10-0096-01 consumption of fixed capital by industry and asset</x:v>
      </x:c>
      <x:c r="G15" s="162" t="str">
        <x:v>Statistics Canada 36-10-0096-01 net capital stock by industry and asset</x:v>
      </x:c>
      <x:c r="H15" s="162" t="str">
        <x:v>Statistics Canada resource-wealth method uses a five-year Government of Canada bond rate; Bank of Canada benchmark yield series</x:v>
      </x:c>
      <x:c r="I15" s="162" t="str">
        <x:v>Public_Account_Recon, CGFS component vectors, Indigenous_Models</x:v>
      </x:c>
      <x:c r="J15" s="162" t="str">
        <x:v>No</x:v>
      </x:c>
      <x:c r="K15" s="162" t="str">
        <x:v>No</x:v>
      </x:c>
      <x:c r="L15" s="162" t="str">
        <x:v>No</x:v>
      </x:c>
      <x:c r="M15" s="162" t="str">
        <x:v>No</x:v>
      </x:c>
      <x:c r="N15" s="162" t="str">
        <x:v>Boundary defined</x:v>
      </x:c>
      <x:c r="O15" s="162" t="str">
        <x:v>Data needed</x:v>
      </x:c>
      <x:c r="P15" s="450" t="str">
        <x:v>Industry tables are source inputs, not automatically valid commodity values. Allocation methods and control totals must be documented.</x:v>
      </x:c>
    </x:row>
    <x:row r="16">
      <x:c r="A16" s="451" t="str">
        <x:v>All selected resources</x:v>
      </x:c>
      <x:c r="B16" s="452" t="str">
        <x:v>Control total matching Natural Resource Asset Accounts</x:v>
      </x:c>
      <x:c r="C16" s="452" t="str">
        <x:v>Statistics Canada 36-10-0001-01 input-output detail; resource-account production and price series</x:v>
      </x:c>
      <x:c r="D16" s="452" t="str">
        <x:v>Statistics Canada 36-10-0001-01 intermediate purchases / use table</x:v>
      </x:c>
      <x:c r="E16" s="452" t="str">
        <x:v>Statistics Canada 36-10-0209-01 labour compensation by industry; commodity allocation still required</x:v>
      </x:c>
      <x:c r="F16" s="452" t="str">
        <x:v>Statistics Canada 36-10-0096-01 consumption of fixed capital by industry and asset</x:v>
      </x:c>
      <x:c r="G16" s="452" t="str">
        <x:v>Statistics Canada 36-10-0096-01 net capital stock by industry and asset</x:v>
      </x:c>
      <x:c r="H16" s="452" t="str">
        <x:v>Statistics Canada resource-wealth method uses a five-year Government of Canada bond rate; Bank of Canada benchmark yield series</x:v>
      </x:c>
      <x:c r="I16" s="452" t="str">
        <x:v>Public_Account_Recon, CGFS component vectors, Indigenous_Models</x:v>
      </x:c>
      <x:c r="J16" s="452" t="str">
        <x:v>No</x:v>
      </x:c>
      <x:c r="K16" s="452" t="str">
        <x:v>No</x:v>
      </x:c>
      <x:c r="L16" s="452" t="str">
        <x:v>No</x:v>
      </x:c>
      <x:c r="M16" s="452" t="str">
        <x:v>No</x:v>
      </x:c>
      <x:c r="N16" s="452" t="str">
        <x:v>Boundary defined</x:v>
      </x:c>
      <x:c r="O16" s="452" t="str">
        <x:v>Data needed</x:v>
      </x:c>
      <x:c r="P16" s="456" t="str">
        <x:v>Industry tables are source inputs, not automatically valid commodity values. Allocation methods and control totals must be documented.</x:v>
      </x:c>
    </x:row>
  </x:sheetData>
  <x:mergeCells>
    <x:mergeCell ref="A1:P1"/>
    <x:mergeCell ref="A2:P2"/>
  </x:mergeCells>
  <x:dataValidations count="5">
    <x:dataValidation type="list" sqref="J5:J16">
      <x:formula1>"No,Partial,Yes"</x:formula1>
    </x:dataValidation>
    <x:dataValidation type="list" sqref="K5:K16">
      <x:formula1>"No,Partial,Yes"</x:formula1>
    </x:dataValidation>
    <x:dataValidation type="list" sqref="L5:L16">
      <x:formula1>"No,Partial,Yes"</x:formula1>
    </x:dataValidation>
    <x:dataValidation type="list" sqref="M5:M16">
      <x:formula1>"No,Partial,Yes"</x:formula1>
    </x:dataValidation>
    <x:dataValidation type="list" sqref="O5:O16">
      <x:formula1>"Data needed,Partial,Verified"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6" hidden="0" customWidth="1"/>
    <x:col min="3" max="3" width="18" hidden="0" customWidth="1"/>
    <x:col min="4" max="4" width="57" hidden="0" customWidth="1"/>
    <x:col min="5" max="5" width="44" hidden="0" customWidth="1"/>
    <x:col min="6" max="6" width="16" hidden="0" customWidth="1"/>
    <x:col min="7" max="7" width="17" hidden="0" customWidth="1"/>
    <x:col min="8" max="8" width="18" hidden="0" customWidth="1"/>
    <x:col min="9" max="9" width="18" hidden="0" customWidth="1"/>
    <x:col min="10" max="10" width="18" hidden="0" customWidth="1"/>
    <x:col min="11" max="11" width="20" hidden="0" customWidth="1"/>
    <x:col min="12" max="12" width="20" hidden="0" customWidth="1"/>
    <x:col min="13" max="13" width="26" hidden="0" customWidth="1"/>
    <x:col min="14" max="14" width="37" hidden="0" customWidth="1"/>
    <x:col min="15" max="15" width="24" hidden="0" customWidth="1"/>
    <x:col min="16" max="16" width="42" hidden="0" customWidth="1"/>
  </x:cols>
  <x:sheetData>
    <x:row r="1" ht="28" customHeight="1">
      <x:c r="A1" s="525" t="str">
        <x:v>CGFS Observation Extraction Protocol</x:v>
      </x:c>
      <x:c r="B1" s="525"/>
      <x:c r="C1" s="525"/>
      <x:c r="D1" s="525"/>
      <x:c r="E1" s="525"/>
      <x:c r="F1" s="525"/>
      <x:c r="G1" s="525"/>
      <x:c r="H1" s="525"/>
      <x:c r="I1" s="525"/>
      <x:c r="J1" s="525"/>
      <x:c r="K1" s="525"/>
      <x:c r="L1" s="525"/>
      <x:c r="M1" s="525"/>
      <x:c r="N1" s="525"/>
      <x:c r="O1" s="525"/>
      <x:c r="P1" s="525"/>
    </x:row>
    <x:row r="2" ht="42" customHeight="1">
      <x:c r="A2" s="528" t="str">
        <x:v>Every standardized value must come from the mapped transaction vector, retain the reference period, and apply the returned scalarFactorCode and decimals fields. Public-account comparators cannot be copied into the standardized column.</x:v>
      </x:c>
      <x:c r="B2" s="528"/>
      <x:c r="C2" s="528"/>
      <x:c r="D2" s="528"/>
      <x:c r="E2" s="528"/>
      <x:c r="F2" s="528"/>
      <x:c r="G2" s="528"/>
      <x:c r="H2" s="528"/>
      <x:c r="I2" s="528"/>
      <x:c r="J2" s="528"/>
      <x:c r="K2" s="528"/>
      <x:c r="L2" s="528"/>
      <x:c r="M2" s="528"/>
      <x:c r="N2" s="528"/>
      <x:c r="O2" s="528"/>
      <x:c r="P2" s="528"/>
    </x:row>
    <x:row r="4" ht="40" customHeight="1">
      <x:c r="A4" s="538" t="str">
        <x:v>Jurisdiction</x:v>
      </x:c>
      <x:c r="B4" s="539" t="str">
        <x:v>Table PID</x:v>
      </x:c>
      <x:c r="C4" s="539" t="str">
        <x:v>Transaction rent vector</x:v>
      </x:c>
      <x:c r="D4" s="539" t="str">
        <x:v>Exact vector request</x:v>
      </x:c>
      <x:c r="E4" s="539" t="str">
        <x:v>Full-table CSV fallback</x:v>
      </x:c>
      <x:c r="F4" s="539" t="str">
        <x:v>Requested period</x:v>
      </x:c>
      <x:c r="G4" s="539" t="str">
        <x:v>Raw value</x:v>
      </x:c>
      <x:c r="H4" s="539" t="str">
        <x:v>Scalar factor code</x:v>
      </x:c>
      <x:c r="I4" s="539" t="str">
        <x:v>Decimal places</x:v>
      </x:c>
      <x:c r="J4" s="539" t="str">
        <x:v>Scaled value ($B)</x:v>
      </x:c>
      <x:c r="K4" s="539" t="str">
        <x:v>Status code</x:v>
      </x:c>
      <x:c r="L4" s="539" t="str">
        <x:v>Symbol code</x:v>
      </x:c>
      <x:c r="M4" s="539" t="str">
        <x:v>Extraction status</x:v>
      </x:c>
      <x:c r="N4" s="539" t="str">
        <x:v>Validation rule</x:v>
      </x:c>
      <x:c r="O4" s="539" t="str">
        <x:v>Current blocker</x:v>
      </x:c>
      <x:c r="P4" s="540" t="str">
        <x:v>Official documentation</x:v>
      </x:c>
    </x:row>
    <x:row r="5">
      <x:c r="A5" s="541" t="str">
        <x:v>Federal government</x:v>
      </x:c>
      <x:c r="B5" s="542" t="n">
        <x:v>10100016</x:v>
      </x:c>
      <x:c r="C5" s="542" t="str">
        <x:v>v91574770</x:v>
      </x:c>
      <x:c r="D5" s="542" t="str">
        <x:v>https://www150.statcan.gc.ca/t1/wds/rest/getDataFromVectorByReferencePeriodRange?vectorIds="91574770"&amp;startRefPeriod=2024-01-01&amp;endReferencePeriod=2024-12-31</x:v>
      </x:c>
      <x:c r="E5" s="542" t="str">
        <x:v>https://www150.statcan.gc.ca/n1/en/tbl/csv/10100016-eng.zip</x:v>
      </x:c>
      <x:c r="F5" s="551" t="str">
        <x:v>2024</x:v>
      </x:c>
      <x:c r="G5" s="585" t="n">
        <x:v>758</x:v>
      </x:c>
      <x:c r="H5" s="552" t="n">
        <x:v>6</x:v>
      </x:c>
      <x:c r="I5" s="552" t="n">
        <x:v>0</x:v>
      </x:c>
      <x:c r="J5" s="587" t="n">
        <x:v>0.758</x:v>
      </x:c>
      <x:c r="K5" s="551" t="n">
        <x:v>0</x:v>
      </x:c>
      <x:c r="L5" s="551" t="n">
        <x:v>1</x:v>
      </x:c>
      <x:c r="M5" s="589" t="str">
        <x:v>Scaled; reconciliation pending</x:v>
      </x:c>
      <x:c r="N5" s="542" t="str">
        <x:v>Confirm vector, refPer, scalarFactorCode, decimals, statusCode and symbolCode; then reconcile with public accounts.</x:v>
      </x:c>
      <x:c r="O5" s="542" t="str">
        <x:v>Extraction blocker removed. Full-table CSV passed; public-account reconciliation remains.</x:v>
      </x:c>
      <x:c r="P5" s="543" t="str">
        <x:v>Statistics Canada full-table CSV; validated by receipt 872878c79bea2f1bfa4dcd39e45172b53bbcdce97f424a5e80851438f67ecb08</x:v>
      </x:c>
    </x:row>
    <x:row r="6">
      <x:c r="A6" s="544" t="str">
        <x:v>Newfoundland and Labrador</x:v>
      </x:c>
      <x:c r="B6" s="162" t="n">
        <x:v>10100017</x:v>
      </x:c>
      <x:c r="C6" s="162" t="str">
        <x:v>v91575119</x:v>
      </x:c>
      <x:c r="D6" s="162" t="str">
        <x:v>https://www150.statcan.gc.ca/t1/wds/rest/getDataFromVectorByReferencePeriodRange?vectorIds="91575119"&amp;startRefPeriod=2024-01-01&amp;endReferencePeriod=2024-12-31</x:v>
      </x:c>
      <x:c r="E6" s="162" t="str">
        <x:v>https://www150.statcan.gc.ca/n1/en/tbl/csv/10100017-eng.zip</x:v>
      </x:c>
      <x:c r="F6" s="171" t="str">
        <x:v>2024</x:v>
      </x:c>
      <x:c r="G6" s="486" t="n">
        <x:v>1009</x:v>
      </x:c>
      <x:c r="H6" s="237" t="n">
        <x:v>6</x:v>
      </x:c>
      <x:c r="I6" s="237" t="n">
        <x:v>0</x:v>
      </x:c>
      <x:c r="J6" s="232" t="n">
        <x:v>1.009</x:v>
      </x:c>
      <x:c r="K6" s="171" t="n">
        <x:v>0</x:v>
      </x:c>
      <x:c r="L6" s="171" t="n">
        <x:v>1</x:v>
      </x:c>
      <x:c r="M6" s="590" t="str">
        <x:v>Scaled; reconciliation pending</x:v>
      </x:c>
      <x:c r="N6" s="162" t="str">
        <x:v>Confirm vector, refPer, scalarFactorCode, decimals, statusCode and symbolCode; then reconcile with public accounts.</x:v>
      </x:c>
      <x:c r="O6" s="162" t="str">
        <x:v>Extraction blocker removed. Full-table CSV passed; public-account reconciliation remains.</x:v>
      </x:c>
      <x:c r="P6" s="545" t="str">
        <x:v>Statistics Canada full-table CSV; validated by receipt 872878c79bea2f1bfa4dcd39e45172b53bbcdce97f424a5e80851438f67ecb08</x:v>
      </x:c>
    </x:row>
    <x:row r="7">
      <x:c r="A7" s="544" t="str">
        <x:v>Prince Edward Island</x:v>
      </x:c>
      <x:c r="B7" s="162" t="n">
        <x:v>10100017</x:v>
      </x:c>
      <x:c r="C7" s="162" t="str">
        <x:v>v91575381</x:v>
      </x:c>
      <x:c r="D7" s="162" t="str">
        <x:v>https://www150.statcan.gc.ca/t1/wds/rest/getDataFromVectorByReferencePeriodRange?vectorIds="91575381"&amp;startRefPeriod=2024-01-01&amp;endReferencePeriod=2024-12-31</x:v>
      </x:c>
      <x:c r="E7" s="162" t="str">
        <x:v>https://www150.statcan.gc.ca/n1/en/tbl/csv/10100017-eng.zip</x:v>
      </x:c>
      <x:c r="F7" s="171" t="str">
        <x:v>2024</x:v>
      </x:c>
      <x:c r="G7" s="486" t="n">
        <x:v>0</x:v>
      </x:c>
      <x:c r="H7" s="237" t="n">
        <x:v>6</x:v>
      </x:c>
      <x:c r="I7" s="237" t="n">
        <x:v>0</x:v>
      </x:c>
      <x:c r="J7" s="232" t="n">
        <x:v>0</x:v>
      </x:c>
      <x:c r="K7" s="171" t="n">
        <x:v>0</x:v>
      </x:c>
      <x:c r="L7" s="171" t="n">
        <x:v>1</x:v>
      </x:c>
      <x:c r="M7" s="590" t="str">
        <x:v>Scaled; reconciliation pending</x:v>
      </x:c>
      <x:c r="N7" s="162" t="str">
        <x:v>Confirm vector, refPer, scalarFactorCode, decimals, statusCode and symbolCode; then reconcile with public accounts.</x:v>
      </x:c>
      <x:c r="O7" s="162" t="str">
        <x:v>Extraction blocker removed. Full-table CSV passed; public-account reconciliation remains.</x:v>
      </x:c>
      <x:c r="P7" s="545" t="str">
        <x:v>Statistics Canada full-table CSV; validated by receipt 872878c79bea2f1bfa4dcd39e45172b53bbcdce97f424a5e80851438f67ecb08</x:v>
      </x:c>
    </x:row>
    <x:row r="8">
      <x:c r="A8" s="544" t="str">
        <x:v>Nova Scotia</x:v>
      </x:c>
      <x:c r="B8" s="162" t="n">
        <x:v>10100017</x:v>
      </x:c>
      <x:c r="C8" s="162" t="str">
        <x:v>v91575643</x:v>
      </x:c>
      <x:c r="D8" s="162" t="str">
        <x:v>https://www150.statcan.gc.ca/t1/wds/rest/getDataFromVectorByReferencePeriodRange?vectorIds="91575643"&amp;startRefPeriod=2024-01-01&amp;endReferencePeriod=2024-12-31</x:v>
      </x:c>
      <x:c r="E8" s="162" t="str">
        <x:v>https://www150.statcan.gc.ca/n1/en/tbl/csv/10100017-eng.zip</x:v>
      </x:c>
      <x:c r="F8" s="171" t="str">
        <x:v>2024</x:v>
      </x:c>
      <x:c r="G8" s="486" t="n">
        <x:v>13</x:v>
      </x:c>
      <x:c r="H8" s="237" t="n">
        <x:v>6</x:v>
      </x:c>
      <x:c r="I8" s="237" t="n">
        <x:v>0</x:v>
      </x:c>
      <x:c r="J8" s="232" t="n">
        <x:v>0.013</x:v>
      </x:c>
      <x:c r="K8" s="171" t="n">
        <x:v>0</x:v>
      </x:c>
      <x:c r="L8" s="171" t="n">
        <x:v>1</x:v>
      </x:c>
      <x:c r="M8" s="590" t="str">
        <x:v>Scaled; reconciliation pending</x:v>
      </x:c>
      <x:c r="N8" s="162" t="str">
        <x:v>Confirm vector, refPer, scalarFactorCode, decimals, statusCode and symbolCode; then reconcile with public accounts.</x:v>
      </x:c>
      <x:c r="O8" s="162" t="str">
        <x:v>Extraction blocker removed. Full-table CSV passed; public-account reconciliation remains.</x:v>
      </x:c>
      <x:c r="P8" s="545" t="str">
        <x:v>Statistics Canada full-table CSV; validated by receipt 872878c79bea2f1bfa4dcd39e45172b53bbcdce97f424a5e80851438f67ecb08</x:v>
      </x:c>
    </x:row>
    <x:row r="9">
      <x:c r="A9" s="544" t="str">
        <x:v>New Brunswick</x:v>
      </x:c>
      <x:c r="B9" s="162" t="n">
        <x:v>10100017</x:v>
      </x:c>
      <x:c r="C9" s="162" t="str">
        <x:v>v91575905</x:v>
      </x:c>
      <x:c r="D9" s="162" t="str">
        <x:v>https://www150.statcan.gc.ca/t1/wds/rest/getDataFromVectorByReferencePeriodRange?vectorIds="91575905"&amp;startRefPeriod=2024-01-01&amp;endReferencePeriod=2024-12-31</x:v>
      </x:c>
      <x:c r="E9" s="162" t="str">
        <x:v>https://www150.statcan.gc.ca/n1/en/tbl/csv/10100017-eng.zip</x:v>
      </x:c>
      <x:c r="F9" s="171" t="str">
        <x:v>2024</x:v>
      </x:c>
      <x:c r="G9" s="486" t="n">
        <x:v>83</x:v>
      </x:c>
      <x:c r="H9" s="237" t="n">
        <x:v>6</x:v>
      </x:c>
      <x:c r="I9" s="237" t="n">
        <x:v>0</x:v>
      </x:c>
      <x:c r="J9" s="232" t="n">
        <x:v>0.083</x:v>
      </x:c>
      <x:c r="K9" s="171" t="n">
        <x:v>0</x:v>
      </x:c>
      <x:c r="L9" s="171" t="n">
        <x:v>1</x:v>
      </x:c>
      <x:c r="M9" s="590" t="str">
        <x:v>Scaled; reconciliation pending</x:v>
      </x:c>
      <x:c r="N9" s="162" t="str">
        <x:v>Confirm vector, refPer, scalarFactorCode, decimals, statusCode and symbolCode; then reconcile with public accounts.</x:v>
      </x:c>
      <x:c r="O9" s="162" t="str">
        <x:v>Extraction blocker removed. Full-table CSV passed; public-account reconciliation remains.</x:v>
      </x:c>
      <x:c r="P9" s="545" t="str">
        <x:v>Statistics Canada full-table CSV; validated by receipt 872878c79bea2f1bfa4dcd39e45172b53bbcdce97f424a5e80851438f67ecb08</x:v>
      </x:c>
    </x:row>
    <x:row r="10">
      <x:c r="A10" s="544" t="str">
        <x:v>Quebec</x:v>
      </x:c>
      <x:c r="B10" s="162" t="n">
        <x:v>10100017</x:v>
      </x:c>
      <x:c r="C10" s="162" t="str">
        <x:v>v91576167</x:v>
      </x:c>
      <x:c r="D10" s="162" t="str">
        <x:v>https://www150.statcan.gc.ca/t1/wds/rest/getDataFromVectorByReferencePeriodRange?vectorIds="91576167"&amp;startRefPeriod=2024-01-01&amp;endReferencePeriod=2024-12-31</x:v>
      </x:c>
      <x:c r="E10" s="162" t="str">
        <x:v>https://www150.statcan.gc.ca/n1/en/tbl/csv/10100017-eng.zip</x:v>
      </x:c>
      <x:c r="F10" s="171" t="str">
        <x:v>2024</x:v>
      </x:c>
      <x:c r="G10" s="486" t="n">
        <x:v>1586</x:v>
      </x:c>
      <x:c r="H10" s="237" t="n">
        <x:v>6</x:v>
      </x:c>
      <x:c r="I10" s="237" t="n">
        <x:v>0</x:v>
      </x:c>
      <x:c r="J10" s="232" t="n">
        <x:v>1.586</x:v>
      </x:c>
      <x:c r="K10" s="171" t="n">
        <x:v>0</x:v>
      </x:c>
      <x:c r="L10" s="171" t="n">
        <x:v>1</x:v>
      </x:c>
      <x:c r="M10" s="590" t="str">
        <x:v>Scaled; reconciliation pending</x:v>
      </x:c>
      <x:c r="N10" s="162" t="str">
        <x:v>Confirm vector, refPer, scalarFactorCode, decimals, statusCode and symbolCode; then reconcile with public accounts.</x:v>
      </x:c>
      <x:c r="O10" s="162" t="str">
        <x:v>Extraction blocker removed. Full-table CSV passed; public-account reconciliation remains.</x:v>
      </x:c>
      <x:c r="P10" s="545" t="str">
        <x:v>Statistics Canada full-table CSV; validated by receipt 872878c79bea2f1bfa4dcd39e45172b53bbcdce97f424a5e80851438f67ecb08</x:v>
      </x:c>
    </x:row>
    <x:row r="11">
      <x:c r="A11" s="544" t="str">
        <x:v>Ontario</x:v>
      </x:c>
      <x:c r="B11" s="162" t="n">
        <x:v>10100017</x:v>
      </x:c>
      <x:c r="C11" s="162" t="str">
        <x:v>v91576429</x:v>
      </x:c>
      <x:c r="D11" s="162" t="str">
        <x:v>https://www150.statcan.gc.ca/t1/wds/rest/getDataFromVectorByReferencePeriodRange?vectorIds="91576429"&amp;startRefPeriod=2024-01-01&amp;endReferencePeriod=2024-12-31</x:v>
      </x:c>
      <x:c r="E11" s="162" t="str">
        <x:v>https://www150.statcan.gc.ca/n1/en/tbl/csv/10100017-eng.zip</x:v>
      </x:c>
      <x:c r="F11" s="171" t="str">
        <x:v>2024</x:v>
      </x:c>
      <x:c r="G11" s="486" t="n">
        <x:v>254</x:v>
      </x:c>
      <x:c r="H11" s="237" t="n">
        <x:v>6</x:v>
      </x:c>
      <x:c r="I11" s="237" t="n">
        <x:v>0</x:v>
      </x:c>
      <x:c r="J11" s="232" t="n">
        <x:v>0.254</x:v>
      </x:c>
      <x:c r="K11" s="171" t="n">
        <x:v>0</x:v>
      </x:c>
      <x:c r="L11" s="171" t="n">
        <x:v>1</x:v>
      </x:c>
      <x:c r="M11" s="590" t="str">
        <x:v>Scaled; reconciliation pending</x:v>
      </x:c>
      <x:c r="N11" s="162" t="str">
        <x:v>Confirm vector, refPer, scalarFactorCode, decimals, statusCode and symbolCode; then reconcile with public accounts.</x:v>
      </x:c>
      <x:c r="O11" s="162" t="str">
        <x:v>Extraction blocker removed. Full-table CSV passed; public-account reconciliation remains.</x:v>
      </x:c>
      <x:c r="P11" s="545" t="str">
        <x:v>Statistics Canada full-table CSV; validated by receipt 872878c79bea2f1bfa4dcd39e45172b53bbcdce97f424a5e80851438f67ecb08</x:v>
      </x:c>
    </x:row>
    <x:row r="12">
      <x:c r="A12" s="544" t="str">
        <x:v>Manitoba</x:v>
      </x:c>
      <x:c r="B12" s="162" t="n">
        <x:v>10100017</x:v>
      </x:c>
      <x:c r="C12" s="162" t="str">
        <x:v>v91576691</x:v>
      </x:c>
      <x:c r="D12" s="162" t="str">
        <x:v>https://www150.statcan.gc.ca/t1/wds/rest/getDataFromVectorByReferencePeriodRange?vectorIds="91576691"&amp;startRefPeriod=2024-01-01&amp;endReferencePeriod=2024-12-31</x:v>
      </x:c>
      <x:c r="E12" s="162" t="str">
        <x:v>https://www150.statcan.gc.ca/n1/en/tbl/csv/10100017-eng.zip</x:v>
      </x:c>
      <x:c r="F12" s="171" t="str">
        <x:v>2024</x:v>
      </x:c>
      <x:c r="G12" s="486" t="n">
        <x:v>83</x:v>
      </x:c>
      <x:c r="H12" s="237" t="n">
        <x:v>6</x:v>
      </x:c>
      <x:c r="I12" s="237" t="n">
        <x:v>0</x:v>
      </x:c>
      <x:c r="J12" s="232" t="n">
        <x:v>0.083</x:v>
      </x:c>
      <x:c r="K12" s="171" t="n">
        <x:v>0</x:v>
      </x:c>
      <x:c r="L12" s="171" t="n">
        <x:v>1</x:v>
      </x:c>
      <x:c r="M12" s="590" t="str">
        <x:v>Scaled; reconciliation pending</x:v>
      </x:c>
      <x:c r="N12" s="162" t="str">
        <x:v>Confirm vector, refPer, scalarFactorCode, decimals, statusCode and symbolCode; then reconcile with public accounts.</x:v>
      </x:c>
      <x:c r="O12" s="162" t="str">
        <x:v>Extraction blocker removed. Full-table CSV passed; public-account reconciliation remains.</x:v>
      </x:c>
      <x:c r="P12" s="545" t="str">
        <x:v>Statistics Canada full-table CSV; validated by receipt 872878c79bea2f1bfa4dcd39e45172b53bbcdce97f424a5e80851438f67ecb08</x:v>
      </x:c>
    </x:row>
    <x:row r="13">
      <x:c r="A13" s="544" t="str">
        <x:v>Saskatchewan</x:v>
      </x:c>
      <x:c r="B13" s="162" t="n">
        <x:v>10100017</x:v>
      </x:c>
      <x:c r="C13" s="162" t="str">
        <x:v>v91576953</x:v>
      </x:c>
      <x:c r="D13" s="162" t="str">
        <x:v>https://www150.statcan.gc.ca/t1/wds/rest/getDataFromVectorByReferencePeriodRange?vectorIds="91576953"&amp;startRefPeriod=2024-01-01&amp;endReferencePeriod=2024-12-31</x:v>
      </x:c>
      <x:c r="E13" s="162" t="str">
        <x:v>https://www150.statcan.gc.ca/n1/en/tbl/csv/10100017-eng.zip</x:v>
      </x:c>
      <x:c r="F13" s="171" t="str">
        <x:v>2024</x:v>
      </x:c>
      <x:c r="G13" s="486" t="n">
        <x:v>1617</x:v>
      </x:c>
      <x:c r="H13" s="237" t="n">
        <x:v>6</x:v>
      </x:c>
      <x:c r="I13" s="237" t="n">
        <x:v>0</x:v>
      </x:c>
      <x:c r="J13" s="232" t="n">
        <x:v>1.617</x:v>
      </x:c>
      <x:c r="K13" s="171" t="n">
        <x:v>0</x:v>
      </x:c>
      <x:c r="L13" s="171" t="n">
        <x:v>1</x:v>
      </x:c>
      <x:c r="M13" s="590" t="str">
        <x:v>Scaled; reconciliation pending</x:v>
      </x:c>
      <x:c r="N13" s="162" t="str">
        <x:v>Confirm vector, refPer, scalarFactorCode, decimals, statusCode and symbolCode; then reconcile with public accounts.</x:v>
      </x:c>
      <x:c r="O13" s="162" t="str">
        <x:v>Extraction blocker removed. Full-table CSV passed; public-account reconciliation remains.</x:v>
      </x:c>
      <x:c r="P13" s="545" t="str">
        <x:v>Statistics Canada full-table CSV; validated by receipt 872878c79bea2f1bfa4dcd39e45172b53bbcdce97f424a5e80851438f67ecb08</x:v>
      </x:c>
    </x:row>
    <x:row r="14">
      <x:c r="A14" s="544" t="str">
        <x:v>Alberta</x:v>
      </x:c>
      <x:c r="B14" s="162" t="n">
        <x:v>10100017</x:v>
      </x:c>
      <x:c r="C14" s="162" t="str">
        <x:v>v91577215</x:v>
      </x:c>
      <x:c r="D14" s="162" t="str">
        <x:v>https://www150.statcan.gc.ca/t1/wds/rest/getDataFromVectorByReferencePeriodRange?vectorIds="91577215"&amp;startRefPeriod=2024-01-01&amp;endReferencePeriod=2024-12-31</x:v>
      </x:c>
      <x:c r="E14" s="162" t="str">
        <x:v>https://www150.statcan.gc.ca/n1/en/tbl/csv/10100017-eng.zip</x:v>
      </x:c>
      <x:c r="F14" s="171" t="str">
        <x:v>2024</x:v>
      </x:c>
      <x:c r="G14" s="486" t="n">
        <x:v>22791</x:v>
      </x:c>
      <x:c r="H14" s="237" t="n">
        <x:v>6</x:v>
      </x:c>
      <x:c r="I14" s="237" t="n">
        <x:v>0</x:v>
      </x:c>
      <x:c r="J14" s="232" t="n">
        <x:v>22.791</x:v>
      </x:c>
      <x:c r="K14" s="171" t="n">
        <x:v>0</x:v>
      </x:c>
      <x:c r="L14" s="171" t="n">
        <x:v>1</x:v>
      </x:c>
      <x:c r="M14" s="590" t="str">
        <x:v>Scaled; reconciliation pending</x:v>
      </x:c>
      <x:c r="N14" s="162" t="str">
        <x:v>Confirm vector, refPer, scalarFactorCode, decimals, statusCode and symbolCode; then reconcile with public accounts.</x:v>
      </x:c>
      <x:c r="O14" s="162" t="str">
        <x:v>Extraction blocker removed. Full-table CSV passed; public-account reconciliation remains.</x:v>
      </x:c>
      <x:c r="P14" s="545" t="str">
        <x:v>Statistics Canada full-table CSV; validated by receipt 872878c79bea2f1bfa4dcd39e45172b53bbcdce97f424a5e80851438f67ecb08</x:v>
      </x:c>
    </x:row>
    <x:row r="15">
      <x:c r="A15" s="544" t="str">
        <x:v>British Columbia</x:v>
      </x:c>
      <x:c r="B15" s="162" t="n">
        <x:v>10100017</x:v>
      </x:c>
      <x:c r="C15" s="162" t="str">
        <x:v>v91577477</x:v>
      </x:c>
      <x:c r="D15" s="162" t="str">
        <x:v>https://www150.statcan.gc.ca/t1/wds/rest/getDataFromVectorByReferencePeriodRange?vectorIds="91577477"&amp;startRefPeriod=2024-01-01&amp;endReferencePeriod=2024-12-31</x:v>
      </x:c>
      <x:c r="E15" s="162" t="str">
        <x:v>https://www150.statcan.gc.ca/n1/en/tbl/csv/10100017-eng.zip</x:v>
      </x:c>
      <x:c r="F15" s="171" t="str">
        <x:v>2024</x:v>
      </x:c>
      <x:c r="G15" s="486" t="n">
        <x:v>1869</x:v>
      </x:c>
      <x:c r="H15" s="237" t="n">
        <x:v>6</x:v>
      </x:c>
      <x:c r="I15" s="237" t="n">
        <x:v>0</x:v>
      </x:c>
      <x:c r="J15" s="232" t="n">
        <x:v>1.869</x:v>
      </x:c>
      <x:c r="K15" s="171" t="n">
        <x:v>0</x:v>
      </x:c>
      <x:c r="L15" s="171" t="n">
        <x:v>1</x:v>
      </x:c>
      <x:c r="M15" s="590" t="str">
        <x:v>Scaled; reconciliation pending</x:v>
      </x:c>
      <x:c r="N15" s="162" t="str">
        <x:v>Confirm vector, refPer, scalarFactorCode, decimals, statusCode and symbolCode; then reconcile with public accounts.</x:v>
      </x:c>
      <x:c r="O15" s="162" t="str">
        <x:v>Extraction blocker removed. Full-table CSV passed; public-account reconciliation remains.</x:v>
      </x:c>
      <x:c r="P15" s="545" t="str">
        <x:v>Statistics Canada full-table CSV; validated by receipt 872878c79bea2f1bfa4dcd39e45172b53bbcdce97f424a5e80851438f67ecb08</x:v>
      </x:c>
    </x:row>
    <x:row r="16">
      <x:c r="A16" s="544" t="str">
        <x:v>Yukon</x:v>
      </x:c>
      <x:c r="B16" s="162" t="n">
        <x:v>10100017</x:v>
      </x:c>
      <x:c r="C16" s="162" t="str">
        <x:v>v91577739</x:v>
      </x:c>
      <x:c r="D16" s="162" t="str">
        <x:v>https://www150.statcan.gc.ca/t1/wds/rest/getDataFromVectorByReferencePeriodRange?vectorIds="91577739"&amp;startRefPeriod=2024-01-01&amp;endReferencePeriod=2024-12-31</x:v>
      </x:c>
      <x:c r="E16" s="162" t="str">
        <x:v>https://www150.statcan.gc.ca/n1/en/tbl/csv/10100017-eng.zip</x:v>
      </x:c>
      <x:c r="F16" s="171" t="str">
        <x:v>2024</x:v>
      </x:c>
      <x:c r="G16" s="486" t="n">
        <x:v>2</x:v>
      </x:c>
      <x:c r="H16" s="237" t="n">
        <x:v>6</x:v>
      </x:c>
      <x:c r="I16" s="237" t="n">
        <x:v>0</x:v>
      </x:c>
      <x:c r="J16" s="232" t="n">
        <x:v>0.002</x:v>
      </x:c>
      <x:c r="K16" s="171" t="n">
        <x:v>0</x:v>
      </x:c>
      <x:c r="L16" s="171" t="n">
        <x:v>1</x:v>
      </x:c>
      <x:c r="M16" s="590" t="str">
        <x:v>Scaled; reconciliation pending</x:v>
      </x:c>
      <x:c r="N16" s="162" t="str">
        <x:v>Confirm vector, refPer, scalarFactorCode, decimals, statusCode and symbolCode; then reconcile with public accounts.</x:v>
      </x:c>
      <x:c r="O16" s="162" t="str">
        <x:v>Extraction blocker removed. Full-table CSV passed; public-account reconciliation remains.</x:v>
      </x:c>
      <x:c r="P16" s="545" t="str">
        <x:v>Statistics Canada full-table CSV; validated by receipt 872878c79bea2f1bfa4dcd39e45172b53bbcdce97f424a5e80851438f67ecb08</x:v>
      </x:c>
    </x:row>
    <x:row r="17">
      <x:c r="A17" s="544" t="str">
        <x:v>Northwest Territories</x:v>
      </x:c>
      <x:c r="B17" s="162" t="n">
        <x:v>10100017</x:v>
      </x:c>
      <x:c r="C17" s="162" t="str">
        <x:v>v91578001</x:v>
      </x:c>
      <x:c r="D17" s="162" t="str">
        <x:v>https://www150.statcan.gc.ca/t1/wds/rest/getDataFromVectorByReferencePeriodRange?vectorIds="91578001"&amp;startRefPeriod=2024-01-01&amp;endReferencePeriod=2024-12-31</x:v>
      </x:c>
      <x:c r="E17" s="162" t="str">
        <x:v>https://www150.statcan.gc.ca/n1/en/tbl/csv/10100017-eng.zip</x:v>
      </x:c>
      <x:c r="F17" s="171" t="str">
        <x:v>2024</x:v>
      </x:c>
      <x:c r="G17" s="486" t="n">
        <x:v>9</x:v>
      </x:c>
      <x:c r="H17" s="237" t="n">
        <x:v>6</x:v>
      </x:c>
      <x:c r="I17" s="237" t="n">
        <x:v>0</x:v>
      </x:c>
      <x:c r="J17" s="232" t="n">
        <x:v>0.009</x:v>
      </x:c>
      <x:c r="K17" s="171" t="n">
        <x:v>0</x:v>
      </x:c>
      <x:c r="L17" s="171" t="n">
        <x:v>1</x:v>
      </x:c>
      <x:c r="M17" s="590" t="str">
        <x:v>Scaled; reconciliation pending</x:v>
      </x:c>
      <x:c r="N17" s="162" t="str">
        <x:v>Confirm vector, refPer, scalarFactorCode, decimals, statusCode and symbolCode; then reconcile with public accounts.</x:v>
      </x:c>
      <x:c r="O17" s="162" t="str">
        <x:v>Extraction blocker removed. Full-table CSV passed; public-account reconciliation remains.</x:v>
      </x:c>
      <x:c r="P17" s="545" t="str">
        <x:v>Statistics Canada full-table CSV; validated by receipt 872878c79bea2f1bfa4dcd39e45172b53bbcdce97f424a5e80851438f67ecb08</x:v>
      </x:c>
    </x:row>
    <x:row r="18">
      <x:c r="A18" s="546" t="str">
        <x:v>Nunavut</x:v>
      </x:c>
      <x:c r="B18" s="547" t="n">
        <x:v>10100017</x:v>
      </x:c>
      <x:c r="C18" s="547" t="str">
        <x:v>v91578263</x:v>
      </x:c>
      <x:c r="D18" s="547" t="str">
        <x:v>https://www150.statcan.gc.ca/t1/wds/rest/getDataFromVectorByReferencePeriodRange?vectorIds="91578263"&amp;startRefPeriod=2024-01-01&amp;endReferencePeriod=2024-12-31</x:v>
      </x:c>
      <x:c r="E18" s="547" t="str">
        <x:v>https://www150.statcan.gc.ca/n1/en/tbl/csv/10100017-eng.zip</x:v>
      </x:c>
      <x:c r="F18" s="553" t="str">
        <x:v>2024</x:v>
      </x:c>
      <x:c r="G18" s="586" t="n">
        <x:v>0</x:v>
      </x:c>
      <x:c r="H18" s="554" t="n">
        <x:v>6</x:v>
      </x:c>
      <x:c r="I18" s="554" t="n">
        <x:v>0</x:v>
      </x:c>
      <x:c r="J18" s="588" t="n">
        <x:v>0</x:v>
      </x:c>
      <x:c r="K18" s="553" t="n">
        <x:v>0</x:v>
      </x:c>
      <x:c r="L18" s="553" t="n">
        <x:v>1</x:v>
      </x:c>
      <x:c r="M18" s="591" t="str">
        <x:v>Scaled; reconciliation pending</x:v>
      </x:c>
      <x:c r="N18" s="547" t="str">
        <x:v>Confirm vector, refPer, scalarFactorCode, decimals, statusCode and symbolCode; then reconcile with public accounts.</x:v>
      </x:c>
      <x:c r="O18" s="547" t="str">
        <x:v>Extraction blocker removed. Full-table CSV passed; public-account reconciliation remains.</x:v>
      </x:c>
      <x:c r="P18" s="548" t="str">
        <x:v>Statistics Canada full-table CSV; validated by receipt 872878c79bea2f1bfa4dcd39e45172b53bbcdce97f424a5e80851438f67ecb08</x:v>
      </x:c>
    </x:row>
    <x:row r="20">
      <x:c r="A20" s="541" t="str">
        <x:v>Control</x:v>
      </x:c>
      <x:c r="B20" s="542"/>
      <x:c r="C20" s="542"/>
      <x:c r="D20" s="542"/>
      <x:c r="E20" s="542"/>
      <x:c r="F20" s="542"/>
      <x:c r="G20" s="542"/>
      <x:c r="H20" s="542"/>
      <x:c r="I20" s="542"/>
      <x:c r="J20" s="542"/>
      <x:c r="K20" s="542"/>
      <x:c r="L20" s="542"/>
      <x:c r="M20" s="542" t="str">
        <x:v>Locked</x:v>
      </x:c>
      <x:c r="N20" s="542" t="str">
        <x:v>Use transaction vectors under 'Transactions and other economic flows'; do not use stock vectors.</x:v>
      </x:c>
      <x:c r="O20" s="542" t="str">
        <x:v>None</x:v>
      </x:c>
      <x:c r="P20" s="543" t="str">
        <x:v>CGFS table metadata</x:v>
      </x:c>
    </x:row>
    <x:row r="21">
      <x:c r="A21" s="544" t="str">
        <x:v>Control</x:v>
      </x:c>
      <x:c r="B21" s="162"/>
      <x:c r="C21" s="162"/>
      <x:c r="D21" s="162"/>
      <x:c r="E21" s="162"/>
      <x:c r="F21" s="162"/>
      <x:c r="G21" s="162"/>
      <x:c r="H21" s="162"/>
      <x:c r="I21" s="162"/>
      <x:c r="J21" s="162"/>
      <x:c r="K21" s="162"/>
      <x:c r="L21" s="162"/>
      <x:c r="M21" s="162" t="str">
        <x:v>Locked</x:v>
      </x:c>
      <x:c r="N21" s="162" t="str">
        <x:v>Never assume the table's displayed multiplier applies to the API value. Use scalarFactorCode.</x:v>
      </x:c>
      <x:c r="O21" s="162" t="str">
        <x:v>None</x:v>
      </x:c>
      <x:c r="P21" s="545" t="str">
        <x:v>WDS User Guide</x:v>
      </x:c>
    </x:row>
    <x:row r="22">
      <x:c r="A22" s="544" t="str">
        <x:v>Control</x:v>
      </x:c>
      <x:c r="B22" s="162"/>
      <x:c r="C22" s="162"/>
      <x:c r="D22" s="162"/>
      <x:c r="E22" s="162"/>
      <x:c r="F22" s="162"/>
      <x:c r="G22" s="162"/>
      <x:c r="H22" s="162"/>
      <x:c r="I22" s="162"/>
      <x:c r="J22" s="162"/>
      <x:c r="K22" s="162"/>
      <x:c r="L22" s="162"/>
      <x:c r="M22" s="162" t="str">
        <x:v>Locked</x:v>
      </x:c>
      <x:c r="N22" s="162" t="str">
        <x:v>Retain estimates with status or symbol codes and explain their meaning before use.</x:v>
      </x:c>
      <x:c r="O22" s="162" t="str">
        <x:v>None</x:v>
      </x:c>
      <x:c r="P22" s="545" t="str">
        <x:v>WDS User Guide</x:v>
      </x:c>
    </x:row>
    <x:row r="23">
      <x:c r="A23" s="544" t="str">
        <x:v>Control</x:v>
      </x:c>
      <x:c r="B23" s="162"/>
      <x:c r="C23" s="162"/>
      <x:c r="D23" s="162"/>
      <x:c r="E23" s="162"/>
      <x:c r="F23" s="162"/>
      <x:c r="G23" s="162"/>
      <x:c r="H23" s="162"/>
      <x:c r="I23" s="162"/>
      <x:c r="J23" s="162"/>
      <x:c r="K23" s="162"/>
      <x:c r="L23" s="162"/>
      <x:c r="M23" s="162" t="str">
        <x:v>Locked</x:v>
      </x:c>
      <x:c r="N23" s="162" t="str">
        <x:v>The federal and provincial tables are separate cubes and may have different update histories.</x:v>
      </x:c>
      <x:c r="O23" s="162" t="str">
        <x:v>None</x:v>
      </x:c>
      <x:c r="P23" s="545" t="str">
        <x:v>Tables 10-10-0016-01 and 10-10-0017-01</x:v>
      </x:c>
    </x:row>
    <x:row r="24">
      <x:c r="A24" s="546" t="str">
        <x:v>Publication gate</x:v>
      </x:c>
      <x:c r="B24" s="547"/>
      <x:c r="C24" s="547"/>
      <x:c r="D24" s="547"/>
      <x:c r="E24" s="547"/>
      <x:c r="F24" s="547"/>
      <x:c r="G24" s="547"/>
      <x:c r="H24" s="547"/>
      <x:c r="I24" s="547"/>
      <x:c r="J24" s="547"/>
      <x:c r="K24" s="547"/>
      <x:c r="L24" s="547"/>
      <x:c r="M24" s="547" t="str">
        <x:v>NOT READY</x:v>
      </x:c>
      <x:c r="N24" s="547" t="str">
        <x:v>All 14 values require extraction and reconciliation before a national standardized total is reported.</x:v>
      </x:c>
      <x:c r="O24" s="547" t="str">
        <x:v>14 observations outstanding</x:v>
      </x:c>
      <x:c r="P24" s="548" t="str">
        <x:v>Productive Commonwealth research contract</x:v>
      </x:c>
    </x:row>
  </x:sheetData>
  <x:mergeCells>
    <x:mergeCell ref="A1:P1"/>
    <x:mergeCell ref="A2:P2"/>
  </x:mergeCells>
  <x:conditionalFormatting sqref="M5:M18">
    <x:cfRule type="expression" dxfId="9" priority="1">
      <x:formula>M5="Payload unavailable"</x:formula>
    </x:cfRule>
  </x:conditionalFormatting>
  <x:dataValidations count="1">
    <x:dataValidation type="list" sqref="M5:M18">
      <x:formula1>"Payload unavailable,Extracted; scaling pending,Scaled; reconciliation pending,Reconciled"</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26" hidden="0" customWidth="1"/>
    <x:col min="3" max="3" width="16"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20" hidden="0" customWidth="1"/>
    <x:col min="12" max="12" width="24" hidden="0" customWidth="1"/>
    <x:col min="13" max="13" width="35" hidden="0" customWidth="1"/>
    <x:col min="14" max="14" width="38" hidden="0" customWidth="1"/>
    <x:col min="15" max="15" width="24" hidden="0" customWidth="1"/>
    <x:col min="16" max="16" width="43" hidden="0" customWidth="1"/>
  </x:cols>
  <x:sheetData>
    <x:row r="1" ht="28" customHeight="1">
      <x:c r="A1" s="525" t="str">
        <x:v>Commodity and Sector Accounting Diagnostics</x:v>
      </x:c>
      <x:c r="B1" s="525"/>
      <x:c r="C1" s="525"/>
      <x:c r="D1" s="525"/>
      <x:c r="E1" s="525"/>
      <x:c r="F1" s="525"/>
      <x:c r="G1" s="525"/>
      <x:c r="H1" s="525"/>
      <x:c r="I1" s="525"/>
      <x:c r="J1" s="525"/>
      <x:c r="K1" s="525"/>
      <x:c r="L1" s="525"/>
      <x:c r="M1" s="525"/>
      <x:c r="N1" s="525"/>
      <x:c r="O1" s="525"/>
      <x:c r="P1" s="525"/>
    </x:row>
    <x:row r="2" ht="42" customHeight="1">
      <x:c r="A2" s="528" t="str">
        <x:v>Only the oil-and-gas sector row contains an official accounting diagnostic. Commodity rows remain blank until compatible source data exist; blanks are missing evidence, not zero values.</x:v>
      </x:c>
      <x:c r="B2" s="528"/>
      <x:c r="C2" s="528"/>
      <x:c r="D2" s="528"/>
      <x:c r="E2" s="528"/>
      <x:c r="F2" s="528"/>
      <x:c r="G2" s="528"/>
      <x:c r="H2" s="528"/>
      <x:c r="I2" s="528"/>
      <x:c r="J2" s="528"/>
      <x:c r="K2" s="528"/>
      <x:c r="L2" s="528"/>
      <x:c r="M2" s="528"/>
      <x:c r="N2" s="528"/>
      <x:c r="O2" s="528"/>
      <x:c r="P2" s="528"/>
    </x:row>
    <x:row r="4" ht="40" customHeight="1">
      <x:c r="A4" s="538" t="str">
        <x:v>Diagnostic</x:v>
      </x:c>
      <x:c r="B4" s="539" t="str">
        <x:v>Production boundary</x:v>
      </x:c>
      <x:c r="C4" s="539" t="str">
        <x:v>Reference year</x:v>
      </x:c>
      <x:c r="D4" s="539" t="str">
        <x:v>Total assets ($B)</x:v>
      </x:c>
      <x:c r="E4" s="539" t="str">
        <x:v>Total revenue ($B)</x:v>
      </x:c>
      <x:c r="F4" s="539" t="str">
        <x:v>Total expenses and deductions ($B)</x:v>
      </x:c>
      <x:c r="G4" s="539" t="str">
        <x:v>Accounting net income ($B)</x:v>
      </x:c>
      <x:c r="H4" s="539" t="str">
        <x:v>Net-income margin</x:v>
      </x:c>
      <x:c r="I4" s="539" t="str">
        <x:v>Economic-rent adjustments identified ($B)</x:v>
      </x:c>
      <x:c r="J4" s="539" t="str">
        <x:v>Provisional economic rent ($B)</x:v>
      </x:c>
      <x:c r="K4" s="539" t="str">
        <x:v>Can enter rent bridge?</x:v>
      </x:c>
      <x:c r="L4" s="539" t="str">
        <x:v>Status</x:v>
      </x:c>
      <x:c r="M4" s="539" t="str">
        <x:v>Why it is not yet rent</x:v>
      </x:c>
      <x:c r="N4" s="539" t="str">
        <x:v>Next extraction required</x:v>
      </x:c>
      <x:c r="O4" s="539" t="str">
        <x:v>Evidence ruling</x:v>
      </x:c>
      <x:c r="P4" s="540" t="str">
        <x:v>Official source</x:v>
      </x:c>
    </x:row>
    <x:row r="5">
      <x:c r="A5" s="571" t="str">
        <x:v>Oil and gas extraction sector</x:v>
      </x:c>
      <x:c r="B5" s="572" t="str">
        <x:v>Canadian oil and gas extraction companies; does not separate conventional oil, bitumen, gas or downstream boundaries</x:v>
      </x:c>
      <x:c r="C5" s="573" t="n">
        <x:v>2024</x:v>
      </x:c>
      <x:c r="D5" s="574" t="n">
        <x:v>496.7633</x:v>
      </x:c>
      <x:c r="E5" s="574" t="n">
        <x:v>217.7567</x:v>
      </x:c>
      <x:c r="F5" s="574" t="n">
        <x:v>192.1405</x:v>
      </x:c>
      <x:c r="G5" s="574" t="n">
        <x:v>25.6161</x:v>
      </x:c>
      <x:c r="H5" s="575" t="n">
        <x:f>IF(E5=0,"",G5/E5)</x:f>
        <x:v>0.117636334496252</x:v>
      </x:c>
      <x:c r="I5" s="572" t="n">
        <x:v>0</x:v>
      </x:c>
      <x:c r="J5" s="572" t="n">
        <x:f>IF(I5=0,0,G5+I5)</x:f>
        <x:v>0</x:v>
      </x:c>
      <x:c r="K5" s="572" t="str">
        <x:v>No</x:v>
      </x:c>
      <x:c r="L5" s="572" t="str">
        <x:v>Official accounting diagnostic</x:v>
      </x:c>
      <x:c r="M5" s="572" t="str">
        <x:v>Expenses and deductions are not the rent-method categories. Royalties, taxes, interest, depletion/depreciation and the normal return on produced capital require separate treatment. The sector also combines commodities.</x:v>
      </x:c>
      <x:c r="N5" s="572" t="str">
        <x:v>Extract detailed expense components and split conventional oil, bitumen and natural gas using compatible production and cost data.</x:v>
      </x:c>
      <x:c r="O5" s="572" t="str">
        <x:v>No rent ruling</x:v>
      </x:c>
      <x:c r="P5" s="576" t="str">
        <x:v>Statistics Canada table 25-10-0065-01</x:v>
      </x:c>
    </x:row>
    <x:row r="6">
      <x:c r="A6" s="544" t="str">
        <x:v>Conventional crude oil</x:v>
      </x:c>
      <x:c r="B6" s="162" t="str">
        <x:v>Commodity boundary</x:v>
      </x:c>
      <x:c r="C6" s="171" t="n">
        <x:v>2024</x:v>
      </x:c>
      <x:c r="D6" s="561"/>
      <x:c r="E6" s="561"/>
      <x:c r="F6" s="561"/>
      <x:c r="G6" s="561"/>
      <x:c r="H6" s="398"/>
      <x:c r="I6" s="162"/>
      <x:c r="J6" s="162"/>
      <x:c r="K6" s="162" t="str">
        <x:v>No</x:v>
      </x:c>
      <x:c r="L6" s="162" t="str">
        <x:v>Data needed</x:v>
      </x:c>
      <x:c r="M6" s="162" t="str">
        <x:v>No commodity-specific accounting diagnostic entered.</x:v>
      </x:c>
      <x:c r="N6" s="162" t="str">
        <x:v>Production, price and cost allocation.</x:v>
      </x:c>
      <x:c r="O6" s="162" t="str">
        <x:v>No rent ruling</x:v>
      </x:c>
      <x:c r="P6" s="545" t="str">
        <x:v>Commodity_Data_Map</x:v>
      </x:c>
    </x:row>
    <x:row r="7">
      <x:c r="A7" s="544" t="str">
        <x:v>Crude bitumen</x:v>
      </x:c>
      <x:c r="B7" s="162" t="str">
        <x:v>Commodity boundary</x:v>
      </x:c>
      <x:c r="C7" s="171" t="n">
        <x:v>2024</x:v>
      </x:c>
      <x:c r="D7" s="561"/>
      <x:c r="E7" s="561"/>
      <x:c r="F7" s="561"/>
      <x:c r="G7" s="561"/>
      <x:c r="H7" s="398"/>
      <x:c r="I7" s="162"/>
      <x:c r="J7" s="162"/>
      <x:c r="K7" s="162" t="str">
        <x:v>No</x:v>
      </x:c>
      <x:c r="L7" s="162" t="str">
        <x:v>Data needed</x:v>
      </x:c>
      <x:c r="M7" s="162" t="str">
        <x:v>No commodity-specific accounting diagnostic entered.</x:v>
      </x:c>
      <x:c r="N7" s="162" t="str">
        <x:v>Extraction versus upgrading boundary and cost allocation.</x:v>
      </x:c>
      <x:c r="O7" s="162" t="str">
        <x:v>No rent ruling</x:v>
      </x:c>
      <x:c r="P7" s="545" t="str">
        <x:v>Commodity_Data_Map</x:v>
      </x:c>
    </x:row>
    <x:row r="8">
      <x:c r="A8" s="544" t="str">
        <x:v>Natural gas and NGLs</x:v>
      </x:c>
      <x:c r="B8" s="162" t="str">
        <x:v>Commodity boundary</x:v>
      </x:c>
      <x:c r="C8" s="171" t="n">
        <x:v>2024</x:v>
      </x:c>
      <x:c r="D8" s="561"/>
      <x:c r="E8" s="561"/>
      <x:c r="F8" s="561"/>
      <x:c r="G8" s="561"/>
      <x:c r="H8" s="398"/>
      <x:c r="I8" s="162"/>
      <x:c r="J8" s="162"/>
      <x:c r="K8" s="162" t="str">
        <x:v>No</x:v>
      </x:c>
      <x:c r="L8" s="162" t="str">
        <x:v>Data needed</x:v>
      </x:c>
      <x:c r="M8" s="162" t="str">
        <x:v>No commodity-specific accounting diagnostic entered.</x:v>
      </x:c>
      <x:c r="N8" s="162" t="str">
        <x:v>Separate extraction, processing and by-products.</x:v>
      </x:c>
      <x:c r="O8" s="162" t="str">
        <x:v>No rent ruling</x:v>
      </x:c>
      <x:c r="P8" s="545" t="str">
        <x:v>Commodity_Data_Map</x:v>
      </x:c>
    </x:row>
    <x:row r="9">
      <x:c r="A9" s="544" t="str">
        <x:v>Coal</x:v>
      </x:c>
      <x:c r="B9" s="162" t="str">
        <x:v>Commodity boundary</x:v>
      </x:c>
      <x:c r="C9" s="171" t="n">
        <x:v>2024</x:v>
      </x:c>
      <x:c r="D9" s="561"/>
      <x:c r="E9" s="561"/>
      <x:c r="F9" s="561"/>
      <x:c r="G9" s="561"/>
      <x:c r="H9" s="398"/>
      <x:c r="I9" s="162"/>
      <x:c r="J9" s="162"/>
      <x:c r="K9" s="162" t="str">
        <x:v>No</x:v>
      </x:c>
      <x:c r="L9" s="162" t="str">
        <x:v>Data needed</x:v>
      </x:c>
      <x:c r="M9" s="162" t="str">
        <x:v>No commodity-specific accounting diagnostic entered.</x:v>
      </x:c>
      <x:c r="N9" s="162" t="str">
        <x:v>Production and cost extraction.</x:v>
      </x:c>
      <x:c r="O9" s="162" t="str">
        <x:v>No rent ruling</x:v>
      </x:c>
      <x:c r="P9" s="545" t="str">
        <x:v>Commodity_Data_Map</x:v>
      </x:c>
    </x:row>
    <x:row r="10">
      <x:c r="A10" s="544" t="str">
        <x:v>Potash</x:v>
      </x:c>
      <x:c r="B10" s="162" t="str">
        <x:v>Commodity boundary</x:v>
      </x:c>
      <x:c r="C10" s="171" t="n">
        <x:v>2024</x:v>
      </x:c>
      <x:c r="D10" s="561"/>
      <x:c r="E10" s="561"/>
      <x:c r="F10" s="561"/>
      <x:c r="G10" s="561"/>
      <x:c r="H10" s="398"/>
      <x:c r="I10" s="162"/>
      <x:c r="J10" s="162"/>
      <x:c r="K10" s="162" t="str">
        <x:v>No</x:v>
      </x:c>
      <x:c r="L10" s="162" t="str">
        <x:v>Data needed</x:v>
      </x:c>
      <x:c r="M10" s="162" t="str">
        <x:v>Public capture is partly observed; economic rent is not.</x:v>
      </x:c>
      <x:c r="N10" s="162" t="str">
        <x:v>Sales, intermediate inputs, labour, depreciation and capital.</x:v>
      </x:c>
      <x:c r="O10" s="162" t="str">
        <x:v>No rent ruling</x:v>
      </x:c>
      <x:c r="P10" s="545" t="str">
        <x:v>Commodity_Data_Map</x:v>
      </x:c>
    </x:row>
    <x:row r="11">
      <x:c r="A11" s="544" t="str">
        <x:v>Gold</x:v>
      </x:c>
      <x:c r="B11" s="162" t="str">
        <x:v>Commodity boundary</x:v>
      </x:c>
      <x:c r="C11" s="171" t="n">
        <x:v>2024</x:v>
      </x:c>
      <x:c r="D11" s="561"/>
      <x:c r="E11" s="561"/>
      <x:c r="F11" s="561"/>
      <x:c r="G11" s="561"/>
      <x:c r="H11" s="398"/>
      <x:c r="I11" s="162"/>
      <x:c r="J11" s="162"/>
      <x:c r="K11" s="162" t="str">
        <x:v>No</x:v>
      </x:c>
      <x:c r="L11" s="162" t="str">
        <x:v>Data needed</x:v>
      </x:c>
      <x:c r="M11" s="162" t="str">
        <x:v>No commodity-specific accounting diagnostic entered.</x:v>
      </x:c>
      <x:c r="N11" s="162" t="str">
        <x:v>Mine extraction boundary and costs.</x:v>
      </x:c>
      <x:c r="O11" s="162" t="str">
        <x:v>No rent ruling</x:v>
      </x:c>
      <x:c r="P11" s="545" t="str">
        <x:v>Commodity_Data_Map</x:v>
      </x:c>
    </x:row>
    <x:row r="12">
      <x:c r="A12" s="544" t="str">
        <x:v>Iron</x:v>
      </x:c>
      <x:c r="B12" s="162" t="str">
        <x:v>Commodity boundary</x:v>
      </x:c>
      <x:c r="C12" s="171" t="n">
        <x:v>2024</x:v>
      </x:c>
      <x:c r="D12" s="561"/>
      <x:c r="E12" s="561"/>
      <x:c r="F12" s="561"/>
      <x:c r="G12" s="561"/>
      <x:c r="H12" s="398"/>
      <x:c r="I12" s="162"/>
      <x:c r="J12" s="162"/>
      <x:c r="K12" s="162" t="str">
        <x:v>No</x:v>
      </x:c>
      <x:c r="L12" s="162" t="str">
        <x:v>Data needed</x:v>
      </x:c>
      <x:c r="M12" s="162" t="str">
        <x:v>No commodity-specific accounting diagnostic entered.</x:v>
      </x:c>
      <x:c r="N12" s="162" t="str">
        <x:v>Mine extraction and concentration costs.</x:v>
      </x:c>
      <x:c r="O12" s="162" t="str">
        <x:v>No rent ruling</x:v>
      </x:c>
      <x:c r="P12" s="545" t="str">
        <x:v>Commodity_Data_Map</x:v>
      </x:c>
    </x:row>
    <x:row r="13">
      <x:c r="A13" s="544" t="str">
        <x:v>Other metallic minerals</x:v>
      </x:c>
      <x:c r="B13" s="162" t="str">
        <x:v>Control category</x:v>
      </x:c>
      <x:c r="C13" s="171" t="n">
        <x:v>2024</x:v>
      </x:c>
      <x:c r="D13" s="561"/>
      <x:c r="E13" s="561"/>
      <x:c r="F13" s="561"/>
      <x:c r="G13" s="561"/>
      <x:c r="H13" s="398"/>
      <x:c r="I13" s="162"/>
      <x:c r="J13" s="162"/>
      <x:c r="K13" s="162" t="str">
        <x:v>No</x:v>
      </x:c>
      <x:c r="L13" s="162" t="str">
        <x:v>Data needed</x:v>
      </x:c>
      <x:c r="M13" s="162" t="str">
        <x:v>Must remain compatible with the official miscellaneous-minerals control.</x:v>
      </x:c>
      <x:c r="N13" s="162" t="str">
        <x:v>Commodity allocation with no diagnostic double count.</x:v>
      </x:c>
      <x:c r="O13" s="162" t="str">
        <x:v>No rent ruling</x:v>
      </x:c>
      <x:c r="P13" s="545" t="str">
        <x:v>Commodity_Data_Map</x:v>
      </x:c>
    </x:row>
    <x:row r="14">
      <x:c r="A14" s="544" t="str">
        <x:v>Uranium diagnostic</x:v>
      </x:c>
      <x:c r="B14" s="162" t="str">
        <x:v>Diagnostic within other metallic minerals</x:v>
      </x:c>
      <x:c r="C14" s="171" t="n">
        <x:v>2024</x:v>
      </x:c>
      <x:c r="D14" s="561"/>
      <x:c r="E14" s="561"/>
      <x:c r="F14" s="561"/>
      <x:c r="G14" s="561"/>
      <x:c r="H14" s="398"/>
      <x:c r="I14" s="162"/>
      <x:c r="J14" s="162"/>
      <x:c r="K14" s="162" t="str">
        <x:v>No</x:v>
      </x:c>
      <x:c r="L14" s="162" t="str">
        <x:v>Data needed</x:v>
      </x:c>
      <x:c r="M14" s="162" t="str">
        <x:v>Cannot be added to the control category unless removed from it.</x:v>
      </x:c>
      <x:c r="N14" s="162" t="str">
        <x:v>Saskatchewan production/cost detail.</x:v>
      </x:c>
      <x:c r="O14" s="162" t="str">
        <x:v>No rent ruling</x:v>
      </x:c>
      <x:c r="P14" s="545" t="str">
        <x:v>Commodity_Data_Map</x:v>
      </x:c>
    </x:row>
    <x:row r="15">
      <x:c r="A15" s="544" t="str">
        <x:v>Diamonds diagnostic</x:v>
      </x:c>
      <x:c r="B15" s="162" t="str">
        <x:v>Diagnostic within other metallic minerals</x:v>
      </x:c>
      <x:c r="C15" s="171" t="n">
        <x:v>2024</x:v>
      </x:c>
      <x:c r="D15" s="561"/>
      <x:c r="E15" s="561"/>
      <x:c r="F15" s="561"/>
      <x:c r="G15" s="561"/>
      <x:c r="H15" s="398"/>
      <x:c r="I15" s="162"/>
      <x:c r="J15" s="162"/>
      <x:c r="K15" s="162" t="str">
        <x:v>No</x:v>
      </x:c>
      <x:c r="L15" s="162" t="str">
        <x:v>Data needed</x:v>
      </x:c>
      <x:c r="M15" s="162" t="str">
        <x:v>Cannot be added to the control category unless removed from it.</x:v>
      </x:c>
      <x:c r="N15" s="162" t="str">
        <x:v>NWT production/cost detail.</x:v>
      </x:c>
      <x:c r="O15" s="162" t="str">
        <x:v>No rent ruling</x:v>
      </x:c>
      <x:c r="P15" s="545" t="str">
        <x:v>Commodity_Data_Map</x:v>
      </x:c>
    </x:row>
    <x:row r="16">
      <x:c r="A16" s="546" t="str">
        <x:v>Timber</x:v>
      </x:c>
      <x:c r="B16" s="547" t="str">
        <x:v>Standing timber and harvest rent</x:v>
      </x:c>
      <x:c r="C16" s="553" t="n">
        <x:v>2024</x:v>
      </x:c>
      <x:c r="D16" s="562"/>
      <x:c r="E16" s="562"/>
      <x:c r="F16" s="562"/>
      <x:c r="G16" s="562"/>
      <x:c r="H16" s="564"/>
      <x:c r="I16" s="547"/>
      <x:c r="J16" s="547"/>
      <x:c r="K16" s="547" t="str">
        <x:v>No</x:v>
      </x:c>
      <x:c r="L16" s="547" t="str">
        <x:v>Data needed</x:v>
      </x:c>
      <x:c r="M16" s="547" t="str">
        <x:v>Forestry manufacturing profit is not standing-timber rent.</x:v>
      </x:c>
      <x:c r="N16" s="547" t="str">
        <x:v>Harvest revenue, accessible stock, costs and sustainable yield.</x:v>
      </x:c>
      <x:c r="O16" s="547" t="str">
        <x:v>No rent ruling</x:v>
      </x:c>
      <x:c r="P16" s="548" t="str">
        <x:v>Commodity_Data_Map</x:v>
      </x:c>
    </x:row>
  </x:sheetData>
  <x:mergeCells>
    <x:mergeCell ref="A1:P1"/>
    <x:mergeCell ref="A2:P2"/>
  </x:mergeCells>
  <x:dataValidations count="1">
    <x:dataValidation type="list" sqref="L5:L16">
      <x:formula1>"Official accounting diagnostic,Data needed,Partial,Verified rent"</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5" hidden="0" customWidth="1"/>
    <x:col min="2" max="2" width="16" hidden="0" customWidth="1"/>
    <x:col min="3" max="3" width="13" hidden="0" customWidth="1"/>
    <x:col min="4" max="4" width="15" hidden="0" customWidth="1"/>
    <x:col min="5" max="5" width="15" hidden="0" customWidth="1"/>
    <x:col min="6" max="6" width="15" hidden="0" customWidth="1"/>
    <x:col min="7" max="7" width="14" hidden="0" customWidth="1"/>
    <x:col min="8" max="8" width="12" hidden="0" customWidth="1"/>
    <x:col min="9" max="9" width="12" hidden="0" customWidth="1"/>
    <x:col min="10" max="10" width="15" hidden="0" customWidth="1"/>
    <x:col min="11" max="11" width="12" hidden="0" customWidth="1"/>
    <x:col min="12" max="12" width="12" hidden="0" customWidth="1"/>
    <x:col min="13" max="13" width="18" hidden="0" customWidth="1"/>
    <x:col min="14" max="14" width="43" hidden="0" customWidth="1"/>
  </x:cols>
  <x:sheetData>
    <x:row r="1" ht="28" customHeight="1">
      <x:c r="A1" s="594" t="str">
        <x:v>CGFS 2024 — Receipt-Validated Imported Observations</x:v>
      </x:c>
      <x:c r="B1" s="594"/>
      <x:c r="C1" s="594"/>
      <x:c r="D1" s="594"/>
      <x:c r="E1" s="594"/>
      <x:c r="F1" s="594"/>
      <x:c r="G1" s="594"/>
      <x:c r="H1" s="594"/>
      <x:c r="I1" s="594"/>
      <x:c r="J1" s="594"/>
      <x:c r="K1" s="594"/>
      <x:c r="L1" s="594"/>
      <x:c r="M1" s="594"/>
      <x:c r="N1" s="594"/>
    </x:row>
    <x:row r="2" ht="38" customHeight="1">
      <x:c r="A2" s="597" t="str">
        <x:v>All 28 observations passed vector, product, reference-year, status, security and scalar validation. Every observation carries Statistics Canada symbol 'p' and remains preliminary.</x:v>
      </x:c>
      <x:c r="B2" s="597"/>
      <x:c r="C2" s="597"/>
      <x:c r="D2" s="597"/>
      <x:c r="E2" s="597"/>
      <x:c r="F2" s="597"/>
      <x:c r="G2" s="597"/>
      <x:c r="H2" s="597"/>
      <x:c r="I2" s="597"/>
      <x:c r="J2" s="597"/>
      <x:c r="K2" s="597"/>
      <x:c r="L2" s="597"/>
      <x:c r="M2" s="597"/>
      <x:c r="N2" s="597"/>
    </x:row>
    <x:row r="4" ht="36" customHeight="1">
      <x:c r="A4" s="609" t="str">
        <x:v>Jurisdiction</x:v>
      </x:c>
      <x:c r="B4" s="610" t="str">
        <x:v>Measure</x:v>
      </x:c>
      <x:c r="C4" s="610" t="str">
        <x:v>Product ID</x:v>
      </x:c>
      <x:c r="D4" s="610" t="str">
        <x:v>Vector ID</x:v>
      </x:c>
      <x:c r="E4" s="610" t="str">
        <x:v>Coordinate</x:v>
      </x:c>
      <x:c r="F4" s="610" t="str">
        <x:v>Reference period</x:v>
      </x:c>
      <x:c r="G4" s="610" t="str">
        <x:v>Raw value</x:v>
      </x:c>
      <x:c r="H4" s="610" t="str">
        <x:v>Scalar code</x:v>
      </x:c>
      <x:c r="I4" s="610" t="str">
        <x:v>Decimals</x:v>
      </x:c>
      <x:c r="J4" s="610" t="str">
        <x:v>Value ($B)</x:v>
      </x:c>
      <x:c r="K4" s="610" t="str">
        <x:v>Symbol</x:v>
      </x:c>
      <x:c r="L4" s="610" t="str">
        <x:v>Status code</x:v>
      </x:c>
      <x:c r="M4" s="610" t="str">
        <x:v>Source method</x:v>
      </x:c>
      <x:c r="N4" s="611" t="str">
        <x:v>Source URL</x:v>
      </x:c>
    </x:row>
    <x:row r="5">
      <x:c r="A5" s="628" t="str">
        <x:v>Alberta</x:v>
      </x:c>
      <x:c r="B5" s="629" t="str">
        <x:v>property_tax</x:v>
      </x:c>
      <x:c r="C5" s="629" t="n">
        <x:v>10100017</x:v>
      </x:c>
      <x:c r="D5" s="629" t="str">
        <x:v>v91577186</x:v>
      </x:c>
      <x:c r="E5" s="629" t="str">
        <x:v>9.1.2.10</x:v>
      </x:c>
      <x:c r="F5" s="629" t="str">
        <x:v>2024</x:v>
      </x:c>
      <x:c r="G5" s="638" t="n">
        <x:v>2649</x:v>
      </x:c>
      <x:c r="H5" s="636" t="n">
        <x:v>6</x:v>
      </x:c>
      <x:c r="I5" s="636" t="n">
        <x:v>0</x:v>
      </x:c>
      <x:c r="J5" s="640" t="n">
        <x:v>2.649</x:v>
      </x:c>
      <x:c r="K5" s="629" t="str">
        <x:v>p</x:v>
      </x:c>
      <x:c r="L5" s="629" t="n">
        <x:v>0</x:v>
      </x:c>
      <x:c r="M5" s="629" t="str">
        <x:v>full_table_csv</x:v>
      </x:c>
      <x:c r="N5" s="630" t="str">
        <x:v>https://www150.statcan.gc.ca/n1/tbl/csv/10100017-eng.zip</x:v>
      </x:c>
    </x:row>
    <x:row r="6">
      <x:c r="A6" s="631" t="str">
        <x:v>Alberta</x:v>
      </x:c>
      <x:c r="B6" s="162" t="str">
        <x:v>rent</x:v>
      </x:c>
      <x:c r="C6" s="162" t="n">
        <x:v>10100017</x:v>
      </x:c>
      <x:c r="D6" s="162" t="str">
        <x:v>v91577215</x:v>
      </x:c>
      <x:c r="E6" s="162" t="str">
        <x:v>9.1.2.39</x:v>
      </x:c>
      <x:c r="F6" s="162" t="str">
        <x:v>2024</x:v>
      </x:c>
      <x:c r="G6" s="486" t="n">
        <x:v>22791</x:v>
      </x:c>
      <x:c r="H6" s="171" t="n">
        <x:v>6</x:v>
      </x:c>
      <x:c r="I6" s="171" t="n">
        <x:v>0</x:v>
      </x:c>
      <x:c r="J6" s="232" t="n">
        <x:v>22.791</x:v>
      </x:c>
      <x:c r="K6" s="162" t="str">
        <x:v>p</x:v>
      </x:c>
      <x:c r="L6" s="162" t="n">
        <x:v>0</x:v>
      </x:c>
      <x:c r="M6" s="162" t="str">
        <x:v>full_table_csv</x:v>
      </x:c>
      <x:c r="N6" s="632" t="str">
        <x:v>https://www150.statcan.gc.ca/n1/tbl/csv/10100017-eng.zip</x:v>
      </x:c>
    </x:row>
    <x:row r="7">
      <x:c r="A7" s="631" t="str">
        <x:v>British Columbia</x:v>
      </x:c>
      <x:c r="B7" s="162" t="str">
        <x:v>property_tax</x:v>
      </x:c>
      <x:c r="C7" s="162" t="n">
        <x:v>10100017</x:v>
      </x:c>
      <x:c r="D7" s="162" t="str">
        <x:v>v91577448</x:v>
      </x:c>
      <x:c r="E7" s="162" t="str">
        <x:v>10.1.2.10</x:v>
      </x:c>
      <x:c r="F7" s="162" t="str">
        <x:v>2024</x:v>
      </x:c>
      <x:c r="G7" s="486" t="n">
        <x:v>5871</x:v>
      </x:c>
      <x:c r="H7" s="171" t="n">
        <x:v>6</x:v>
      </x:c>
      <x:c r="I7" s="171" t="n">
        <x:v>0</x:v>
      </x:c>
      <x:c r="J7" s="232" t="n">
        <x:v>5.871</x:v>
      </x:c>
      <x:c r="K7" s="162" t="str">
        <x:v>p</x:v>
      </x:c>
      <x:c r="L7" s="162" t="n">
        <x:v>0</x:v>
      </x:c>
      <x:c r="M7" s="162" t="str">
        <x:v>full_table_csv</x:v>
      </x:c>
      <x:c r="N7" s="632" t="str">
        <x:v>https://www150.statcan.gc.ca/n1/tbl/csv/10100017-eng.zip</x:v>
      </x:c>
    </x:row>
    <x:row r="8">
      <x:c r="A8" s="631" t="str">
        <x:v>British Columbia</x:v>
      </x:c>
      <x:c r="B8" s="162" t="str">
        <x:v>rent</x:v>
      </x:c>
      <x:c r="C8" s="162" t="n">
        <x:v>10100017</x:v>
      </x:c>
      <x:c r="D8" s="162" t="str">
        <x:v>v91577477</x:v>
      </x:c>
      <x:c r="E8" s="162" t="str">
        <x:v>10.1.2.39</x:v>
      </x:c>
      <x:c r="F8" s="162" t="str">
        <x:v>2024</x:v>
      </x:c>
      <x:c r="G8" s="486" t="n">
        <x:v>1869</x:v>
      </x:c>
      <x:c r="H8" s="171" t="n">
        <x:v>6</x:v>
      </x:c>
      <x:c r="I8" s="171" t="n">
        <x:v>0</x:v>
      </x:c>
      <x:c r="J8" s="232" t="n">
        <x:v>1.869</x:v>
      </x:c>
      <x:c r="K8" s="162" t="str">
        <x:v>p</x:v>
      </x:c>
      <x:c r="L8" s="162" t="n">
        <x:v>0</x:v>
      </x:c>
      <x:c r="M8" s="162" t="str">
        <x:v>full_table_csv</x:v>
      </x:c>
      <x:c r="N8" s="632" t="str">
        <x:v>https://www150.statcan.gc.ca/n1/tbl/csv/10100017-eng.zip</x:v>
      </x:c>
    </x:row>
    <x:row r="9">
      <x:c r="A9" s="631" t="str">
        <x:v>Federal government</x:v>
      </x:c>
      <x:c r="B9" s="162" t="str">
        <x:v>property_tax</x:v>
      </x:c>
      <x:c r="C9" s="162" t="n">
        <x:v>10100016</x:v>
      </x:c>
      <x:c r="D9" s="162" t="str">
        <x:v>v91574742</x:v>
      </x:c>
      <x:c r="E9" s="162" t="str">
        <x:v>1.1.2.9</x:v>
      </x:c>
      <x:c r="F9" s="162" t="str">
        <x:v>2024</x:v>
      </x:c>
      <x:c r="G9" s="486" t="n">
        <x:v>62</x:v>
      </x:c>
      <x:c r="H9" s="171" t="n">
        <x:v>6</x:v>
      </x:c>
      <x:c r="I9" s="171" t="n">
        <x:v>0</x:v>
      </x:c>
      <x:c r="J9" s="232" t="n">
        <x:v>0.062</x:v>
      </x:c>
      <x:c r="K9" s="162" t="str">
        <x:v>p</x:v>
      </x:c>
      <x:c r="L9" s="162" t="n">
        <x:v>0</x:v>
      </x:c>
      <x:c r="M9" s="162" t="str">
        <x:v>full_table_csv</x:v>
      </x:c>
      <x:c r="N9" s="632" t="str">
        <x:v>https://www150.statcan.gc.ca/n1/tbl/csv/10100016-eng.zip</x:v>
      </x:c>
    </x:row>
    <x:row r="10">
      <x:c r="A10" s="631" t="str">
        <x:v>Federal government</x:v>
      </x:c>
      <x:c r="B10" s="162" t="str">
        <x:v>rent</x:v>
      </x:c>
      <x:c r="C10" s="162" t="n">
        <x:v>10100016</x:v>
      </x:c>
      <x:c r="D10" s="162" t="str">
        <x:v>v91574770</x:v>
      </x:c>
      <x:c r="E10" s="162" t="str">
        <x:v>1.1.2.37</x:v>
      </x:c>
      <x:c r="F10" s="162" t="str">
        <x:v>2024</x:v>
      </x:c>
      <x:c r="G10" s="486" t="n">
        <x:v>758</x:v>
      </x:c>
      <x:c r="H10" s="171" t="n">
        <x:v>6</x:v>
      </x:c>
      <x:c r="I10" s="171" t="n">
        <x:v>0</x:v>
      </x:c>
      <x:c r="J10" s="232" t="n">
        <x:v>0.758</x:v>
      </x:c>
      <x:c r="K10" s="162" t="str">
        <x:v>p</x:v>
      </x:c>
      <x:c r="L10" s="162" t="n">
        <x:v>0</x:v>
      </x:c>
      <x:c r="M10" s="162" t="str">
        <x:v>full_table_csv</x:v>
      </x:c>
      <x:c r="N10" s="632" t="str">
        <x:v>https://www150.statcan.gc.ca/n1/tbl/csv/10100016-eng.zip</x:v>
      </x:c>
    </x:row>
    <x:row r="11">
      <x:c r="A11" s="631" t="str">
        <x:v>Manitoba</x:v>
      </x:c>
      <x:c r="B11" s="162" t="str">
        <x:v>property_tax</x:v>
      </x:c>
      <x:c r="C11" s="162" t="n">
        <x:v>10100017</x:v>
      </x:c>
      <x:c r="D11" s="162" t="str">
        <x:v>v91576662</x:v>
      </x:c>
      <x:c r="E11" s="162" t="str">
        <x:v>7.1.2.10</x:v>
      </x:c>
      <x:c r="F11" s="162" t="str">
        <x:v>2024</x:v>
      </x:c>
      <x:c r="G11" s="486" t="n">
        <x:v>554</x:v>
      </x:c>
      <x:c r="H11" s="171" t="n">
        <x:v>6</x:v>
      </x:c>
      <x:c r="I11" s="171" t="n">
        <x:v>0</x:v>
      </x:c>
      <x:c r="J11" s="232" t="n">
        <x:v>0.554</x:v>
      </x:c>
      <x:c r="K11" s="162" t="str">
        <x:v>p</x:v>
      </x:c>
      <x:c r="L11" s="162" t="n">
        <x:v>0</x:v>
      </x:c>
      <x:c r="M11" s="162" t="str">
        <x:v>full_table_csv</x:v>
      </x:c>
      <x:c r="N11" s="632" t="str">
        <x:v>https://www150.statcan.gc.ca/n1/tbl/csv/10100017-eng.zip</x:v>
      </x:c>
    </x:row>
    <x:row r="12">
      <x:c r="A12" s="631" t="str">
        <x:v>Manitoba</x:v>
      </x:c>
      <x:c r="B12" s="162" t="str">
        <x:v>rent</x:v>
      </x:c>
      <x:c r="C12" s="162" t="n">
        <x:v>10100017</x:v>
      </x:c>
      <x:c r="D12" s="162" t="str">
        <x:v>v91576691</x:v>
      </x:c>
      <x:c r="E12" s="162" t="str">
        <x:v>7.1.2.39</x:v>
      </x:c>
      <x:c r="F12" s="162" t="str">
        <x:v>2024</x:v>
      </x:c>
      <x:c r="G12" s="486" t="n">
        <x:v>83</x:v>
      </x:c>
      <x:c r="H12" s="171" t="n">
        <x:v>6</x:v>
      </x:c>
      <x:c r="I12" s="171" t="n">
        <x:v>0</x:v>
      </x:c>
      <x:c r="J12" s="232" t="n">
        <x:v>0.083</x:v>
      </x:c>
      <x:c r="K12" s="162" t="str">
        <x:v>p</x:v>
      </x:c>
      <x:c r="L12" s="162" t="n">
        <x:v>0</x:v>
      </x:c>
      <x:c r="M12" s="162" t="str">
        <x:v>full_table_csv</x:v>
      </x:c>
      <x:c r="N12" s="632" t="str">
        <x:v>https://www150.statcan.gc.ca/n1/tbl/csv/10100017-eng.zip</x:v>
      </x:c>
    </x:row>
    <x:row r="13">
      <x:c r="A13" s="631" t="str">
        <x:v>New Brunswick</x:v>
      </x:c>
      <x:c r="B13" s="162" t="str">
        <x:v>property_tax</x:v>
      </x:c>
      <x:c r="C13" s="162" t="n">
        <x:v>10100017</x:v>
      </x:c>
      <x:c r="D13" s="162" t="str">
        <x:v>v91575876</x:v>
      </x:c>
      <x:c r="E13" s="162" t="str">
        <x:v>4.1.2.10</x:v>
      </x:c>
      <x:c r="F13" s="162" t="str">
        <x:v>2024</x:v>
      </x:c>
      <x:c r="G13" s="486" t="n">
        <x:v>604</x:v>
      </x:c>
      <x:c r="H13" s="171" t="n">
        <x:v>6</x:v>
      </x:c>
      <x:c r="I13" s="171" t="n">
        <x:v>0</x:v>
      </x:c>
      <x:c r="J13" s="232" t="n">
        <x:v>0.604</x:v>
      </x:c>
      <x:c r="K13" s="162" t="str">
        <x:v>p</x:v>
      </x:c>
      <x:c r="L13" s="162" t="n">
        <x:v>0</x:v>
      </x:c>
      <x:c r="M13" s="162" t="str">
        <x:v>full_table_csv</x:v>
      </x:c>
      <x:c r="N13" s="632" t="str">
        <x:v>https://www150.statcan.gc.ca/n1/tbl/csv/10100017-eng.zip</x:v>
      </x:c>
    </x:row>
    <x:row r="14">
      <x:c r="A14" s="631" t="str">
        <x:v>New Brunswick</x:v>
      </x:c>
      <x:c r="B14" s="162" t="str">
        <x:v>rent</x:v>
      </x:c>
      <x:c r="C14" s="162" t="n">
        <x:v>10100017</x:v>
      </x:c>
      <x:c r="D14" s="162" t="str">
        <x:v>v91575905</x:v>
      </x:c>
      <x:c r="E14" s="162" t="str">
        <x:v>4.1.2.39</x:v>
      </x:c>
      <x:c r="F14" s="162" t="str">
        <x:v>2024</x:v>
      </x:c>
      <x:c r="G14" s="486" t="n">
        <x:v>83</x:v>
      </x:c>
      <x:c r="H14" s="171" t="n">
        <x:v>6</x:v>
      </x:c>
      <x:c r="I14" s="171" t="n">
        <x:v>0</x:v>
      </x:c>
      <x:c r="J14" s="232" t="n">
        <x:v>0.083</x:v>
      </x:c>
      <x:c r="K14" s="162" t="str">
        <x:v>p</x:v>
      </x:c>
      <x:c r="L14" s="162" t="n">
        <x:v>0</x:v>
      </x:c>
      <x:c r="M14" s="162" t="str">
        <x:v>full_table_csv</x:v>
      </x:c>
      <x:c r="N14" s="632" t="str">
        <x:v>https://www150.statcan.gc.ca/n1/tbl/csv/10100017-eng.zip</x:v>
      </x:c>
    </x:row>
    <x:row r="15">
      <x:c r="A15" s="631" t="str">
        <x:v>Newfoundland and Labrador</x:v>
      </x:c>
      <x:c r="B15" s="162" t="str">
        <x:v>property_tax</x:v>
      </x:c>
      <x:c r="C15" s="162" t="n">
        <x:v>10100017</x:v>
      </x:c>
      <x:c r="D15" s="162" t="str">
        <x:v>v91575090</x:v>
      </x:c>
      <x:c r="E15" s="162" t="str">
        <x:v>1.1.2.10</x:v>
      </x:c>
      <x:c r="F15" s="162" t="str">
        <x:v>2024</x:v>
      </x:c>
      <x:c r="G15" s="486" t="n">
        <x:v>41</x:v>
      </x:c>
      <x:c r="H15" s="171" t="n">
        <x:v>6</x:v>
      </x:c>
      <x:c r="I15" s="171" t="n">
        <x:v>0</x:v>
      </x:c>
      <x:c r="J15" s="232" t="n">
        <x:v>0.041</x:v>
      </x:c>
      <x:c r="K15" s="162" t="str">
        <x:v>p</x:v>
      </x:c>
      <x:c r="L15" s="162" t="n">
        <x:v>0</x:v>
      </x:c>
      <x:c r="M15" s="162" t="str">
        <x:v>full_table_csv</x:v>
      </x:c>
      <x:c r="N15" s="632" t="str">
        <x:v>https://www150.statcan.gc.ca/n1/tbl/csv/10100017-eng.zip</x:v>
      </x:c>
    </x:row>
    <x:row r="16">
      <x:c r="A16" s="631" t="str">
        <x:v>Newfoundland and Labrador</x:v>
      </x:c>
      <x:c r="B16" s="162" t="str">
        <x:v>rent</x:v>
      </x:c>
      <x:c r="C16" s="162" t="n">
        <x:v>10100017</x:v>
      </x:c>
      <x:c r="D16" s="162" t="str">
        <x:v>v91575119</x:v>
      </x:c>
      <x:c r="E16" s="162" t="str">
        <x:v>1.1.2.39</x:v>
      </x:c>
      <x:c r="F16" s="162" t="str">
        <x:v>2024</x:v>
      </x:c>
      <x:c r="G16" s="486" t="n">
        <x:v>1009</x:v>
      </x:c>
      <x:c r="H16" s="171" t="n">
        <x:v>6</x:v>
      </x:c>
      <x:c r="I16" s="171" t="n">
        <x:v>0</x:v>
      </x:c>
      <x:c r="J16" s="232" t="n">
        <x:v>1.009</x:v>
      </x:c>
      <x:c r="K16" s="162" t="str">
        <x:v>p</x:v>
      </x:c>
      <x:c r="L16" s="162" t="n">
        <x:v>0</x:v>
      </x:c>
      <x:c r="M16" s="162" t="str">
        <x:v>full_table_csv</x:v>
      </x:c>
      <x:c r="N16" s="632" t="str">
        <x:v>https://www150.statcan.gc.ca/n1/tbl/csv/10100017-eng.zip</x:v>
      </x:c>
    </x:row>
    <x:row r="17">
      <x:c r="A17" s="631" t="str">
        <x:v>Northwest Territories</x:v>
      </x:c>
      <x:c r="B17" s="162" t="str">
        <x:v>property_tax</x:v>
      </x:c>
      <x:c r="C17" s="162" t="n">
        <x:v>10100017</x:v>
      </x:c>
      <x:c r="D17" s="162" t="str">
        <x:v>v91577972</x:v>
      </x:c>
      <x:c r="E17" s="162" t="str">
        <x:v>12.1.2.10</x:v>
      </x:c>
      <x:c r="F17" s="162" t="str">
        <x:v>2024</x:v>
      </x:c>
      <x:c r="G17" s="486" t="n">
        <x:v>27</x:v>
      </x:c>
      <x:c r="H17" s="171" t="n">
        <x:v>6</x:v>
      </x:c>
      <x:c r="I17" s="171" t="n">
        <x:v>0</x:v>
      </x:c>
      <x:c r="J17" s="232" t="n">
        <x:v>0.027</x:v>
      </x:c>
      <x:c r="K17" s="162" t="str">
        <x:v>p</x:v>
      </x:c>
      <x:c r="L17" s="162" t="n">
        <x:v>0</x:v>
      </x:c>
      <x:c r="M17" s="162" t="str">
        <x:v>full_table_csv</x:v>
      </x:c>
      <x:c r="N17" s="632" t="str">
        <x:v>https://www150.statcan.gc.ca/n1/tbl/csv/10100017-eng.zip</x:v>
      </x:c>
    </x:row>
    <x:row r="18">
      <x:c r="A18" s="631" t="str">
        <x:v>Northwest Territories</x:v>
      </x:c>
      <x:c r="B18" s="162" t="str">
        <x:v>rent</x:v>
      </x:c>
      <x:c r="C18" s="162" t="n">
        <x:v>10100017</x:v>
      </x:c>
      <x:c r="D18" s="162" t="str">
        <x:v>v91578001</x:v>
      </x:c>
      <x:c r="E18" s="162" t="str">
        <x:v>12.1.2.39</x:v>
      </x:c>
      <x:c r="F18" s="162" t="str">
        <x:v>2024</x:v>
      </x:c>
      <x:c r="G18" s="486" t="n">
        <x:v>9</x:v>
      </x:c>
      <x:c r="H18" s="171" t="n">
        <x:v>6</x:v>
      </x:c>
      <x:c r="I18" s="171" t="n">
        <x:v>0</x:v>
      </x:c>
      <x:c r="J18" s="232" t="n">
        <x:v>0.009</x:v>
      </x:c>
      <x:c r="K18" s="162" t="str">
        <x:v>p</x:v>
      </x:c>
      <x:c r="L18" s="162" t="n">
        <x:v>0</x:v>
      </x:c>
      <x:c r="M18" s="162" t="str">
        <x:v>full_table_csv</x:v>
      </x:c>
      <x:c r="N18" s="632" t="str">
        <x:v>https://www150.statcan.gc.ca/n1/tbl/csv/10100017-eng.zip</x:v>
      </x:c>
    </x:row>
    <x:row r="19">
      <x:c r="A19" s="631" t="str">
        <x:v>Nova Scotia</x:v>
      </x:c>
      <x:c r="B19" s="162" t="str">
        <x:v>property_tax</x:v>
      </x:c>
      <x:c r="C19" s="162" t="n">
        <x:v>10100017</x:v>
      </x:c>
      <x:c r="D19" s="162" t="str">
        <x:v>v91575614</x:v>
      </x:c>
      <x:c r="E19" s="162" t="str">
        <x:v>3.1.2.10</x:v>
      </x:c>
      <x:c r="F19" s="162" t="str">
        <x:v>2024</x:v>
      </x:c>
      <x:c r="G19" s="486" t="n">
        <x:v>115</x:v>
      </x:c>
      <x:c r="H19" s="171" t="n">
        <x:v>6</x:v>
      </x:c>
      <x:c r="I19" s="171" t="n">
        <x:v>0</x:v>
      </x:c>
      <x:c r="J19" s="232" t="n">
        <x:v>0.115</x:v>
      </x:c>
      <x:c r="K19" s="162" t="str">
        <x:v>p</x:v>
      </x:c>
      <x:c r="L19" s="162" t="n">
        <x:v>0</x:v>
      </x:c>
      <x:c r="M19" s="162" t="str">
        <x:v>full_table_csv</x:v>
      </x:c>
      <x:c r="N19" s="632" t="str">
        <x:v>https://www150.statcan.gc.ca/n1/tbl/csv/10100017-eng.zip</x:v>
      </x:c>
    </x:row>
    <x:row r="20">
      <x:c r="A20" s="631" t="str">
        <x:v>Nova Scotia</x:v>
      </x:c>
      <x:c r="B20" s="162" t="str">
        <x:v>rent</x:v>
      </x:c>
      <x:c r="C20" s="162" t="n">
        <x:v>10100017</x:v>
      </x:c>
      <x:c r="D20" s="162" t="str">
        <x:v>v91575643</x:v>
      </x:c>
      <x:c r="E20" s="162" t="str">
        <x:v>3.1.2.39</x:v>
      </x:c>
      <x:c r="F20" s="162" t="str">
        <x:v>2024</x:v>
      </x:c>
      <x:c r="G20" s="486" t="n">
        <x:v>13</x:v>
      </x:c>
      <x:c r="H20" s="171" t="n">
        <x:v>6</x:v>
      </x:c>
      <x:c r="I20" s="171" t="n">
        <x:v>0</x:v>
      </x:c>
      <x:c r="J20" s="232" t="n">
        <x:v>0.013</x:v>
      </x:c>
      <x:c r="K20" s="162" t="str">
        <x:v>p</x:v>
      </x:c>
      <x:c r="L20" s="162" t="n">
        <x:v>0</x:v>
      </x:c>
      <x:c r="M20" s="162" t="str">
        <x:v>full_table_csv</x:v>
      </x:c>
      <x:c r="N20" s="632" t="str">
        <x:v>https://www150.statcan.gc.ca/n1/tbl/csv/10100017-eng.zip</x:v>
      </x:c>
    </x:row>
    <x:row r="21">
      <x:c r="A21" s="631" t="str">
        <x:v>Nunavut</x:v>
      </x:c>
      <x:c r="B21" s="162" t="str">
        <x:v>property_tax</x:v>
      </x:c>
      <x:c r="C21" s="162" t="n">
        <x:v>10100017</x:v>
      </x:c>
      <x:c r="D21" s="162" t="str">
        <x:v>v91578234</x:v>
      </x:c>
      <x:c r="E21" s="162" t="str">
        <x:v>13.1.2.10</x:v>
      </x:c>
      <x:c r="F21" s="162" t="str">
        <x:v>2024</x:v>
      </x:c>
      <x:c r="G21" s="486" t="n">
        <x:v>16</x:v>
      </x:c>
      <x:c r="H21" s="171" t="n">
        <x:v>6</x:v>
      </x:c>
      <x:c r="I21" s="171" t="n">
        <x:v>0</x:v>
      </x:c>
      <x:c r="J21" s="232" t="n">
        <x:v>0.016</x:v>
      </x:c>
      <x:c r="K21" s="162" t="str">
        <x:v>p</x:v>
      </x:c>
      <x:c r="L21" s="162" t="n">
        <x:v>0</x:v>
      </x:c>
      <x:c r="M21" s="162" t="str">
        <x:v>full_table_csv</x:v>
      </x:c>
      <x:c r="N21" s="632" t="str">
        <x:v>https://www150.statcan.gc.ca/n1/tbl/csv/10100017-eng.zip</x:v>
      </x:c>
    </x:row>
    <x:row r="22">
      <x:c r="A22" s="631" t="str">
        <x:v>Nunavut</x:v>
      </x:c>
      <x:c r="B22" s="162" t="str">
        <x:v>rent</x:v>
      </x:c>
      <x:c r="C22" s="162" t="n">
        <x:v>10100017</x:v>
      </x:c>
      <x:c r="D22" s="162" t="str">
        <x:v>v91578263</x:v>
      </x:c>
      <x:c r="E22" s="162" t="str">
        <x:v>13.1.2.39</x:v>
      </x:c>
      <x:c r="F22" s="162" t="str">
        <x:v>2024</x:v>
      </x:c>
      <x:c r="G22" s="486" t="n">
        <x:v>0</x:v>
      </x:c>
      <x:c r="H22" s="171" t="n">
        <x:v>6</x:v>
      </x:c>
      <x:c r="I22" s="171" t="n">
        <x:v>0</x:v>
      </x:c>
      <x:c r="J22" s="232" t="n">
        <x:v>0</x:v>
      </x:c>
      <x:c r="K22" s="162" t="str">
        <x:v>p</x:v>
      </x:c>
      <x:c r="L22" s="162" t="n">
        <x:v>0</x:v>
      </x:c>
      <x:c r="M22" s="162" t="str">
        <x:v>full_table_csv</x:v>
      </x:c>
      <x:c r="N22" s="632" t="str">
        <x:v>https://www150.statcan.gc.ca/n1/tbl/csv/10100017-eng.zip</x:v>
      </x:c>
    </x:row>
    <x:row r="23">
      <x:c r="A23" s="631" t="str">
        <x:v>Ontario</x:v>
      </x:c>
      <x:c r="B23" s="162" t="str">
        <x:v>property_tax</x:v>
      </x:c>
      <x:c r="C23" s="162" t="n">
        <x:v>10100017</x:v>
      </x:c>
      <x:c r="D23" s="162" t="str">
        <x:v>v91576400</x:v>
      </x:c>
      <x:c r="E23" s="162" t="str">
        <x:v>6.1.2.10</x:v>
      </x:c>
      <x:c r="F23" s="162" t="str">
        <x:v>2024</x:v>
      </x:c>
      <x:c r="G23" s="486" t="n">
        <x:v>4556</x:v>
      </x:c>
      <x:c r="H23" s="171" t="n">
        <x:v>6</x:v>
      </x:c>
      <x:c r="I23" s="171" t="n">
        <x:v>0</x:v>
      </x:c>
      <x:c r="J23" s="232" t="n">
        <x:v>4.556</x:v>
      </x:c>
      <x:c r="K23" s="162" t="str">
        <x:v>p</x:v>
      </x:c>
      <x:c r="L23" s="162" t="n">
        <x:v>0</x:v>
      </x:c>
      <x:c r="M23" s="162" t="str">
        <x:v>full_table_csv</x:v>
      </x:c>
      <x:c r="N23" s="632" t="str">
        <x:v>https://www150.statcan.gc.ca/n1/tbl/csv/10100017-eng.zip</x:v>
      </x:c>
    </x:row>
    <x:row r="24">
      <x:c r="A24" s="631" t="str">
        <x:v>Ontario</x:v>
      </x:c>
      <x:c r="B24" s="162" t="str">
        <x:v>rent</x:v>
      </x:c>
      <x:c r="C24" s="162" t="n">
        <x:v>10100017</x:v>
      </x:c>
      <x:c r="D24" s="162" t="str">
        <x:v>v91576429</x:v>
      </x:c>
      <x:c r="E24" s="162" t="str">
        <x:v>6.1.2.39</x:v>
      </x:c>
      <x:c r="F24" s="162" t="str">
        <x:v>2024</x:v>
      </x:c>
      <x:c r="G24" s="486" t="n">
        <x:v>254</x:v>
      </x:c>
      <x:c r="H24" s="171" t="n">
        <x:v>6</x:v>
      </x:c>
      <x:c r="I24" s="171" t="n">
        <x:v>0</x:v>
      </x:c>
      <x:c r="J24" s="232" t="n">
        <x:v>0.254</x:v>
      </x:c>
      <x:c r="K24" s="162" t="str">
        <x:v>p</x:v>
      </x:c>
      <x:c r="L24" s="162" t="n">
        <x:v>0</x:v>
      </x:c>
      <x:c r="M24" s="162" t="str">
        <x:v>full_table_csv</x:v>
      </x:c>
      <x:c r="N24" s="632" t="str">
        <x:v>https://www150.statcan.gc.ca/n1/tbl/csv/10100017-eng.zip</x:v>
      </x:c>
    </x:row>
    <x:row r="25">
      <x:c r="A25" s="631" t="str">
        <x:v>Prince Edward Island</x:v>
      </x:c>
      <x:c r="B25" s="162" t="str">
        <x:v>property_tax</x:v>
      </x:c>
      <x:c r="C25" s="162" t="n">
        <x:v>10100017</x:v>
      </x:c>
      <x:c r="D25" s="162" t="str">
        <x:v>v91575352</x:v>
      </x:c>
      <x:c r="E25" s="162" t="str">
        <x:v>2.1.2.10</x:v>
      </x:c>
      <x:c r="F25" s="162" t="str">
        <x:v>2024</x:v>
      </x:c>
      <x:c r="G25" s="486" t="n">
        <x:v>189</x:v>
      </x:c>
      <x:c r="H25" s="171" t="n">
        <x:v>6</x:v>
      </x:c>
      <x:c r="I25" s="171" t="n">
        <x:v>0</x:v>
      </x:c>
      <x:c r="J25" s="232" t="n">
        <x:v>0.189</x:v>
      </x:c>
      <x:c r="K25" s="162" t="str">
        <x:v>p</x:v>
      </x:c>
      <x:c r="L25" s="162" t="n">
        <x:v>0</x:v>
      </x:c>
      <x:c r="M25" s="162" t="str">
        <x:v>full_table_csv</x:v>
      </x:c>
      <x:c r="N25" s="632" t="str">
        <x:v>https://www150.statcan.gc.ca/n1/tbl/csv/10100017-eng.zip</x:v>
      </x:c>
    </x:row>
    <x:row r="26">
      <x:c r="A26" s="631" t="str">
        <x:v>Prince Edward Island</x:v>
      </x:c>
      <x:c r="B26" s="162" t="str">
        <x:v>rent</x:v>
      </x:c>
      <x:c r="C26" s="162" t="n">
        <x:v>10100017</x:v>
      </x:c>
      <x:c r="D26" s="162" t="str">
        <x:v>v91575381</x:v>
      </x:c>
      <x:c r="E26" s="162" t="str">
        <x:v>2.1.2.39</x:v>
      </x:c>
      <x:c r="F26" s="162" t="str">
        <x:v>2024</x:v>
      </x:c>
      <x:c r="G26" s="486" t="n">
        <x:v>0</x:v>
      </x:c>
      <x:c r="H26" s="171" t="n">
        <x:v>6</x:v>
      </x:c>
      <x:c r="I26" s="171" t="n">
        <x:v>0</x:v>
      </x:c>
      <x:c r="J26" s="232" t="n">
        <x:v>0</x:v>
      </x:c>
      <x:c r="K26" s="162" t="str">
        <x:v>p</x:v>
      </x:c>
      <x:c r="L26" s="162" t="n">
        <x:v>0</x:v>
      </x:c>
      <x:c r="M26" s="162" t="str">
        <x:v>full_table_csv</x:v>
      </x:c>
      <x:c r="N26" s="632" t="str">
        <x:v>https://www150.statcan.gc.ca/n1/tbl/csv/10100017-eng.zip</x:v>
      </x:c>
    </x:row>
    <x:row r="27">
      <x:c r="A27" s="631" t="str">
        <x:v>Quebec</x:v>
      </x:c>
      <x:c r="B27" s="162" t="str">
        <x:v>property_tax</x:v>
      </x:c>
      <x:c r="C27" s="162" t="n">
        <x:v>10100017</x:v>
      </x:c>
      <x:c r="D27" s="162" t="str">
        <x:v>v91576138</x:v>
      </x:c>
      <x:c r="E27" s="162" t="str">
        <x:v>5.1.2.10</x:v>
      </x:c>
      <x:c r="F27" s="162" t="str">
        <x:v>2024</x:v>
      </x:c>
      <x:c r="G27" s="486" t="n">
        <x:v>443</x:v>
      </x:c>
      <x:c r="H27" s="171" t="n">
        <x:v>6</x:v>
      </x:c>
      <x:c r="I27" s="171" t="n">
        <x:v>0</x:v>
      </x:c>
      <x:c r="J27" s="232" t="n">
        <x:v>0.443</x:v>
      </x:c>
      <x:c r="K27" s="162" t="str">
        <x:v>p</x:v>
      </x:c>
      <x:c r="L27" s="162" t="n">
        <x:v>0</x:v>
      </x:c>
      <x:c r="M27" s="162" t="str">
        <x:v>full_table_csv</x:v>
      </x:c>
      <x:c r="N27" s="632" t="str">
        <x:v>https://www150.statcan.gc.ca/n1/tbl/csv/10100017-eng.zip</x:v>
      </x:c>
    </x:row>
    <x:row r="28">
      <x:c r="A28" s="631" t="str">
        <x:v>Quebec</x:v>
      </x:c>
      <x:c r="B28" s="162" t="str">
        <x:v>rent</x:v>
      </x:c>
      <x:c r="C28" s="162" t="n">
        <x:v>10100017</x:v>
      </x:c>
      <x:c r="D28" s="162" t="str">
        <x:v>v91576167</x:v>
      </x:c>
      <x:c r="E28" s="162" t="str">
        <x:v>5.1.2.39</x:v>
      </x:c>
      <x:c r="F28" s="162" t="str">
        <x:v>2024</x:v>
      </x:c>
      <x:c r="G28" s="486" t="n">
        <x:v>1586</x:v>
      </x:c>
      <x:c r="H28" s="171" t="n">
        <x:v>6</x:v>
      </x:c>
      <x:c r="I28" s="171" t="n">
        <x:v>0</x:v>
      </x:c>
      <x:c r="J28" s="232" t="n">
        <x:v>1.586</x:v>
      </x:c>
      <x:c r="K28" s="162" t="str">
        <x:v>p</x:v>
      </x:c>
      <x:c r="L28" s="162" t="n">
        <x:v>0</x:v>
      </x:c>
      <x:c r="M28" s="162" t="str">
        <x:v>full_table_csv</x:v>
      </x:c>
      <x:c r="N28" s="632" t="str">
        <x:v>https://www150.statcan.gc.ca/n1/tbl/csv/10100017-eng.zip</x:v>
      </x:c>
    </x:row>
    <x:row r="29">
      <x:c r="A29" s="631" t="str">
        <x:v>Saskatchewan</x:v>
      </x:c>
      <x:c r="B29" s="162" t="str">
        <x:v>property_tax</x:v>
      </x:c>
      <x:c r="C29" s="162" t="n">
        <x:v>10100017</x:v>
      </x:c>
      <x:c r="D29" s="162" t="str">
        <x:v>v91576924</x:v>
      </x:c>
      <x:c r="E29" s="162" t="str">
        <x:v>8.1.2.10</x:v>
      </x:c>
      <x:c r="F29" s="162" t="str">
        <x:v>2024</x:v>
      </x:c>
      <x:c r="G29" s="486" t="n">
        <x:v>876</x:v>
      </x:c>
      <x:c r="H29" s="171" t="n">
        <x:v>6</x:v>
      </x:c>
      <x:c r="I29" s="171" t="n">
        <x:v>0</x:v>
      </x:c>
      <x:c r="J29" s="232" t="n">
        <x:v>0.876</x:v>
      </x:c>
      <x:c r="K29" s="162" t="str">
        <x:v>p</x:v>
      </x:c>
      <x:c r="L29" s="162" t="n">
        <x:v>0</x:v>
      </x:c>
      <x:c r="M29" s="162" t="str">
        <x:v>full_table_csv</x:v>
      </x:c>
      <x:c r="N29" s="632" t="str">
        <x:v>https://www150.statcan.gc.ca/n1/tbl/csv/10100017-eng.zip</x:v>
      </x:c>
    </x:row>
    <x:row r="30">
      <x:c r="A30" s="631" t="str">
        <x:v>Saskatchewan</x:v>
      </x:c>
      <x:c r="B30" s="162" t="str">
        <x:v>rent</x:v>
      </x:c>
      <x:c r="C30" s="162" t="n">
        <x:v>10100017</x:v>
      </x:c>
      <x:c r="D30" s="162" t="str">
        <x:v>v91576953</x:v>
      </x:c>
      <x:c r="E30" s="162" t="str">
        <x:v>8.1.2.39</x:v>
      </x:c>
      <x:c r="F30" s="162" t="str">
        <x:v>2024</x:v>
      </x:c>
      <x:c r="G30" s="486" t="n">
        <x:v>1617</x:v>
      </x:c>
      <x:c r="H30" s="171" t="n">
        <x:v>6</x:v>
      </x:c>
      <x:c r="I30" s="171" t="n">
        <x:v>0</x:v>
      </x:c>
      <x:c r="J30" s="232" t="n">
        <x:v>1.617</x:v>
      </x:c>
      <x:c r="K30" s="162" t="str">
        <x:v>p</x:v>
      </x:c>
      <x:c r="L30" s="162" t="n">
        <x:v>0</x:v>
      </x:c>
      <x:c r="M30" s="162" t="str">
        <x:v>full_table_csv</x:v>
      </x:c>
      <x:c r="N30" s="632" t="str">
        <x:v>https://www150.statcan.gc.ca/n1/tbl/csv/10100017-eng.zip</x:v>
      </x:c>
    </x:row>
    <x:row r="31">
      <x:c r="A31" s="631" t="str">
        <x:v>Yukon</x:v>
      </x:c>
      <x:c r="B31" s="162" t="str">
        <x:v>property_tax</x:v>
      </x:c>
      <x:c r="C31" s="162" t="n">
        <x:v>10100017</x:v>
      </x:c>
      <x:c r="D31" s="162" t="str">
        <x:v>v91577710</x:v>
      </x:c>
      <x:c r="E31" s="162" t="str">
        <x:v>11.1.2.10</x:v>
      </x:c>
      <x:c r="F31" s="162" t="str">
        <x:v>2024</x:v>
      </x:c>
      <x:c r="G31" s="486" t="n">
        <x:v>8</x:v>
      </x:c>
      <x:c r="H31" s="171" t="n">
        <x:v>6</x:v>
      </x:c>
      <x:c r="I31" s="171" t="n">
        <x:v>0</x:v>
      </x:c>
      <x:c r="J31" s="232" t="n">
        <x:v>0.008</x:v>
      </x:c>
      <x:c r="K31" s="162" t="str">
        <x:v>p</x:v>
      </x:c>
      <x:c r="L31" s="162" t="n">
        <x:v>0</x:v>
      </x:c>
      <x:c r="M31" s="162" t="str">
        <x:v>full_table_csv</x:v>
      </x:c>
      <x:c r="N31" s="632" t="str">
        <x:v>https://www150.statcan.gc.ca/n1/tbl/csv/10100017-eng.zip</x:v>
      </x:c>
    </x:row>
    <x:row r="32">
      <x:c r="A32" s="633" t="str">
        <x:v>Yukon</x:v>
      </x:c>
      <x:c r="B32" s="634" t="str">
        <x:v>rent</x:v>
      </x:c>
      <x:c r="C32" s="634" t="n">
        <x:v>10100017</x:v>
      </x:c>
      <x:c r="D32" s="634" t="str">
        <x:v>v91577739</x:v>
      </x:c>
      <x:c r="E32" s="634" t="str">
        <x:v>11.1.2.39</x:v>
      </x:c>
      <x:c r="F32" s="634" t="str">
        <x:v>2024</x:v>
      </x:c>
      <x:c r="G32" s="639" t="n">
        <x:v>2</x:v>
      </x:c>
      <x:c r="H32" s="637" t="n">
        <x:v>6</x:v>
      </x:c>
      <x:c r="I32" s="637" t="n">
        <x:v>0</x:v>
      </x:c>
      <x:c r="J32" s="641" t="n">
        <x:v>0.002</x:v>
      </x:c>
      <x:c r="K32" s="634" t="str">
        <x:v>p</x:v>
      </x:c>
      <x:c r="L32" s="634" t="n">
        <x:v>0</x:v>
      </x:c>
      <x:c r="M32" s="634" t="str">
        <x:v>full_table_csv</x:v>
      </x:c>
      <x:c r="N32" s="635" t="str">
        <x:v>https://www150.statcan.gc.ca/n1/tbl/csv/10100017-eng.zip</x:v>
      </x:c>
    </x:row>
  </x:sheetData>
  <x:mergeCells>
    <x:mergeCell ref="A1:N1"/>
    <x:mergeCell ref="A2:N2"/>
  </x:mergeCells>
  <x:pageMargins left="0.7" right="0.7" top="0.75" bottom="0.75" header="0.3" footer="0.3"/>
</x:worksheet>
</file>

<file path=xl/worksheets/sheet29.xml><?xml version="1.0" encoding="utf-8"?>
<x:worksheet xmlns:x="http://schemas.openxmlformats.org/spreadsheetml/2006/main">
  <x:sheetFormatPr defaultRowHeight="15"/>
  <x:cols>
    <x:col min="1" max="1" width="35" hidden="0" customWidth="1"/>
    <x:col min="2" max="2" width="45" hidden="0" customWidth="1"/>
    <x:col min="3" max="3" width="14" hidden="0" customWidth="1"/>
    <x:col min="4" max="4" width="55" hidden="0" customWidth="1"/>
  </x:cols>
  <x:sheetData>
    <x:row r="1" ht="28" customHeight="1">
      <x:c r="A1" s="594" t="str">
        <x:v>CGFS Import Receipt and Integrity Checks</x:v>
      </x:c>
      <x:c r="B1" s="594"/>
      <x:c r="C1" s="594"/>
      <x:c r="D1" s="594"/>
    </x:row>
    <x:row r="2" ht="38" customHeight="1">
      <x:c r="A2" s="597" t="str">
        <x:v>The import was applied only after validating the receipt, manifest, observation counts, publishability flags and manifest-to-CSV values.</x:v>
      </x:c>
      <x:c r="B2" s="597"/>
      <x:c r="C2" s="597"/>
      <x:c r="D2" s="597"/>
    </x:row>
    <x:row r="4">
      <x:c r="A4" s="609" t="str">
        <x:v>Control</x:v>
      </x:c>
      <x:c r="B4" s="610" t="str">
        <x:v>Value</x:v>
      </x:c>
      <x:c r="C4" s="610" t="str">
        <x:v>Result</x:v>
      </x:c>
      <x:c r="D4" s="611" t="str">
        <x:v>Evidence / note</x:v>
      </x:c>
    </x:row>
    <x:row r="5">
      <x:c r="A5" s="628" t="str">
        <x:v>Import status</x:v>
      </x:c>
      <x:c r="B5" s="629" t="str">
        <x:v>PASS</x:v>
      </x:c>
      <x:c r="C5" s="629" t="str">
        <x:v>PASS</x:v>
      </x:c>
      <x:c r="D5" s="630" t="str">
        <x:v>All manifest writes applied after validation</x:v>
      </x:c>
    </x:row>
    <x:row r="6">
      <x:c r="A6" s="631" t="str">
        <x:v>Extractor version</x:v>
      </x:c>
      <x:c r="B6" s="162" t="str">
        <x:v>0.1.0</x:v>
      </x:c>
      <x:c r="C6" s="162" t="str">
        <x:v>PASS</x:v>
      </x:c>
      <x:c r="D6" s="632" t="str">
        <x:v>Expected v0.1.0</x:v>
      </x:c>
    </x:row>
    <x:row r="7">
      <x:c r="A7" s="631" t="str">
        <x:v>Reference year</x:v>
      </x:c>
      <x:c r="B7" s="162" t="n">
        <x:v>2024</x:v>
      </x:c>
      <x:c r="C7" s="162" t="str">
        <x:v>PASS</x:v>
      </x:c>
      <x:c r="D7" s="632" t="str">
        <x:v>2024</x:v>
      </x:c>
    </x:row>
    <x:row r="8">
      <x:c r="A8" s="631" t="str">
        <x:v>Method</x:v>
      </x:c>
      <x:c r="B8" s="162" t="str">
        <x:v>full_table_csv</x:v>
      </x:c>
      <x:c r="C8" s="162" t="str">
        <x:v>PASS</x:v>
      </x:c>
      <x:c r="D8" s="632" t="str">
        <x:v>Official full-table CSV</x:v>
      </x:c>
    </x:row>
    <x:row r="9">
      <x:c r="A9" s="631" t="str">
        <x:v>Expected jurisdictions</x:v>
      </x:c>
      <x:c r="B9" s="162" t="n">
        <x:v>14</x:v>
      </x:c>
      <x:c r="C9" s="162" t="str">
        <x:v>PASS</x:v>
      </x:c>
      <x:c r="D9" s="632" t="str">
        <x:v>14</x:v>
      </x:c>
    </x:row>
    <x:row r="10">
      <x:c r="A10" s="631" t="str">
        <x:v>Expected observations</x:v>
      </x:c>
      <x:c r="B10" s="162" t="n">
        <x:v>28</x:v>
      </x:c>
      <x:c r="C10" s="162" t="str">
        <x:v>PASS</x:v>
      </x:c>
      <x:c r="D10" s="632" t="str">
        <x:v>28</x:v>
      </x:c>
    </x:row>
    <x:row r="11">
      <x:c r="A11" s="631" t="str">
        <x:v>Received observations</x:v>
      </x:c>
      <x:c r="B11" s="162" t="n">
        <x:v>28</x:v>
      </x:c>
      <x:c r="C11" s="162" t="str">
        <x:v>PASS</x:v>
      </x:c>
      <x:c r="D11" s="632" t="str">
        <x:v>28</x:v>
      </x:c>
    </x:row>
    <x:row r="12">
      <x:c r="A12" s="631" t="str">
        <x:v>Publishable observations</x:v>
      </x:c>
      <x:c r="B12" s="162" t="n">
        <x:v>28</x:v>
      </x:c>
      <x:c r="C12" s="162" t="str">
        <x:v>PASS</x:v>
      </x:c>
      <x:c r="D12" s="632" t="str">
        <x:v>28</x:v>
      </x:c>
    </x:row>
    <x:row r="13">
      <x:c r="A13" s="631" t="str">
        <x:v>Rejected observations</x:v>
      </x:c>
      <x:c r="B13" s="162" t="n">
        <x:v>0</x:v>
      </x:c>
      <x:c r="C13" s="162" t="str">
        <x:v>PASS</x:v>
      </x:c>
      <x:c r="D13" s="632" t="str">
        <x:v>0</x:v>
      </x:c>
    </x:row>
    <x:row r="14">
      <x:c r="A14" s="631" t="str">
        <x:v>Dataset fingerprint SHA-256</x:v>
      </x:c>
      <x:c r="B14" s="162" t="str">
        <x:v>85dfce7a3cc542d3583487fe9a830652746eac111a7f2ee34b34fcba073d3486</x:v>
      </x:c>
      <x:c r="C14" s="162" t="str">
        <x:v>PASS</x:v>
      </x:c>
      <x:c r="D14" s="632" t="str">
        <x:v>Extractor fingerprint</x:v>
      </x:c>
    </x:row>
    <x:row r="15">
      <x:c r="A15" s="631" t="str">
        <x:v>Receipt core SHA-256</x:v>
      </x:c>
      <x:c r="B15" s="162" t="str">
        <x:v>872878c79bea2f1bfa4dcd39e45172b53bbcdce97f424a5e80851438f67ecb08</x:v>
      </x:c>
      <x:c r="C15" s="162" t="str">
        <x:v>PASS</x:v>
      </x:c>
      <x:c r="D15" s="632" t="str">
        <x:v>Matches import manifest</x:v>
      </x:c>
    </x:row>
    <x:row r="16">
      <x:c r="A16" s="631" t="str">
        <x:v>Manifest target</x:v>
      </x:c>
      <x:c r="B16" s="162" t="str">
        <x:v>Canadian_Rent_Model_Workbook_v0.7.xlsx</x:v>
      </x:c>
      <x:c r="C16" s="162" t="str">
        <x:v>PASS</x:v>
      </x:c>
      <x:c r="D16" s="632" t="str">
        <x:v>Matches source workbook</x:v>
      </x:c>
    </x:row>
    <x:row r="17">
      <x:c r="A17" s="631" t="str">
        <x:v>Manifest writes</x:v>
      </x:c>
      <x:c r="B17" s="162" t="n">
        <x:v>126</x:v>
      </x:c>
      <x:c r="C17" s="162" t="str">
        <x:v>PASS</x:v>
      </x:c>
      <x:c r="D17" s="632" t="str">
        <x:v>126 non-null validated writes</x:v>
      </x:c>
    </x:row>
    <x:row r="18">
      <x:c r="A18" s="631" t="str">
        <x:v>2024 standardized CGFS rent total ($B)</x:v>
      </x:c>
      <x:c r="B18" s="230" t="n">
        <x:v>30.074</x:v>
      </x:c>
      <x:c r="C18" s="162" t="str">
        <x:v>PASS</x:v>
      </x:c>
      <x:c r="D18" s="632" t="str">
        <x:v>Sum of 14 rent observations</x:v>
      </x:c>
    </x:row>
    <x:row r="19">
      <x:c r="A19" s="633" t="str">
        <x:v>2024 standardized property-tax total ($B)</x:v>
      </x:c>
      <x:c r="B19" s="642" t="n">
        <x:v>16.011</x:v>
      </x:c>
      <x:c r="C19" s="634" t="str">
        <x:v>PASS</x:v>
      </x:c>
      <x:c r="D19" s="635" t="str">
        <x:v>Sum of 14 observations</x:v>
      </x:c>
    </x:row>
    <x:row r="21">
      <x:c r="A21" s="609" t="str">
        <x:v>Official source artifact</x:v>
      </x:c>
      <x:c r="B21" s="610" t="str">
        <x:v>Bytes</x:v>
      </x:c>
      <x:c r="C21" s="610" t="str">
        <x:v>SHA-256</x:v>
      </x:c>
      <x:c r="D21" s="611" t="str">
        <x:v>Source URL / note</x:v>
      </x:c>
    </x:row>
    <x:row r="22">
      <x:c r="A22" s="628" t="str">
        <x:v>raw/full_table_10100016.zip</x:v>
      </x:c>
      <x:c r="B22" s="629" t="n">
        <x:v>67239</x:v>
      </x:c>
      <x:c r="C22" s="629" t="str">
        <x:v>4b4345439f57f6371e2d1e66fc52be2fdd05521b662510f6a884a47f94b147e2</x:v>
      </x:c>
      <x:c r="D22" s="630" t="str">
        <x:v>https://www150.statcan.gc.ca/n1/tbl/csv/10100016-eng.zip</x:v>
      </x:c>
    </x:row>
    <x:row r="23">
      <x:c r="A23" s="631" t="str">
        <x:v>raw/full_table_10100017.zip</x:v>
      </x:c>
      <x:c r="B23" s="162" t="n">
        <x:v>785095</x:v>
      </x:c>
      <x:c r="C23" s="162" t="str">
        <x:v>a93fbbd245c91bb8e27fdf023d86d33856738186e5b3d25335b7d555cefba324</x:v>
      </x:c>
      <x:c r="D23" s="632" t="str">
        <x:v>https://www150.statcan.gc.ca/n1/tbl/csv/10100017-eng.zip</x:v>
      </x:c>
    </x:row>
    <x:row r="24">
      <x:c r="A24" s="631" t="str">
        <x:v>raw/full_table_link_10100016.json</x:v>
      </x:c>
      <x:c r="B24" s="162" t="n">
        <x:v>88</x:v>
      </x:c>
      <x:c r="C24" s="162" t="str">
        <x:v>d8b01c7594c6519a808b1b5f9e8e281c1721a23db96db6f3bf8c3f5d6099ad02</x:v>
      </x:c>
      <x:c r="D24" s="632" t="str">
        <x:v>Local extraction metadata</x:v>
      </x:c>
    </x:row>
    <x:row r="25">
      <x:c r="A25" s="633" t="str">
        <x:v>raw/full_table_link_10100017.json</x:v>
      </x:c>
      <x:c r="B25" s="634" t="n">
        <x:v>88</x:v>
      </x:c>
      <x:c r="C25" s="634" t="str">
        <x:v>590a10ddedaa8ec75b4c75c9e661219ccec2ad672b83ca47f31e49dc1c11cb9b</x:v>
      </x:c>
      <x:c r="D25" s="635" t="str">
        <x:v>Local extraction metadata</x:v>
      </x:c>
    </x:row>
  </x:sheetData>
  <x:mergeCells>
    <x:mergeCell ref="A1:D1"/>
    <x:mergeCell ref="A2:D2"/>
  </x:mergeCells>
  <x:conditionalFormatting sqref="C5:C19">
    <x:cfRule type="expression" dxfId="10" priority="1">
      <x:formula>C5="PASS"</x:formula>
    </x:cfRule>
  </x:conditionalFormatting>
  <x:pageMargins left="0.7" right="0.7" top="0.75" bottom="0.75" header="0.3" footer="0.3"/>
</x:worksheet>
</file>

<file path=xl/worksheets/sheet30.xml><?xml version="1.0" encoding="utf-8"?>
<x:worksheet xmlns:x="http://schemas.openxmlformats.org/spreadsheetml/2006/main">
  <x:sheetFormatPr defaultRowHeight="15"/>
  <x:cols>
    <x:col min="1" max="1" width="24" hidden="0" customWidth="1"/>
    <x:col min="2" max="2" width="15" hidden="0" customWidth="1"/>
    <x:col min="3" max="3" width="19" hidden="0" customWidth="1"/>
    <x:col min="4" max="4" width="21" hidden="0" customWidth="1"/>
    <x:col min="5" max="5" width="20" hidden="0" customWidth="1"/>
    <x:col min="6" max="6" width="19" hidden="0" customWidth="1"/>
    <x:col min="7" max="7" width="20" hidden="0" customWidth="1"/>
    <x:col min="8" max="8" width="20" hidden="0" customWidth="1"/>
    <x:col min="9" max="9" width="18" hidden="0" customWidth="1"/>
    <x:col min="10" max="10" width="20" hidden="0" customWidth="1"/>
    <x:col min="11" max="11" width="22" hidden="0" customWidth="1"/>
    <x:col min="12" max="12" width="40" hidden="0" customWidth="1"/>
    <x:col min="13" max="13" width="35" hidden="0" customWidth="1"/>
    <x:col min="14" max="14" width="24" hidden="0" customWidth="1"/>
    <x:col min="15" max="15" width="23" hidden="0" customWidth="1"/>
    <x:col min="16" max="16" width="43" hidden="0" customWidth="1"/>
  </x:cols>
  <x:sheetData>
    <x:row r="1" ht="28" customHeight="1">
      <x:c r="A1" s="651" t="str">
        <x:v>2024 CGFS Rent versus Public Accounts — Jurisdiction Reconciliation</x:v>
      </x:c>
      <x:c r="B1" s="651"/>
      <x:c r="C1" s="651"/>
      <x:c r="D1" s="651"/>
      <x:c r="E1" s="651"/>
      <x:c r="F1" s="651"/>
      <x:c r="G1" s="651"/>
      <x:c r="H1" s="651"/>
      <x:c r="I1" s="651"/>
      <x:c r="J1" s="651"/>
      <x:c r="K1" s="651"/>
      <x:c r="L1" s="651"/>
      <x:c r="M1" s="651"/>
      <x:c r="N1" s="651"/>
      <x:c r="O1" s="651"/>
      <x:c r="P1" s="651"/>
    </x:row>
    <x:row r="2" ht="42" customHeight="1">
      <x:c r="A2" s="654" t="str">
        <x:v>The bridge quantifies known tax and scope adjustments, then leaves the unresolved residual for component-vector, timing and accrual reconciliation. Provisional explanations are not final reconciliations.</x:v>
      </x:c>
      <x:c r="B2" s="654"/>
      <x:c r="C2" s="654"/>
      <x:c r="D2" s="654"/>
      <x:c r="E2" s="654"/>
      <x:c r="F2" s="654"/>
      <x:c r="G2" s="654"/>
      <x:c r="H2" s="654"/>
      <x:c r="I2" s="654"/>
      <x:c r="J2" s="654"/>
      <x:c r="K2" s="654"/>
      <x:c r="L2" s="654"/>
      <x:c r="M2" s="654"/>
      <x:c r="N2" s="654"/>
      <x:c r="O2" s="654"/>
      <x:c r="P2" s="654"/>
    </x:row>
    <x:row r="4" ht="40" customHeight="1">
      <x:c r="A4" s="666" t="str">
        <x:v>Jurisdiction</x:v>
      </x:c>
      <x:c r="B4" s="667" t="str">
        <x:v>CGFS period</x:v>
      </x:c>
      <x:c r="C4" s="667" t="str">
        <x:v>CGFS rent ($B)</x:v>
      </x:c>
      <x:c r="D4" s="667" t="str">
        <x:v>Public-account period</x:v>
      </x:c>
      <x:c r="E4" s="667" t="str">
        <x:v>Public-account comparator ($B)</x:v>
      </x:c>
      <x:c r="F4" s="667" t="str">
        <x:v>Difference: public − CGFS ($B)</x:v>
      </x:c>
      <x:c r="G4" s="667" t="str">
        <x:v>Known tax/non-rent adjustment ($B)</x:v>
      </x:c>
      <x:c r="H4" s="667" t="str">
        <x:v>Comparator after known adjustment ($B)</x:v>
      </x:c>
      <x:c r="I4" s="667" t="str">
        <x:v>Residual after known adjustment ($B)</x:v>
      </x:c>
      <x:c r="J4" s="667" t="str">
        <x:v>Residual materiality</x:v>
      </x:c>
      <x:c r="K4" s="667" t="str">
        <x:v>Primary difference class</x:v>
      </x:c>
      <x:c r="L4" s="667" t="str">
        <x:v>Provisional explanation</x:v>
      </x:c>
      <x:c r="M4" s="667" t="str">
        <x:v>Next decisive evidence</x:v>
      </x:c>
      <x:c r="N4" s="667" t="str">
        <x:v>Bridge status</x:v>
      </x:c>
      <x:c r="O4" s="667" t="str">
        <x:v>Final reconciliation?</x:v>
      </x:c>
      <x:c r="P4" s="668" t="str">
        <x:v>Source</x:v>
      </x:c>
    </x:row>
    <x:row r="5">
      <x:c r="A5" s="685" t="str">
        <x:v>Federal government</x:v>
      </x:c>
      <x:c r="B5" s="695" t="n">
        <x:v>2024</x:v>
      </x:c>
      <x:c r="C5" s="696" t="n">
        <x:v>0.758</x:v>
      </x:c>
      <x:c r="D5" s="696" t="str"/>
      <x:c r="E5" s="696"/>
      <x:c r="F5" s="696"/>
      <x:c r="G5" s="696" t="n">
        <x:v>0</x:v>
      </x:c>
      <x:c r="H5" s="696"/>
      <x:c r="I5" s="696"/>
      <x:c r="J5" s="686" t="str">
        <x:v>Comparator missing</x:v>
      </x:c>
      <x:c r="K5" s="686" t="str">
        <x:v>No comparator</x:v>
      </x:c>
      <x:c r="L5" s="686" t="str">
        <x:v>Federal components corrected: oil/gas $0.660B, mineral $0, other rent $0.097B; no public comparator.</x:v>
      </x:c>
      <x:c r="M5" s="686" t="str">
        <x:v>Federal Public Accounts and federal land/offshore/resource schedules.</x:v>
      </x:c>
      <x:c r="N5" s="686" t="str">
        <x:v>Component bridge imported; comparator missing</x:v>
      </x:c>
      <x:c r="O5" s="686" t="str">
        <x:v>No</x:v>
      </x:c>
      <x:c r="P5" s="687" t="str">
        <x:v>Statistics Canada 10-10-0016-01</x:v>
      </x:c>
    </x:row>
    <x:row r="6">
      <x:c r="A6" s="688" t="str">
        <x:v>Newfoundland and Labrador</x:v>
      </x:c>
      <x:c r="B6" s="171" t="n">
        <x:v>2024</x:v>
      </x:c>
      <x:c r="C6" s="237" t="n">
        <x:v>1.009</x:v>
      </x:c>
      <x:c r="D6" s="237" t="str">
        <x:v>2024-25</x:v>
      </x:c>
      <x:c r="E6" s="237" t="n">
        <x:v>1.306572</x:v>
      </x:c>
      <x:c r="F6" s="237" t="n">
        <x:v>0.297572</x:v>
      </x:c>
      <x:c r="G6" s="237" t="n">
        <x:v>0.097532</x:v>
      </x:c>
      <x:c r="H6" s="237" t="n">
        <x:v>1.20904</x:v>
      </x:c>
      <x:c r="I6" s="237" t="n">
        <x:v>0.20004</x:v>
      </x:c>
      <x:c r="J6" s="162" t="str">
        <x:v>Between $50M and $250M</x:v>
      </x:c>
      <x:c r="K6" s="162" t="str">
        <x:v>Mining tax excluded from rent</x:v>
      </x:c>
      <x:c r="L6" s="162" t="str">
        <x:v>CGFS components: oil/gas $0.893B, forestry $0.002B, mineral $0.088B, water $0.025B. Fiscal comparator after mining-tax removal remains $0.200B higher.</x:v>
      </x:c>
      <x:c r="M6" s="162" t="str">
        <x:v>CGFS oil/gas and mineral component vectors; offshore royalty cash/accrual bridge.</x:v>
      </x:c>
      <x:c r="N6" s="162" t="str">
        <x:v>Component bridge imported; timing residual pending</x:v>
      </x:c>
      <x:c r="O6" s="162" t="str">
        <x:v>No</x:v>
      </x:c>
      <x:c r="P6" s="689" t="str">
        <x:v>NL Public Accounts; Statistics Canada 10-10-0017-01</x:v>
      </x:c>
    </x:row>
    <x:row r="7">
      <x:c r="A7" s="688" t="str">
        <x:v>Prince Edward Island</x:v>
      </x:c>
      <x:c r="B7" s="171" t="n">
        <x:v>2024</x:v>
      </x:c>
      <x:c r="C7" s="237" t="n">
        <x:v>0</x:v>
      </x:c>
      <x:c r="D7" s="237" t="str"/>
      <x:c r="E7" s="237"/>
      <x:c r="F7" s="237"/>
      <x:c r="G7" s="237" t="n">
        <x:v>0</x:v>
      </x:c>
      <x:c r="H7" s="237"/>
      <x:c r="I7" s="237"/>
      <x:c r="J7" s="162" t="str">
        <x:v>Comparator missing</x:v>
      </x:c>
      <x:c r="K7" s="162" t="str">
        <x:v>No comparator</x:v>
      </x:c>
      <x:c r="L7" s="162" t="str">
        <x:v>CGFS total is zero; public-account review still required before final reconciliation.</x:v>
      </x:c>
      <x:c r="M7" s="162" t="str">
        <x:v>PEI Public Accounts natural-resource and Crown-land schedules.</x:v>
      </x:c>
      <x:c r="N7" s="162" t="str">
        <x:v>Component bridge imported; comparator missing</x:v>
      </x:c>
      <x:c r="O7" s="162" t="str">
        <x:v>No</x:v>
      </x:c>
      <x:c r="P7" s="689" t="str">
        <x:v>Statistics Canada 10-10-0017-01</x:v>
      </x:c>
    </x:row>
    <x:row r="8">
      <x:c r="A8" s="688" t="str">
        <x:v>Nova Scotia</x:v>
      </x:c>
      <x:c r="B8" s="171" t="n">
        <x:v>2024</x:v>
      </x:c>
      <x:c r="C8" s="237" t="n">
        <x:v>0.013</x:v>
      </x:c>
      <x:c r="D8" s="237" t="str"/>
      <x:c r="E8" s="237"/>
      <x:c r="F8" s="237"/>
      <x:c r="G8" s="237" t="n">
        <x:v>0</x:v>
      </x:c>
      <x:c r="H8" s="237"/>
      <x:c r="I8" s="237"/>
      <x:c r="J8" s="162" t="str">
        <x:v>Comparator missing</x:v>
      </x:c>
      <x:c r="K8" s="162" t="str">
        <x:v>No comparator</x:v>
      </x:c>
      <x:c r="L8" s="162" t="str">
        <x:v>CGFS components: forestry $0.007B, mineral $0.001B and other rent $0.005B. Public comparator missing.</x:v>
      </x:c>
      <x:c r="M8" s="162" t="str">
        <x:v>Nova Scotia Public Accounts, offshore and forestry rent schedules.</x:v>
      </x:c>
      <x:c r="N8" s="162" t="str">
        <x:v>Component bridge imported; comparator missing</x:v>
      </x:c>
      <x:c r="O8" s="162" t="str">
        <x:v>No</x:v>
      </x:c>
      <x:c r="P8" s="689" t="str">
        <x:v>Statistics Canada 10-10-0017-01</x:v>
      </x:c>
    </x:row>
    <x:row r="9">
      <x:c r="A9" s="688" t="str">
        <x:v>New Brunswick</x:v>
      </x:c>
      <x:c r="B9" s="171" t="n">
        <x:v>2024</x:v>
      </x:c>
      <x:c r="C9" s="237" t="n">
        <x:v>0.083</x:v>
      </x:c>
      <x:c r="D9" s="237" t="str">
        <x:v>2024-25</x:v>
      </x:c>
      <x:c r="E9" s="237" t="n">
        <x:v>0.0722289</x:v>
      </x:c>
      <x:c r="F9" s="237" t="n">
        <x:v>-0.0107711</x:v>
      </x:c>
      <x:c r="G9" s="237" t="n">
        <x:v>0</x:v>
      </x:c>
      <x:c r="H9" s="237" t="n">
        <x:v>0.0722289</x:v>
      </x:c>
      <x:c r="I9" s="237" t="n">
        <x:v>-0.0107711</x:v>
      </x:c>
      <x:c r="J9" s="162" t="str">
        <x:v>Below $50M</x:v>
      </x:c>
      <x:c r="K9" s="162" t="str">
        <x:v>Scope/timing</x:v>
      </x:c>
      <x:c r="L9" s="162" t="str">
        <x:v>CGFS is almost entirely forestry rent ($0.079B), plus oil/gas $0.001B, mineral $0.003B and other $0.001B. Public comparator is $0.011B lower.</x:v>
      </x:c>
      <x:c r="M9" s="162" t="str">
        <x:v>CGFS component vectors and complete NB rent/lease classification.</x:v>
      </x:c>
      <x:c r="N9" s="162" t="str">
        <x:v>Component bridge imported; timing residual pending</x:v>
      </x:c>
      <x:c r="O9" s="162" t="str">
        <x:v>No</x:v>
      </x:c>
      <x:c r="P9" s="689" t="str">
        <x:v>NB Public Accounts; Statistics Canada 10-10-0017-01</x:v>
      </x:c>
    </x:row>
    <x:row r="10">
      <x:c r="A10" s="688" t="str">
        <x:v>Quebec</x:v>
      </x:c>
      <x:c r="B10" s="171" t="n">
        <x:v>2024</x:v>
      </x:c>
      <x:c r="C10" s="237" t="n">
        <x:v>1.586</x:v>
      </x:c>
      <x:c r="D10" s="237" t="str">
        <x:v>2024</x:v>
      </x:c>
      <x:c r="E10" s="237" t="n">
        <x:v>0.480093797</x:v>
      </x:c>
      <x:c r="F10" s="237" t="n">
        <x:v>-1.105906203</x:v>
      </x:c>
      <x:c r="G10" s="237" t="n">
        <x:v>0.4777</x:v>
      </x:c>
      <x:c r="H10" s="237" t="n">
        <x:v>0.002393797</x:v>
      </x:c>
      <x:c r="I10" s="237" t="n">
        <x:v>-1.583606203</x:v>
      </x:c>
      <x:c r="J10" s="162" t="str">
        <x:v>Above $250M</x:v>
      </x:c>
      <x:c r="K10" s="162" t="str">
        <x:v>Comparator incomplete and tax-heavy</x:v>
      </x:c>
      <x:c r="L10" s="162" t="str">
        <x:v>CGFS consists of forestry $0.259B, mineral $0.025B, water $0.903B and other rent $0.398B. The current public comparator omits nearly all of these categories.</x:v>
      </x:c>
      <x:c r="M10" s="162" t="str">
        <x:v>CGFS forestry/water/mineral components; Québec forestry, hydro/water and Crown-rent schedules.</x:v>
      </x:c>
      <x:c r="N10" s="162" t="str">
        <x:v>Component bridge imported; timing residual pending</x:v>
      </x:c>
      <x:c r="O10" s="162" t="str">
        <x:v>No</x:v>
      </x:c>
      <x:c r="P10" s="689" t="str">
        <x:v>Québec mining registry; Statistics Canada 10-10-0017-01</x:v>
      </x:c>
    </x:row>
    <x:row r="11">
      <x:c r="A11" s="688" t="str">
        <x:v>Ontario</x:v>
      </x:c>
      <x:c r="B11" s="171" t="n">
        <x:v>2024</x:v>
      </x:c>
      <x:c r="C11" s="237" t="n">
        <x:v>0.254</x:v>
      </x:c>
      <x:c r="D11" s="237" t="str">
        <x:v>2024-25</x:v>
      </x:c>
      <x:c r="E11" s="237" t="n">
        <x:v>0.297</x:v>
      </x:c>
      <x:c r="F11" s="237" t="n">
        <x:v>0.043</x:v>
      </x:c>
      <x:c r="G11" s="237" t="n">
        <x:v>0</x:v>
      </x:c>
      <x:c r="H11" s="237" t="n">
        <x:v>0.297</x:v>
      </x:c>
      <x:c r="I11" s="237" t="n">
        <x:v>0.043</x:v>
      </x:c>
      <x:c r="J11" s="162" t="str">
        <x:v>Below $50M</x:v>
      </x:c>
      <x:c r="K11" s="162" t="str">
        <x:v>Scope/timing</x:v>
      </x:c>
      <x:c r="L11" s="162" t="str">
        <x:v>CGFS components: forestry $0.043B, water $0.127B, other rent $0.076B, mineral $0.008B and oil/gas $0.001B. Public royalty line is $0.043B higher.</x:v>
      </x:c>
      <x:c r="M11" s="162" t="str">
        <x:v>CGFS components and Ontario royalty-line composition.</x:v>
      </x:c>
      <x:c r="N11" s="162" t="str">
        <x:v>Component bridge imported; timing residual pending</x:v>
      </x:c>
      <x:c r="O11" s="162" t="str">
        <x:v>No</x:v>
      </x:c>
      <x:c r="P11" s="689" t="str">
        <x:v>Ontario Public Accounts; Statistics Canada 10-10-0017-01</x:v>
      </x:c>
    </x:row>
    <x:row r="12">
      <x:c r="A12" s="688" t="str">
        <x:v>Manitoba</x:v>
      </x:c>
      <x:c r="B12" s="171" t="n">
        <x:v>2024</x:v>
      </x:c>
      <x:c r="C12" s="237" t="n">
        <x:v>0.083</x:v>
      </x:c>
      <x:c r="D12" s="237" t="str"/>
      <x:c r="E12" s="237"/>
      <x:c r="F12" s="237"/>
      <x:c r="G12" s="237" t="n">
        <x:v>0</x:v>
      </x:c>
      <x:c r="H12" s="237"/>
      <x:c r="I12" s="237"/>
      <x:c r="J12" s="162" t="str">
        <x:v>Comparator missing</x:v>
      </x:c>
      <x:c r="K12" s="162" t="str">
        <x:v>No comparator</x:v>
      </x:c>
      <x:c r="L12" s="162" t="str">
        <x:v>CGFS components: oil/gas $0.017B, forestry $0.008B, mineral $0.003B and water $0.054B. Public comparator missing.</x:v>
      </x:c>
      <x:c r="M12" s="162" t="str">
        <x:v>Manitoba Public Accounts hydro, mining, forestry and Crown-resource schedules.</x:v>
      </x:c>
      <x:c r="N12" s="162" t="str">
        <x:v>Component bridge imported; comparator missing</x:v>
      </x:c>
      <x:c r="O12" s="162" t="str">
        <x:v>No</x:v>
      </x:c>
      <x:c r="P12" s="689" t="str">
        <x:v>Statistics Canada 10-10-0017-01</x:v>
      </x:c>
    </x:row>
    <x:row r="13">
      <x:c r="A13" s="688" t="str">
        <x:v>Saskatchewan</x:v>
      </x:c>
      <x:c r="B13" s="171" t="n">
        <x:v>2024</x:v>
      </x:c>
      <x:c r="C13" s="237" t="n">
        <x:v>1.617</x:v>
      </x:c>
      <x:c r="D13" s="237" t="str">
        <x:v>2024-25</x:v>
      </x:c>
      <x:c r="E13" s="237" t="n">
        <x:v>2.573657</x:v>
      </x:c>
      <x:c r="F13" s="237" t="n">
        <x:v>0.956657</x:v>
      </x:c>
      <x:c r="G13" s="237" t="n">
        <x:v>0.529503</x:v>
      </x:c>
      <x:c r="H13" s="237" t="n">
        <x:v>2.044154</x:v>
      </x:c>
      <x:c r="I13" s="237" t="n">
        <x:v>0.427154</x:v>
      </x:c>
      <x:c r="J13" s="162" t="str">
        <x:v>Above $250M</x:v>
      </x:c>
      <x:c r="K13" s="162" t="str">
        <x:v>Resource surcharge excluded from rent</x:v>
      </x:c>
      <x:c r="L13" s="162" t="str">
        <x:v>CGFS components: oil/gas $1.029B, mineral $0.526B, forestry $0.023B and other rent $0.039B. After removing the surcharge, the fiscal comparator remains $0.427B higher.</x:v>
      </x:c>
      <x:c r="M13" s="162" t="str">
        <x:v>CGFS oil/gas, mineral and other-rent components; Saskatchewan fiscal/calendar bridge.</x:v>
      </x:c>
      <x:c r="N13" s="162" t="str">
        <x:v>Component bridge imported; timing residual pending</x:v>
      </x:c>
      <x:c r="O13" s="162" t="str">
        <x:v>No</x:v>
      </x:c>
      <x:c r="P13" s="689" t="str">
        <x:v>Saskatchewan Public Accounts; Statistics Canada 10-10-0017-01</x:v>
      </x:c>
    </x:row>
    <x:row r="14">
      <x:c r="A14" s="688" t="str">
        <x:v>Alberta</x:v>
      </x:c>
      <x:c r="B14" s="171" t="n">
        <x:v>2024</x:v>
      </x:c>
      <x:c r="C14" s="237" t="n">
        <x:v>22.791</x:v>
      </x:c>
      <x:c r="D14" s="237" t="str">
        <x:v>2024-25</x:v>
      </x:c>
      <x:c r="E14" s="237" t="n">
        <x:v>21.986</x:v>
      </x:c>
      <x:c r="F14" s="237" t="n">
        <x:v>-0.805</x:v>
      </x:c>
      <x:c r="G14" s="237" t="n">
        <x:v>0</x:v>
      </x:c>
      <x:c r="H14" s="237" t="n">
        <x:v>21.986</x:v>
      </x:c>
      <x:c r="I14" s="237" t="n">
        <x:v>-0.805</x:v>
      </x:c>
      <x:c r="J14" s="162" t="str">
        <x:v>Above $250M</x:v>
      </x:c>
      <x:c r="K14" s="162" t="str">
        <x:v>Scope/timing</x:v>
      </x:c>
      <x:c r="L14" s="162" t="str">
        <x:v>CGFS components: oil/gas $21.808B, forestry $0.097B, mineral $0.015B, water $0.001B and other rent $0.869B. Fiscal comparator is $0.805B lower.</x:v>
      </x:c>
      <x:c r="M14" s="162" t="str">
        <x:v>CGFS oil/gas and other-rent components; Alberta monthly royalty/accrual bridge.</x:v>
      </x:c>
      <x:c r="N14" s="162" t="str">
        <x:v>Component bridge imported; timing residual pending</x:v>
      </x:c>
      <x:c r="O14" s="162" t="str">
        <x:v>No</x:v>
      </x:c>
      <x:c r="P14" s="689" t="str">
        <x:v>Alberta revenue tables; Statistics Canada 10-10-0017-01</x:v>
      </x:c>
    </x:row>
    <x:row r="15">
      <x:c r="A15" s="688" t="str">
        <x:v>British Columbia</x:v>
      </x:c>
      <x:c r="B15" s="171" t="n">
        <x:v>2024</x:v>
      </x:c>
      <x:c r="C15" s="237" t="n">
        <x:v>1.869</x:v>
      </x:c>
      <x:c r="D15" s="237" t="str">
        <x:v>2024-25</x:v>
      </x:c>
      <x:c r="E15" s="237" t="n">
        <x:v>2.416</x:v>
      </x:c>
      <x:c r="F15" s="237" t="n">
        <x:v>0.547</x:v>
      </x:c>
      <x:c r="G15" s="237" t="n">
        <x:v>0</x:v>
      </x:c>
      <x:c r="H15" s="237" t="n">
        <x:v>2.416</x:v>
      </x:c>
      <x:c r="I15" s="237" t="n">
        <x:v>0.547</x:v>
      </x:c>
      <x:c r="J15" s="162" t="str">
        <x:v>Above $250M</x:v>
      </x:c>
      <x:c r="K15" s="162" t="str">
        <x:v>Scope/timing</x:v>
      </x:c>
      <x:c r="L15" s="162" t="str">
        <x:v>CGFS components: oil/gas $0.754B, forestry $0.359B, mineral $0.014B, water $0.663B and other rent $0.078B. Fiscal comparator is $0.547B higher.</x:v>
      </x:c>
      <x:c r="M15" s="162" t="str">
        <x:v>CGFS component vectors and B.C. category-level public-account reconciliation.</x:v>
      </x:c>
      <x:c r="N15" s="162" t="str">
        <x:v>Component bridge imported; timing residual pending</x:v>
      </x:c>
      <x:c r="O15" s="162" t="str">
        <x:v>No</x:v>
      </x:c>
      <x:c r="P15" s="689" t="str">
        <x:v>B.C. Public Accounts; Statistics Canada 10-10-0017-01</x:v>
      </x:c>
    </x:row>
    <x:row r="16">
      <x:c r="A16" s="688" t="str">
        <x:v>Yukon</x:v>
      </x:c>
      <x:c r="B16" s="171" t="n">
        <x:v>2024</x:v>
      </x:c>
      <x:c r="C16" s="237" t="n">
        <x:v>0.002</x:v>
      </x:c>
      <x:c r="D16" s="237" t="str"/>
      <x:c r="E16" s="237"/>
      <x:c r="F16" s="237"/>
      <x:c r="G16" s="237" t="n">
        <x:v>0</x:v>
      </x:c>
      <x:c r="H16" s="237"/>
      <x:c r="I16" s="237"/>
      <x:c r="J16" s="162" t="str">
        <x:v>Comparator missing</x:v>
      </x:c>
      <x:c r="K16" s="162" t="str">
        <x:v>No comparator</x:v>
      </x:c>
      <x:c r="L16" s="162" t="str">
        <x:v>CGFS total is $0.002B of mineral rent. Public comparator missing.</x:v>
      </x:c>
      <x:c r="M16" s="162" t="str">
        <x:v>Yukon Public Accounts, devolution and modern-treaty resource schedules.</x:v>
      </x:c>
      <x:c r="N16" s="162" t="str">
        <x:v>Component bridge imported; comparator missing</x:v>
      </x:c>
      <x:c r="O16" s="162" t="str">
        <x:v>No</x:v>
      </x:c>
      <x:c r="P16" s="689" t="str">
        <x:v>Statistics Canada 10-10-0017-01</x:v>
      </x:c>
    </x:row>
    <x:row r="17">
      <x:c r="A17" s="688" t="str">
        <x:v>Northwest Territories</x:v>
      </x:c>
      <x:c r="B17" s="171" t="n">
        <x:v>2024</x:v>
      </x:c>
      <x:c r="C17" s="237" t="n">
        <x:v>0.009</x:v>
      </x:c>
      <x:c r="D17" s="237" t="str">
        <x:v>2024-25</x:v>
      </x:c>
      <x:c r="E17" s="237" t="n">
        <x:v>-0.004492</x:v>
      </x:c>
      <x:c r="F17" s="237" t="n">
        <x:v>-0.013492</x:v>
      </x:c>
      <x:c r="G17" s="237" t="n">
        <x:v>0</x:v>
      </x:c>
      <x:c r="H17" s="237" t="n">
        <x:v>-0.004492</x:v>
      </x:c>
      <x:c r="I17" s="237" t="n">
        <x:v>-0.013492</x:v>
      </x:c>
      <x:c r="J17" s="162" t="str">
        <x:v>Below $50M</x:v>
      </x:c>
      <x:c r="K17" s="162" t="str">
        <x:v>Accrual/timing</x:v>
      </x:c>
      <x:c r="L17" s="162" t="str">
        <x:v>CGFS components: oil/gas $0.004B, mineral $0.002B and other rent $0.003B. Fiscal public account is negative because of an accrual reversal.</x:v>
      </x:c>
      <x:c r="M17" s="162" t="str">
        <x:v>NWT royalty cash receipts, accrual reversal detail and CGFS mineral component.</x:v>
      </x:c>
      <x:c r="N17" s="162" t="str">
        <x:v>Component bridge imported; timing residual pending</x:v>
      </x:c>
      <x:c r="O17" s="162" t="str">
        <x:v>No</x:v>
      </x:c>
      <x:c r="P17" s="689" t="str">
        <x:v>NWT Public Accounts; Statistics Canada 10-10-0017-01</x:v>
      </x:c>
    </x:row>
    <x:row r="18">
      <x:c r="A18" s="690" t="str">
        <x:v>Nunavut</x:v>
      </x:c>
      <x:c r="B18" s="697" t="n">
        <x:v>2024</x:v>
      </x:c>
      <x:c r="C18" s="698" t="n">
        <x:v>0</x:v>
      </x:c>
      <x:c r="D18" s="698" t="str"/>
      <x:c r="E18" s="698"/>
      <x:c r="F18" s="698"/>
      <x:c r="G18" s="698" t="n">
        <x:v>0</x:v>
      </x:c>
      <x:c r="H18" s="698"/>
      <x:c r="I18" s="698"/>
      <x:c r="J18" s="691" t="str">
        <x:v>Comparator missing</x:v>
      </x:c>
      <x:c r="K18" s="691" t="str">
        <x:v>No comparator</x:v>
      </x:c>
      <x:c r="L18" s="691" t="str">
        <x:v>Territorial CGFS rent is zero; federal and Inuit-owned resource streams remain outside this row.</x:v>
      </x:c>
      <x:c r="M18" s="691" t="str">
        <x:v>Nunavut Public Accounts plus federal and Inuit organization revenue schedules.</x:v>
      </x:c>
      <x:c r="N18" s="691" t="str">
        <x:v>Component bridge imported; comparator missing</x:v>
      </x:c>
      <x:c r="O18" s="691" t="str">
        <x:v>No</x:v>
      </x:c>
      <x:c r="P18" s="692" t="str">
        <x:v>Statistics Canada 10-10-0017-01</x:v>
      </x:c>
    </x:row>
    <x:row r="20">
      <x:c r="A20" s="656" t="str">
        <x:v>Reconciliation summary</x:v>
      </x:c>
      <x:c r="B20" s="656"/>
    </x:row>
    <x:row r="21">
      <x:c r="A21" s="669" t="str">
        <x:v>CGFS rent total ($B)</x:v>
      </x:c>
      <x:c r="B21" s="699" t="n">
        <x:f>SUM(C5:C18)</x:f>
        <x:v>30.074</x:v>
      </x:c>
    </x:row>
    <x:row r="22">
      <x:c r="A22" s="672" t="str">
        <x:v>Public comparator total — available rows ($B)</x:v>
      </x:c>
      <x:c r="B22" s="700" t="n">
        <x:f>SUM(E5:E18)</x:f>
        <x:v>29.127059697000004</x:v>
      </x:c>
    </x:row>
    <x:row r="23">
      <x:c r="A23" s="672" t="str">
        <x:v>Provisional explanations completed</x:v>
      </x:c>
      <x:c r="B23" s="673" t="n">
        <x:f>COUNTIF(N5:N18,"Provisional explanation")</x:f>
        <x:v>0</x:v>
      </x:c>
    </x:row>
    <x:row r="24">
      <x:c r="A24" s="674" t="str">
        <x:v>Final reconciliations completed</x:v>
      </x:c>
      <x:c r="B24" s="676" t="n">
        <x:f>COUNTIF(O5:O18,"Yes")</x:f>
        <x:v>0</x:v>
      </x:c>
    </x:row>
  </x:sheetData>
  <x:mergeCells>
    <x:mergeCell ref="A1:P1"/>
    <x:mergeCell ref="A2:P2"/>
  </x:mergeCells>
  <x:conditionalFormatting sqref="N5:N18">
    <x:cfRule type="expression" dxfId="11" priority="1">
      <x:formula>N5="Provisional explanation"</x:formula>
    </x:cfRule>
    <x:cfRule type="expression" dxfId="12" priority="2">
      <x:formula>N5="Comparator missing"</x:formula>
    </x:cfRule>
  </x:conditionalFormatting>
  <x:dataValidations count="2">
    <x:dataValidation type="list" sqref="N5:N18">
      <x:formula1>"Component bridge imported; comparator missing,Component bridge imported; timing residual pending,Reconciled"</x:formula1>
    </x:dataValidation>
    <x:dataValidation type="list" sqref="O5:O18">
      <x:formula1>"No,Yes"</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20" hidden="0" customWidth="1"/>
    <x:col min="3" max="3" width="24" hidden="0" customWidth="1"/>
    <x:col min="4" max="4" width="18" hidden="0" customWidth="1"/>
    <x:col min="5" max="5" width="20" hidden="0" customWidth="1"/>
    <x:col min="6" max="6" width="24" hidden="0" customWidth="1"/>
    <x:col min="7" max="7" width="18" hidden="0" customWidth="1"/>
    <x:col min="8" max="8" width="20" hidden="0" customWidth="1"/>
    <x:col min="9" max="9" width="21" hidden="0" customWidth="1"/>
    <x:col min="10" max="10" width="40" hidden="0" customWidth="1"/>
    <x:col min="11" max="11" width="23" hidden="0" customWidth="1"/>
    <x:col min="12" max="12" width="22" hidden="0" customWidth="1"/>
    <x:col min="13" max="13" width="37" hidden="0" customWidth="1"/>
    <x:col min="14" max="14" width="43" hidden="0" customWidth="1"/>
  </x:cols>
  <x:sheetData>
    <x:row r="1" ht="28" customHeight="1">
      <x:c r="A1" s="651" t="str">
        <x:v>2024 Commodity Output Crosswalk — Official Source Boundaries</x:v>
      </x:c>
      <x:c r="B1" s="651"/>
      <x:c r="C1" s="651"/>
      <x:c r="D1" s="651"/>
      <x:c r="E1" s="651"/>
      <x:c r="F1" s="651"/>
      <x:c r="G1" s="651"/>
      <x:c r="H1" s="651"/>
      <x:c r="I1" s="651"/>
      <x:c r="J1" s="651"/>
      <x:c r="K1" s="651"/>
      <x:c r="L1" s="651"/>
      <x:c r="M1" s="651"/>
      <x:c r="N1" s="651"/>
    </x:row>
    <x:row r="2" ht="42" customHeight="1">
      <x:c r="A2" s="654" t="str">
        <x:v>Natural Resources Satellite Account output and input-output industry supply are official controls, but their production boundaries differ. Neither column is economic rent.</x:v>
      </x:c>
      <x:c r="B2" s="654"/>
      <x:c r="C2" s="654"/>
      <x:c r="D2" s="654"/>
      <x:c r="E2" s="654"/>
      <x:c r="F2" s="654"/>
      <x:c r="G2" s="654"/>
      <x:c r="H2" s="654"/>
      <x:c r="I2" s="654"/>
      <x:c r="J2" s="654"/>
      <x:c r="K2" s="654"/>
      <x:c r="L2" s="654"/>
      <x:c r="M2" s="654"/>
      <x:c r="N2" s="654"/>
    </x:row>
    <x:row r="4" ht="40" customHeight="1">
      <x:c r="A4" s="666" t="str">
        <x:v>Commodity / control</x:v>
      </x:c>
      <x:c r="B4" s="667" t="str">
        <x:v>NRSA sector label</x:v>
      </x:c>
      <x:c r="C4" s="667" t="str">
        <x:v>NRSA boundary</x:v>
      </x:c>
      <x:c r="D4" s="667" t="str">
        <x:v>NRSA output 2024 ($B)</x:v>
      </x:c>
      <x:c r="E4" s="667" t="str">
        <x:v>Input-output industry label</x:v>
      </x:c>
      <x:c r="F4" s="667" t="str">
        <x:v>IO boundary</x:v>
      </x:c>
      <x:c r="G4" s="667" t="str">
        <x:v>IO supply 2024 ($B)</x:v>
      </x:c>
      <x:c r="H4" s="667" t="str">
        <x:v>Directly comparable?</x:v>
      </x:c>
      <x:c r="I4" s="667" t="str">
        <x:v>Difference ($B)</x:v>
      </x:c>
      <x:c r="J4" s="667" t="str">
        <x:v>Boundary ruling</x:v>
      </x:c>
      <x:c r="K4" s="667" t="str">
        <x:v>Can populate sales revenue?</x:v>
      </x:c>
      <x:c r="L4" s="667" t="str">
        <x:v>Economic-rent status</x:v>
      </x:c>
      <x:c r="M4" s="667" t="str">
        <x:v>Next required input</x:v>
      </x:c>
      <x:c r="N4" s="668" t="str">
        <x:v>Official source</x:v>
      </x:c>
    </x:row>
    <x:row r="5">
      <x:c r="A5" s="685" t="str">
        <x:v>Conventional and synthetic crude</x:v>
      </x:c>
      <x:c r="B5" s="686" t="str">
        <x:v>Conventional and synthetic crude</x:v>
      </x:c>
      <x:c r="C5" s="686" t="str">
        <x:v>Commodity output within natural-resource extraction</x:v>
      </x:c>
      <x:c r="D5" s="696" t="n">
        <x:v>87.276</x:v>
      </x:c>
      <x:c r="E5" s="696" t="str">
        <x:v>Oil and gas extraction (except oil sands)</x:v>
      </x:c>
      <x:c r="F5" s="696" t="str">
        <x:v>Industry supply includes conventional oil and natural gas</x:v>
      </x:c>
      <x:c r="G5" s="696" t="n">
        <x:v>80.176456</x:v>
      </x:c>
      <x:c r="H5" s="696" t="str">
        <x:v>No</x:v>
      </x:c>
      <x:c r="I5" s="701" t="n">
        <x:f>IF(OR(D5="",G5=""),"",D5-G5)</x:f>
        <x:v>7.0995439999999945</x:v>
      </x:c>
      <x:c r="J5" s="686" t="str">
        <x:v>NRSA commodity and IO industry are not the same boundary.</x:v>
      </x:c>
      <x:c r="K5" s="686" t="str">
        <x:v>NRSA output is a candidate sales/output control</x:v>
      </x:c>
      <x:c r="L5" s="686" t="str">
        <x:v>Incomplete</x:v>
      </x:c>
      <x:c r="M5" s="686" t="str">
        <x:v>Intermediate inputs, labour, CFC and capital allocation</x:v>
      </x:c>
      <x:c r="N5" s="687" t="str">
        <x:v>Statistics Canada 36-10-0624-01; 36-10-0001-01</x:v>
      </x:c>
    </x:row>
    <x:row r="6">
      <x:c r="A6" s="688" t="str">
        <x:v>Crude bitumen</x:v>
      </x:c>
      <x:c r="B6" s="162" t="str">
        <x:v>Crude bitumen</x:v>
      </x:c>
      <x:c r="C6" s="162" t="str">
        <x:v>Commodity output; upgrading treatment follows NRSA classification</x:v>
      </x:c>
      <x:c r="D6" s="237" t="n">
        <x:v>84.236</x:v>
      </x:c>
      <x:c r="E6" s="237" t="str">
        <x:v>Oil sands extraction</x:v>
      </x:c>
      <x:c r="F6" s="237" t="str">
        <x:v>Industry supply may include extraction and upgrading activity</x:v>
      </x:c>
      <x:c r="G6" s="237" t="n">
        <x:v>134.491196</x:v>
      </x:c>
      <x:c r="H6" s="237" t="str">
        <x:v>No</x:v>
      </x:c>
      <x:c r="I6" s="239" t="n">
        <x:f>IF(OR(D6="",G6=""),"",D6-G6)</x:f>
        <x:v>-50.255196</x:v>
      </x:c>
      <x:c r="J6" s="162" t="str">
        <x:v>Large difference is expected from boundary and secondary-output treatment.</x:v>
      </x:c>
      <x:c r="K6" s="162" t="str">
        <x:v>NRSA output is a candidate control</x:v>
      </x:c>
      <x:c r="L6" s="162" t="str">
        <x:v>Incomplete</x:v>
      </x:c>
      <x:c r="M6" s="162" t="str">
        <x:v>Oil-sands extraction/upgrading split and cost bridge</x:v>
      </x:c>
      <x:c r="N6" s="689" t="str">
        <x:v>Statistics Canada 36-10-0624-01; 36-10-0001-01</x:v>
      </x:c>
    </x:row>
    <x:row r="7">
      <x:c r="A7" s="688" t="str">
        <x:v>Natural gas</x:v>
      </x:c>
      <x:c r="B7" s="162" t="str">
        <x:v>Natural gas</x:v>
      </x:c>
      <x:c r="C7" s="162" t="str">
        <x:v>Commodity output</x:v>
      </x:c>
      <x:c r="D7" s="237" t="n">
        <x:v>42.795</x:v>
      </x:c>
      <x:c r="E7" s="237" t="str">
        <x:v>Oil and gas extraction (except oil sands)</x:v>
      </x:c>
      <x:c r="F7" s="237" t="str">
        <x:v>Combined conventional oil and gas industry</x:v>
      </x:c>
      <x:c r="G7" s="237" t="n">
        <x:v>80.176456</x:v>
      </x:c>
      <x:c r="H7" s="237" t="str">
        <x:v>No</x:v>
      </x:c>
      <x:c r="I7" s="239" t="n">
        <x:f>IF(OR(D7="",G7=""),"",D7-G7)</x:f>
        <x:v>-37.381456</x:v>
      </x:c>
      <x:c r="J7" s="162" t="str">
        <x:v>IO industry cannot be assigned wholly to gas.</x:v>
      </x:c>
      <x:c r="K7" s="162" t="str">
        <x:v>NRSA output is a candidate control</x:v>
      </x:c>
      <x:c r="L7" s="162" t="str">
        <x:v>Incomplete</x:v>
      </x:c>
      <x:c r="M7" s="162" t="str">
        <x:v>Gas-specific costs and produced capital</x:v>
      </x:c>
      <x:c r="N7" s="689" t="str">
        <x:v>Statistics Canada 36-10-0624-01; 36-10-0001-01</x:v>
      </x:c>
    </x:row>
    <x:row r="8">
      <x:c r="A8" s="688" t="str">
        <x:v>Coal</x:v>
      </x:c>
      <x:c r="B8" s="162" t="str">
        <x:v>Coal</x:v>
      </x:c>
      <x:c r="C8" s="162" t="str">
        <x:v>Commodity output within mineral extraction</x:v>
      </x:c>
      <x:c r="D8" s="237" t="n">
        <x:v>8.466</x:v>
      </x:c>
      <x:c r="E8" s="237" t="str">
        <x:v>Coal mining</x:v>
      </x:c>
      <x:c r="F8" s="237" t="str">
        <x:v>Coal-mining industry supply</x:v>
      </x:c>
      <x:c r="G8" s="237" t="n">
        <x:v>7.755529</x:v>
      </x:c>
      <x:c r="H8" s="237" t="str">
        <x:v>Approximate</x:v>
      </x:c>
      <x:c r="I8" s="239" t="n">
        <x:f>IF(OR(D8="",G8=""),"",D8-G8)</x:f>
        <x:v>0.7104709999999992</x:v>
      </x:c>
      <x:c r="J8" s="162" t="str">
        <x:v>Boundaries are close but not proven identical.</x:v>
      </x:c>
      <x:c r="K8" s="162" t="str">
        <x:v>Use only after reconciliation</x:v>
      </x:c>
      <x:c r="L8" s="162" t="str">
        <x:v>Incomplete</x:v>
      </x:c>
      <x:c r="M8" s="162" t="str">
        <x:v>Coal compensation, CFC, capital and taxes</x:v>
      </x:c>
      <x:c r="N8" s="689" t="str">
        <x:v>Statistics Canada 36-10-0624-01; 36-10-0001-01</x:v>
      </x:c>
    </x:row>
    <x:row r="9">
      <x:c r="A9" s="688" t="str">
        <x:v>Timber / forestry extraction</x:v>
      </x:c>
      <x:c r="B9" s="162" t="str">
        <x:v>Forestry extraction</x:v>
      </x:c>
      <x:c r="C9" s="162" t="str">
        <x:v>Natural-resource extraction only</x:v>
      </x:c>
      <x:c r="D9" s="237" t="n">
        <x:v>6.231</x:v>
      </x:c>
      <x:c r="E9" s="237" t="str">
        <x:v>Forestry and logging</x:v>
      </x:c>
      <x:c r="F9" s="237" t="str">
        <x:v>Industry supply includes a broader logging boundary</x:v>
      </x:c>
      <x:c r="G9" s="237" t="n">
        <x:v>10.126241</x:v>
      </x:c>
      <x:c r="H9" s="237" t="str">
        <x:v>No</x:v>
      </x:c>
      <x:c r="I9" s="239" t="n">
        <x:f>IF(OR(D9="",G9=""),"",D9-G9)</x:f>
        <x:v>-3.8952410000000004</x:v>
      </x:c>
      <x:c r="J9" s="162" t="str">
        <x:v>Standing-timber rent cannot use all forestry/logging supply.</x:v>
      </x:c>
      <x:c r="K9" s="162" t="str">
        <x:v>No</x:v>
      </x:c>
      <x:c r="L9" s="162" t="str">
        <x:v>Incomplete</x:v>
      </x:c>
      <x:c r="M9" s="162" t="str">
        <x:v>Stumpage, harvest costs, produced capital and sustainable stock</x:v>
      </x:c>
      <x:c r="N9" s="689" t="str">
        <x:v>Statistics Canada 36-10-0624-01; 36-10-0001-01</x:v>
      </x:c>
    </x:row>
    <x:row r="10">
      <x:c r="A10" s="688" t="str">
        <x:v>Metallic minerals control</x:v>
      </x:c>
      <x:c r="B10" s="162" t="str">
        <x:v>Metallic minerals</x:v>
      </x:c>
      <x:c r="C10" s="162" t="str">
        <x:v>Aggregated mineral commodity output</x:v>
      </x:c>
      <x:c r="D10" s="237" t="n">
        <x:v>47.618</x:v>
      </x:c>
      <x:c r="E10" s="237" t="str">
        <x:v>Gold, iron and other metal ore industries</x:v>
      </x:c>
      <x:c r="F10" s="237" t="str">
        <x:v>Separate industry supplies</x:v>
      </x:c>
      <x:c r="G10" s="237" t="n">
        <x:v>46.663859</x:v>
      </x:c>
      <x:c r="H10" s="237" t="str">
        <x:v>Approximate control</x:v>
      </x:c>
      <x:c r="I10" s="239" t="n">
        <x:f>IF(OR(D10="",G10=""),"",D10-G10)</x:f>
        <x:v>0.9541409999999999</x:v>
      </x:c>
      <x:c r="J10" s="162" t="str">
        <x:v>Combined IO industries approximate the NRSA metallic control but include silver and multi-metal boundaries.</x:v>
      </x:c>
      <x:c r="K10" s="162" t="str">
        <x:v>Control total only</x:v>
      </x:c>
      <x:c r="L10" s="162" t="str">
        <x:v>Incomplete</x:v>
      </x:c>
      <x:c r="M10" s="162" t="str">
        <x:v>Commodity allocations and cost components</x:v>
      </x:c>
      <x:c r="N10" s="689" t="str">
        <x:v>Statistics Canada 36-10-0624-01; 36-10-0001-01</x:v>
      </x:c>
    </x:row>
    <x:row r="11">
      <x:c r="A11" s="688" t="str">
        <x:v>Gold and silver ore</x:v>
      </x:c>
      <x:c r="B11" s="162" t="str">
        <x:v>Within metallic minerals</x:v>
      </x:c>
      <x:c r="C11" s="162" t="str">
        <x:v>Not separately shown in NRSA main indicator</x:v>
      </x:c>
      <x:c r="D11" s="237"/>
      <x:c r="E11" s="237" t="str">
        <x:v>Gold and silver ore mining</x:v>
      </x:c>
      <x:c r="F11" s="237" t="str">
        <x:v>Industry supply</x:v>
      </x:c>
      <x:c r="G11" s="237" t="n">
        <x:v>19.974277</x:v>
      </x:c>
      <x:c r="H11" s="237" t="str">
        <x:v>No</x:v>
      </x:c>
      <x:c r="I11" s="239" t="str">
        <x:f>IF(OR(D11="",G11=""),"",D11-G11)</x:f>
      </x:c>
      <x:c r="J11" s="162" t="str">
        <x:v>Gold asset account excludes some silver/multi-product treatment.</x:v>
      </x:c>
      <x:c r="K11" s="162" t="str">
        <x:v>Diagnostic only</x:v>
      </x:c>
      <x:c r="L11" s="162" t="str">
        <x:v>Incomplete</x:v>
      </x:c>
      <x:c r="M11" s="162" t="str">
        <x:v>Gold-specific sales and cost allocation</x:v>
      </x:c>
      <x:c r="N11" s="689" t="str">
        <x:v>Statistics Canada 36-10-0001-01</x:v>
      </x:c>
    </x:row>
    <x:row r="12">
      <x:c r="A12" s="688" t="str">
        <x:v>Iron ore</x:v>
      </x:c>
      <x:c r="B12" s="162" t="str">
        <x:v>Within metallic minerals</x:v>
      </x:c>
      <x:c r="C12" s="162" t="str">
        <x:v>Not separately shown in NRSA main indicator</x:v>
      </x:c>
      <x:c r="D12" s="237"/>
      <x:c r="E12" s="237" t="str">
        <x:v>Iron ore mining</x:v>
      </x:c>
      <x:c r="F12" s="237" t="str">
        <x:v>Industry supply</x:v>
      </x:c>
      <x:c r="G12" s="237" t="n">
        <x:v>9.653907</x:v>
      </x:c>
      <x:c r="H12" s="237" t="str">
        <x:v>No</x:v>
      </x:c>
      <x:c r="I12" s="239" t="str">
        <x:f>IF(OR(D12="",G12=""),"",D12-G12)</x:f>
      </x:c>
      <x:c r="J12" s="162" t="str">
        <x:v>Industry supply requires extraction-cost and capital bridge.</x:v>
      </x:c>
      <x:c r="K12" s="162" t="str">
        <x:v>Diagnostic only</x:v>
      </x:c>
      <x:c r="L12" s="162" t="str">
        <x:v>Incomplete</x:v>
      </x:c>
      <x:c r="M12" s="162" t="str">
        <x:v>Iron-specific costs, CFC and capital</x:v>
      </x:c>
      <x:c r="N12" s="689" t="str">
        <x:v>Statistics Canada 36-10-0001-01</x:v>
      </x:c>
    </x:row>
    <x:row r="13">
      <x:c r="A13" s="688" t="str">
        <x:v>Other metallic ore</x:v>
      </x:c>
      <x:c r="B13" s="162" t="str">
        <x:v>Within metallic minerals</x:v>
      </x:c>
      <x:c r="C13" s="162" t="str">
        <x:v>Aggregated in NRSA metallic control</x:v>
      </x:c>
      <x:c r="D13" s="237"/>
      <x:c r="E13" s="237" t="str">
        <x:v>Copper/nickel/lead/zinc plus other metal ore</x:v>
      </x:c>
      <x:c r="F13" s="237" t="str">
        <x:v>Combined industry supply</x:v>
      </x:c>
      <x:c r="G13" s="237" t="n">
        <x:v>17.035675</x:v>
      </x:c>
      <x:c r="H13" s="237" t="str">
        <x:v>No</x:v>
      </x:c>
      <x:c r="I13" s="239" t="str">
        <x:f>IF(OR(D13="",G13=""),"",D13-G13)</x:f>
      </x:c>
      <x:c r="J13" s="162" t="str">
        <x:v>This control includes several commodities and cannot isolate uranium.</x:v>
      </x:c>
      <x:c r="K13" s="162" t="str">
        <x:v>Control only</x:v>
      </x:c>
      <x:c r="L13" s="162" t="str">
        <x:v>Incomplete</x:v>
      </x:c>
      <x:c r="M13" s="162" t="str">
        <x:v>Commodity-level allocation</x:v>
      </x:c>
      <x:c r="N13" s="689" t="str">
        <x:v>Statistics Canada 36-10-0001-01</x:v>
      </x:c>
    </x:row>
    <x:row r="14">
      <x:c r="A14" s="688" t="str">
        <x:v>Potash</x:v>
      </x:c>
      <x:c r="B14" s="162" t="str">
        <x:v>Within non-metallic minerals</x:v>
      </x:c>
      <x:c r="C14" s="162" t="str">
        <x:v>Not separately shown in NRSA main indicator</x:v>
      </x:c>
      <x:c r="D14" s="237"/>
      <x:c r="E14" s="237" t="str">
        <x:v>Potash mining</x:v>
      </x:c>
      <x:c r="F14" s="237" t="str">
        <x:v>Industry supply</x:v>
      </x:c>
      <x:c r="G14" s="237" t="n">
        <x:v>8.492848</x:v>
      </x:c>
      <x:c r="H14" s="237" t="str">
        <x:v>No</x:v>
      </x:c>
      <x:c r="I14" s="239" t="str">
        <x:f>IF(OR(D14="",G14=""),"",D14-G14)</x:f>
      </x:c>
      <x:c r="J14" s="162" t="str">
        <x:v>Potash requires separate resource-account costs and capital.</x:v>
      </x:c>
      <x:c r="K14" s="162" t="str">
        <x:v>Diagnostic only</x:v>
      </x:c>
      <x:c r="L14" s="162" t="str">
        <x:v>Incomplete</x:v>
      </x:c>
      <x:c r="M14" s="162" t="str">
        <x:v>Potash output/cost/capital bridge</x:v>
      </x:c>
      <x:c r="N14" s="689" t="str">
        <x:v>Statistics Canada 36-10-0001-01</x:v>
      </x:c>
    </x:row>
    <x:row r="15">
      <x:c r="A15" s="688" t="str">
        <x:v>Diamonds</x:v>
      </x:c>
      <x:c r="B15" s="162" t="str">
        <x:v>Within non-metallic minerals</x:v>
      </x:c>
      <x:c r="C15" s="162" t="str">
        <x:v>Not separately shown in NRSA main indicator</x:v>
      </x:c>
      <x:c r="D15" s="237"/>
      <x:c r="E15" s="237" t="str">
        <x:v>Diamond mining</x:v>
      </x:c>
      <x:c r="F15" s="237" t="str">
        <x:v>Industry supply</x:v>
      </x:c>
      <x:c r="G15" s="237" t="n">
        <x:v>1.448164</x:v>
      </x:c>
      <x:c r="H15" s="237" t="str">
        <x:v>No</x:v>
      </x:c>
      <x:c r="I15" s="239" t="str">
        <x:f>IF(OR(D15="",G15=""),"",D15-G15)</x:f>
      </x:c>
      <x:c r="J15" s="162" t="str">
        <x:v>Diagnostic row must remain inside the non-metallic control total.</x:v>
      </x:c>
      <x:c r="K15" s="162" t="str">
        <x:v>Diagnostic only</x:v>
      </x:c>
      <x:c r="L15" s="162" t="str">
        <x:v>Incomplete</x:v>
      </x:c>
      <x:c r="M15" s="162" t="str">
        <x:v>Diamond-specific cost and capital allocation</x:v>
      </x:c>
      <x:c r="N15" s="689" t="str">
        <x:v>Statistics Canada 36-10-0001-01</x:v>
      </x:c>
    </x:row>
    <x:row r="16">
      <x:c r="A16" s="690" t="str">
        <x:v>Non-metallic minerals control</x:v>
      </x:c>
      <x:c r="B16" s="691" t="str">
        <x:v>Non-metallic minerals</x:v>
      </x:c>
      <x:c r="C16" s="691" t="str">
        <x:v>Aggregated mineral commodity output</x:v>
      </x:c>
      <x:c r="D16" s="698" t="n">
        <x:v>17.499</x:v>
      </x:c>
      <x:c r="E16" s="698" t="str">
        <x:v>Potash, diamond and other non-metallic industries</x:v>
      </x:c>
      <x:c r="F16" s="698" t="str">
        <x:v>Combined industry supplies</x:v>
      </x:c>
      <x:c r="G16" s="698" t="n">
        <x:v>16.683156</x:v>
      </x:c>
      <x:c r="H16" s="698" t="str">
        <x:v>Approximate control</x:v>
      </x:c>
      <x:c r="I16" s="702" t="n">
        <x:f>IF(OR(D16="",G16=""),"",D16-G16)</x:f>
        <x:v>0.8158439999999985</x:v>
      </x:c>
      <x:c r="J16" s="691" t="str">
        <x:v>Combined IO industries are a useful control but not a rent measure.</x:v>
      </x:c>
      <x:c r="K16" s="691" t="str">
        <x:v>Control total only</x:v>
      </x:c>
      <x:c r="L16" s="691" t="str">
        <x:v>Incomplete</x:v>
      </x:c>
      <x:c r="M16" s="691" t="str">
        <x:v>Commodity allocations and cost components</x:v>
      </x:c>
      <x:c r="N16" s="692" t="str">
        <x:v>Statistics Canada 36-10-0624-01; 36-10-0001-01</x:v>
      </x:c>
    </x:row>
  </x:sheetData>
  <x:mergeCells>
    <x:mergeCell ref="A1:N1"/>
    <x:mergeCell ref="A2:N2"/>
  </x:mergeCells>
  <x:dataValidations count="2">
    <x:dataValidation type="list" sqref="H5:H16">
      <x:formula1>"No,Approximate,Approximate control,Yes"</x:formula1>
    </x:dataValidation>
    <x:dataValidation type="list" sqref="L5:L16">
      <x:formula1>"Incomplete,Provisional,Verified rent"</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3" hidden="0" customWidth="1"/>
    <x:col min="12" max="12" width="37" hidden="0" customWidth="1"/>
    <x:col min="13" max="13" width="43" hidden="0" customWidth="1"/>
  </x:cols>
  <x:sheetData>
    <x:row r="1" ht="28" customHeight="1">
      <x:c r="A1" s="651" t="str">
        <x:v>2024 CGFS Rent Components — Import Staging</x:v>
      </x:c>
      <x:c r="B1" s="651"/>
      <x:c r="C1" s="651"/>
      <x:c r="D1" s="651"/>
      <x:c r="E1" s="651"/>
      <x:c r="F1" s="651"/>
      <x:c r="G1" s="651"/>
      <x:c r="H1" s="651"/>
      <x:c r="I1" s="651"/>
      <x:c r="J1" s="651"/>
      <x:c r="K1" s="651"/>
      <x:c r="L1" s="651"/>
      <x:c r="M1" s="651"/>
    </x:row>
    <x:row r="2" ht="42" customHeight="1">
      <x:c r="A2" s="654" t="str">
        <x:v>The next extractor run will populate total rent plus oil and gas, forestry, mineral and other resources, water resources and other rent for all fourteen governments.</x:v>
      </x:c>
      <x:c r="B2" s="654"/>
      <x:c r="C2" s="654"/>
      <x:c r="D2" s="654"/>
      <x:c r="E2" s="654"/>
      <x:c r="F2" s="654"/>
      <x:c r="G2" s="654"/>
      <x:c r="H2" s="654"/>
      <x:c r="I2" s="654"/>
      <x:c r="J2" s="654"/>
      <x:c r="K2" s="654"/>
      <x:c r="L2" s="654"/>
      <x:c r="M2" s="654"/>
    </x:row>
    <x:row r="4" ht="40" customHeight="1">
      <x:c r="A4" s="666" t="str">
        <x:v>Jurisdiction</x:v>
      </x:c>
      <x:c r="B4" s="667" t="str">
        <x:v>Reference year</x:v>
      </x:c>
      <x:c r="C4" s="667" t="str">
        <x:v>Total rent ($B)</x:v>
      </x:c>
      <x:c r="D4" s="667" t="str">
        <x:v>Oil and gas ($B)</x:v>
      </x:c>
      <x:c r="E4" s="667" t="str">
        <x:v>Forestry ($B)</x:v>
      </x:c>
      <x:c r="F4" s="667" t="str">
        <x:v>Mineral and other resources ($B)</x:v>
      </x:c>
      <x:c r="G4" s="667" t="str">
        <x:v>Water resources ($B)</x:v>
      </x:c>
      <x:c r="H4" s="667" t="str">
        <x:v>Other rent ($B)</x:v>
      </x:c>
      <x:c r="I4" s="667" t="str">
        <x:v>Component sum ($B)</x:v>
      </x:c>
      <x:c r="J4" s="667" t="str">
        <x:v>Balance: total − components ($B)</x:v>
      </x:c>
      <x:c r="K4" s="667" t="str">
        <x:v>Import status</x:v>
      </x:c>
      <x:c r="L4" s="667" t="str">
        <x:v>Reconciliation use</x:v>
      </x:c>
      <x:c r="M4" s="668" t="str">
        <x:v>Source receipt</x:v>
      </x:c>
    </x:row>
    <x:row r="5">
      <x:c r="A5" s="685" t="str">
        <x:v>Federal government</x:v>
      </x:c>
      <x:c r="B5" s="695" t="n">
        <x:v>2024</x:v>
      </x:c>
      <x:c r="C5" s="696" t="n">
        <x:v>0.758</x:v>
      </x:c>
      <x:c r="D5" s="696" t="n">
        <x:v>0.66</x:v>
      </x:c>
      <x:c r="E5" s="696" t="n">
        <x:v>0</x:v>
      </x:c>
      <x:c r="F5" s="696" t="n">
        <x:v>0</x:v>
      </x:c>
      <x:c r="G5" s="696" t="n">
        <x:v>0</x:v>
      </x:c>
      <x:c r="H5" s="696" t="n">
        <x:v>0.097</x:v>
      </x:c>
      <x:c r="I5" s="701" t="n">
        <x:f>SUM(D5:H5)</x:f>
        <x:v>0.757</x:v>
      </x:c>
      <x:c r="J5" s="701" t="n">
        <x:f>C5-I5</x:f>
        <x:v>0.0010000000000000009</x:v>
      </x:c>
      <x:c r="K5" s="783" t="str">
        <x:v>Balanced; receipt v0.2.2 verified</x:v>
      </x:c>
      <x:c r="L5" s="686" t="str">
        <x:v>Explains public-account category and scope differences</x:v>
      </x:c>
      <x:c r="M5" s="687" t="str">
        <x:v>532291d5e105cf943db14303dc071544d3abbdb79a3b053dbf8606e2aaecd8e4</x:v>
      </x:c>
    </x:row>
    <x:row r="6">
      <x:c r="A6" s="688" t="str">
        <x:v>Newfoundland and Labrador</x:v>
      </x:c>
      <x:c r="B6" s="171" t="n">
        <x:v>2024</x:v>
      </x:c>
      <x:c r="C6" s="237" t="n">
        <x:v>1.009</x:v>
      </x:c>
      <x:c r="D6" s="237" t="n">
        <x:v>0.893</x:v>
      </x:c>
      <x:c r="E6" s="237" t="n">
        <x:v>0.002</x:v>
      </x:c>
      <x:c r="F6" s="237" t="n">
        <x:v>0.088</x:v>
      </x:c>
      <x:c r="G6" s="237" t="n">
        <x:v>0.025</x:v>
      </x:c>
      <x:c r="H6" s="237" t="n">
        <x:v>0</x:v>
      </x:c>
      <x:c r="I6" s="239" t="n">
        <x:f>SUM(D6:H6)</x:f>
        <x:v>1.008</x:v>
      </x:c>
      <x:c r="J6" s="239" t="n">
        <x:f>C6-I6</x:f>
        <x:v>0.0009999999999998899</x:v>
      </x:c>
      <x:c r="K6" s="784" t="str">
        <x:v>Balanced; receipt v0.2.2 verified</x:v>
      </x:c>
      <x:c r="L6" s="162" t="str">
        <x:v>Explains public-account category and scope differences</x:v>
      </x:c>
      <x:c r="M6" s="689" t="str">
        <x:v>532291d5e105cf943db14303dc071544d3abbdb79a3b053dbf8606e2aaecd8e4</x:v>
      </x:c>
    </x:row>
    <x:row r="7">
      <x:c r="A7" s="688" t="str">
        <x:v>Prince Edward Island</x:v>
      </x:c>
      <x:c r="B7" s="171" t="n">
        <x:v>2024</x:v>
      </x:c>
      <x:c r="C7" s="237" t="n">
        <x:v>0</x:v>
      </x:c>
      <x:c r="D7" s="237" t="n">
        <x:v>0</x:v>
      </x:c>
      <x:c r="E7" s="237" t="n">
        <x:v>0</x:v>
      </x:c>
      <x:c r="F7" s="237" t="n">
        <x:v>0</x:v>
      </x:c>
      <x:c r="G7" s="237" t="n">
        <x:v>0</x:v>
      </x:c>
      <x:c r="H7" s="237" t="n">
        <x:v>0</x:v>
      </x:c>
      <x:c r="I7" s="239" t="n">
        <x:f>SUM(D7:H7)</x:f>
        <x:v>0</x:v>
      </x:c>
      <x:c r="J7" s="239" t="n">
        <x:f>C7-I7</x:f>
        <x:v>0</x:v>
      </x:c>
      <x:c r="K7" s="784" t="str">
        <x:v>Balanced; receipt v0.2.2 verified</x:v>
      </x:c>
      <x:c r="L7" s="162" t="str">
        <x:v>Explains public-account category and scope differences</x:v>
      </x:c>
      <x:c r="M7" s="689" t="str">
        <x:v>532291d5e105cf943db14303dc071544d3abbdb79a3b053dbf8606e2aaecd8e4</x:v>
      </x:c>
    </x:row>
    <x:row r="8">
      <x:c r="A8" s="688" t="str">
        <x:v>Nova Scotia</x:v>
      </x:c>
      <x:c r="B8" s="171" t="n">
        <x:v>2024</x:v>
      </x:c>
      <x:c r="C8" s="237" t="n">
        <x:v>0.013</x:v>
      </x:c>
      <x:c r="D8" s="237" t="n">
        <x:v>0</x:v>
      </x:c>
      <x:c r="E8" s="237" t="n">
        <x:v>0.007</x:v>
      </x:c>
      <x:c r="F8" s="237" t="n">
        <x:v>0.001</x:v>
      </x:c>
      <x:c r="G8" s="237" t="n">
        <x:v>0</x:v>
      </x:c>
      <x:c r="H8" s="237" t="n">
        <x:v>0.005</x:v>
      </x:c>
      <x:c r="I8" s="239" t="n">
        <x:f>SUM(D8:H8)</x:f>
        <x:v>0.013000000000000001</x:v>
      </x:c>
      <x:c r="J8" s="239" t="n">
        <x:f>C8-I8</x:f>
        <x:v>-1.734723475976807e-18</x:v>
      </x:c>
      <x:c r="K8" s="784" t="str">
        <x:v>Balanced; receipt v0.2.2 verified</x:v>
      </x:c>
      <x:c r="L8" s="162" t="str">
        <x:v>Explains public-account category and scope differences</x:v>
      </x:c>
      <x:c r="M8" s="689" t="str">
        <x:v>532291d5e105cf943db14303dc071544d3abbdb79a3b053dbf8606e2aaecd8e4</x:v>
      </x:c>
    </x:row>
    <x:row r="9">
      <x:c r="A9" s="688" t="str">
        <x:v>New Brunswick</x:v>
      </x:c>
      <x:c r="B9" s="171" t="n">
        <x:v>2024</x:v>
      </x:c>
      <x:c r="C9" s="237" t="n">
        <x:v>0.083</x:v>
      </x:c>
      <x:c r="D9" s="237" t="n">
        <x:v>0.001</x:v>
      </x:c>
      <x:c r="E9" s="237" t="n">
        <x:v>0.079</x:v>
      </x:c>
      <x:c r="F9" s="237" t="n">
        <x:v>0.003</x:v>
      </x:c>
      <x:c r="G9" s="237" t="n">
        <x:v>0</x:v>
      </x:c>
      <x:c r="H9" s="237" t="n">
        <x:v>0.001</x:v>
      </x:c>
      <x:c r="I9" s="239" t="n">
        <x:f>SUM(D9:H9)</x:f>
        <x:v>0.084</x:v>
      </x:c>
      <x:c r="J9" s="239" t="n">
        <x:f>C9-I9</x:f>
        <x:v>-0.0010000000000000009</x:v>
      </x:c>
      <x:c r="K9" s="784" t="str">
        <x:v>Balanced; receipt v0.2.2 verified</x:v>
      </x:c>
      <x:c r="L9" s="162" t="str">
        <x:v>Explains public-account category and scope differences</x:v>
      </x:c>
      <x:c r="M9" s="689" t="str">
        <x:v>532291d5e105cf943db14303dc071544d3abbdb79a3b053dbf8606e2aaecd8e4</x:v>
      </x:c>
    </x:row>
    <x:row r="10">
      <x:c r="A10" s="688" t="str">
        <x:v>Quebec</x:v>
      </x:c>
      <x:c r="B10" s="171" t="n">
        <x:v>2024</x:v>
      </x:c>
      <x:c r="C10" s="237" t="n">
        <x:v>1.586</x:v>
      </x:c>
      <x:c r="D10" s="237" t="n">
        <x:v>0</x:v>
      </x:c>
      <x:c r="E10" s="237" t="n">
        <x:v>0.259</x:v>
      </x:c>
      <x:c r="F10" s="237" t="n">
        <x:v>0.025</x:v>
      </x:c>
      <x:c r="G10" s="237" t="n">
        <x:v>0.903</x:v>
      </x:c>
      <x:c r="H10" s="237" t="n">
        <x:v>0.398</x:v>
      </x:c>
      <x:c r="I10" s="239" t="n">
        <x:f>SUM(D10:H10)</x:f>
        <x:v>1.585</x:v>
      </x:c>
      <x:c r="J10" s="239" t="n">
        <x:f>C10-I10</x:f>
        <x:v>0.001000000000000112</x:v>
      </x:c>
      <x:c r="K10" s="784" t="str">
        <x:v>Balanced; receipt v0.2.2 verified</x:v>
      </x:c>
      <x:c r="L10" s="162" t="str">
        <x:v>Explains public-account category and scope differences</x:v>
      </x:c>
      <x:c r="M10" s="689" t="str">
        <x:v>532291d5e105cf943db14303dc071544d3abbdb79a3b053dbf8606e2aaecd8e4</x:v>
      </x:c>
    </x:row>
    <x:row r="11">
      <x:c r="A11" s="688" t="str">
        <x:v>Ontario</x:v>
      </x:c>
      <x:c r="B11" s="171" t="n">
        <x:v>2024</x:v>
      </x:c>
      <x:c r="C11" s="237" t="n">
        <x:v>0.254</x:v>
      </x:c>
      <x:c r="D11" s="237" t="n">
        <x:v>0.001</x:v>
      </x:c>
      <x:c r="E11" s="237" t="n">
        <x:v>0.043</x:v>
      </x:c>
      <x:c r="F11" s="237" t="n">
        <x:v>0.008</x:v>
      </x:c>
      <x:c r="G11" s="237" t="n">
        <x:v>0.127</x:v>
      </x:c>
      <x:c r="H11" s="237" t="n">
        <x:v>0.076</x:v>
      </x:c>
      <x:c r="I11" s="239" t="n">
        <x:f>SUM(D11:H11)</x:f>
        <x:v>0.255</x:v>
      </x:c>
      <x:c r="J11" s="239" t="n">
        <x:f>C11-I11</x:f>
        <x:v>-0.0010000000000000009</x:v>
      </x:c>
      <x:c r="K11" s="784" t="str">
        <x:v>Balanced; receipt v0.2.2 verified</x:v>
      </x:c>
      <x:c r="L11" s="162" t="str">
        <x:v>Explains public-account category and scope differences</x:v>
      </x:c>
      <x:c r="M11" s="689" t="str">
        <x:v>532291d5e105cf943db14303dc071544d3abbdb79a3b053dbf8606e2aaecd8e4</x:v>
      </x:c>
    </x:row>
    <x:row r="12">
      <x:c r="A12" s="688" t="str">
        <x:v>Manitoba</x:v>
      </x:c>
      <x:c r="B12" s="171" t="n">
        <x:v>2024</x:v>
      </x:c>
      <x:c r="C12" s="237" t="n">
        <x:v>0.083</x:v>
      </x:c>
      <x:c r="D12" s="237" t="n">
        <x:v>0.017</x:v>
      </x:c>
      <x:c r="E12" s="237" t="n">
        <x:v>0.008</x:v>
      </x:c>
      <x:c r="F12" s="237" t="n">
        <x:v>0.003</x:v>
      </x:c>
      <x:c r="G12" s="237" t="n">
        <x:v>0.054</x:v>
      </x:c>
      <x:c r="H12" s="237" t="n">
        <x:v>0</x:v>
      </x:c>
      <x:c r="I12" s="239" t="n">
        <x:f>SUM(D12:H12)</x:f>
        <x:v>0.082</x:v>
      </x:c>
      <x:c r="J12" s="239" t="n">
        <x:f>C12-I12</x:f>
        <x:v>0.0010000000000000009</x:v>
      </x:c>
      <x:c r="K12" s="784" t="str">
        <x:v>Balanced; receipt v0.2.2 verified</x:v>
      </x:c>
      <x:c r="L12" s="162" t="str">
        <x:v>Explains public-account category and scope differences</x:v>
      </x:c>
      <x:c r="M12" s="689" t="str">
        <x:v>532291d5e105cf943db14303dc071544d3abbdb79a3b053dbf8606e2aaecd8e4</x:v>
      </x:c>
    </x:row>
    <x:row r="13">
      <x:c r="A13" s="688" t="str">
        <x:v>Saskatchewan</x:v>
      </x:c>
      <x:c r="B13" s="171" t="n">
        <x:v>2024</x:v>
      </x:c>
      <x:c r="C13" s="237" t="n">
        <x:v>1.617</x:v>
      </x:c>
      <x:c r="D13" s="237" t="n">
        <x:v>1.029</x:v>
      </x:c>
      <x:c r="E13" s="237" t="n">
        <x:v>0.023</x:v>
      </x:c>
      <x:c r="F13" s="237" t="n">
        <x:v>0.526</x:v>
      </x:c>
      <x:c r="G13" s="237" t="n">
        <x:v>0</x:v>
      </x:c>
      <x:c r="H13" s="237" t="n">
        <x:v>0.039</x:v>
      </x:c>
      <x:c r="I13" s="239" t="n">
        <x:f>SUM(D13:H13)</x:f>
        <x:v>1.6169999999999998</x:v>
      </x:c>
      <x:c r="J13" s="239" t="n">
        <x:f>C13-I13</x:f>
        <x:v>2.220446049250313e-16</x:v>
      </x:c>
      <x:c r="K13" s="784" t="str">
        <x:v>Balanced; receipt v0.2.2 verified</x:v>
      </x:c>
      <x:c r="L13" s="162" t="str">
        <x:v>Explains public-account category and scope differences</x:v>
      </x:c>
      <x:c r="M13" s="689" t="str">
        <x:v>532291d5e105cf943db14303dc071544d3abbdb79a3b053dbf8606e2aaecd8e4</x:v>
      </x:c>
    </x:row>
    <x:row r="14">
      <x:c r="A14" s="688" t="str">
        <x:v>Alberta</x:v>
      </x:c>
      <x:c r="B14" s="171" t="n">
        <x:v>2024</x:v>
      </x:c>
      <x:c r="C14" s="237" t="n">
        <x:v>22.791</x:v>
      </x:c>
      <x:c r="D14" s="237" t="n">
        <x:v>21.808</x:v>
      </x:c>
      <x:c r="E14" s="237" t="n">
        <x:v>0.097</x:v>
      </x:c>
      <x:c r="F14" s="237" t="n">
        <x:v>0.015</x:v>
      </x:c>
      <x:c r="G14" s="237" t="n">
        <x:v>0.001</x:v>
      </x:c>
      <x:c r="H14" s="237" t="n">
        <x:v>0.869</x:v>
      </x:c>
      <x:c r="I14" s="239" t="n">
        <x:f>SUM(D14:H14)</x:f>
        <x:v>22.790000000000003</x:v>
      </x:c>
      <x:c r="J14" s="239" t="n">
        <x:f>C14-I14</x:f>
        <x:v>0.0009999999999976694</x:v>
      </x:c>
      <x:c r="K14" s="784" t="str">
        <x:v>Balanced; receipt v0.2.2 verified</x:v>
      </x:c>
      <x:c r="L14" s="162" t="str">
        <x:v>Explains public-account category and scope differences</x:v>
      </x:c>
      <x:c r="M14" s="689" t="str">
        <x:v>532291d5e105cf943db14303dc071544d3abbdb79a3b053dbf8606e2aaecd8e4</x:v>
      </x:c>
    </x:row>
    <x:row r="15">
      <x:c r="A15" s="688" t="str">
        <x:v>British Columbia</x:v>
      </x:c>
      <x:c r="B15" s="171" t="n">
        <x:v>2024</x:v>
      </x:c>
      <x:c r="C15" s="237" t="n">
        <x:v>1.869</x:v>
      </x:c>
      <x:c r="D15" s="237" t="n">
        <x:v>0.754</x:v>
      </x:c>
      <x:c r="E15" s="237" t="n">
        <x:v>0.359</x:v>
      </x:c>
      <x:c r="F15" s="237" t="n">
        <x:v>0.014</x:v>
      </x:c>
      <x:c r="G15" s="237" t="n">
        <x:v>0.663</x:v>
      </x:c>
      <x:c r="H15" s="237" t="n">
        <x:v>0.078</x:v>
      </x:c>
      <x:c r="I15" s="239" t="n">
        <x:f>SUM(D15:H15)</x:f>
        <x:v>1.868</x:v>
      </x:c>
      <x:c r="J15" s="239" t="n">
        <x:f>C15-I15</x:f>
        <x:v>0.0009999999999998899</x:v>
      </x:c>
      <x:c r="K15" s="784" t="str">
        <x:v>Balanced; receipt v0.2.2 verified</x:v>
      </x:c>
      <x:c r="L15" s="162" t="str">
        <x:v>Explains public-account category and scope differences</x:v>
      </x:c>
      <x:c r="M15" s="689" t="str">
        <x:v>532291d5e105cf943db14303dc071544d3abbdb79a3b053dbf8606e2aaecd8e4</x:v>
      </x:c>
    </x:row>
    <x:row r="16">
      <x:c r="A16" s="688" t="str">
        <x:v>Yukon</x:v>
      </x:c>
      <x:c r="B16" s="171" t="n">
        <x:v>2024</x:v>
      </x:c>
      <x:c r="C16" s="237" t="n">
        <x:v>0.002</x:v>
      </x:c>
      <x:c r="D16" s="237" t="n">
        <x:v>0</x:v>
      </x:c>
      <x:c r="E16" s="237" t="n">
        <x:v>0</x:v>
      </x:c>
      <x:c r="F16" s="237" t="n">
        <x:v>0.002</x:v>
      </x:c>
      <x:c r="G16" s="237" t="n">
        <x:v>0</x:v>
      </x:c>
      <x:c r="H16" s="237" t="n">
        <x:v>0</x:v>
      </x:c>
      <x:c r="I16" s="239" t="n">
        <x:f>SUM(D16:H16)</x:f>
        <x:v>0.002</x:v>
      </x:c>
      <x:c r="J16" s="239" t="n">
        <x:f>C16-I16</x:f>
        <x:v>0</x:v>
      </x:c>
      <x:c r="K16" s="784" t="str">
        <x:v>Balanced; receipt v0.2.2 verified</x:v>
      </x:c>
      <x:c r="L16" s="162" t="str">
        <x:v>Explains public-account category and scope differences</x:v>
      </x:c>
      <x:c r="M16" s="689" t="str">
        <x:v>532291d5e105cf943db14303dc071544d3abbdb79a3b053dbf8606e2aaecd8e4</x:v>
      </x:c>
    </x:row>
    <x:row r="17">
      <x:c r="A17" s="688" t="str">
        <x:v>Northwest Territories</x:v>
      </x:c>
      <x:c r="B17" s="171" t="n">
        <x:v>2024</x:v>
      </x:c>
      <x:c r="C17" s="237" t="n">
        <x:v>0.009</x:v>
      </x:c>
      <x:c r="D17" s="237" t="n">
        <x:v>0.004</x:v>
      </x:c>
      <x:c r="E17" s="237" t="n">
        <x:v>0</x:v>
      </x:c>
      <x:c r="F17" s="237" t="n">
        <x:v>0.002</x:v>
      </x:c>
      <x:c r="G17" s="237" t="n">
        <x:v>0</x:v>
      </x:c>
      <x:c r="H17" s="237" t="n">
        <x:v>0.003</x:v>
      </x:c>
      <x:c r="I17" s="239" t="n">
        <x:f>SUM(D17:H17)</x:f>
        <x:v>0.009000000000000001</x:v>
      </x:c>
      <x:c r="J17" s="239" t="n">
        <x:f>C17-I17</x:f>
        <x:v>-1.734723475976807e-18</x:v>
      </x:c>
      <x:c r="K17" s="784" t="str">
        <x:v>Balanced; receipt v0.2.2 verified</x:v>
      </x:c>
      <x:c r="L17" s="162" t="str">
        <x:v>Explains public-account category and scope differences</x:v>
      </x:c>
      <x:c r="M17" s="689" t="str">
        <x:v>532291d5e105cf943db14303dc071544d3abbdb79a3b053dbf8606e2aaecd8e4</x:v>
      </x:c>
    </x:row>
    <x:row r="18">
      <x:c r="A18" s="690" t="str">
        <x:v>Nunavut</x:v>
      </x:c>
      <x:c r="B18" s="697" t="n">
        <x:v>2024</x:v>
      </x:c>
      <x:c r="C18" s="698" t="n">
        <x:v>0</x:v>
      </x:c>
      <x:c r="D18" s="698" t="n">
        <x:v>0</x:v>
      </x:c>
      <x:c r="E18" s="698" t="n">
        <x:v>0</x:v>
      </x:c>
      <x:c r="F18" s="698" t="n">
        <x:v>0</x:v>
      </x:c>
      <x:c r="G18" s="698" t="n">
        <x:v>0</x:v>
      </x:c>
      <x:c r="H18" s="698" t="n">
        <x:v>0</x:v>
      </x:c>
      <x:c r="I18" s="702" t="n">
        <x:f>SUM(D18:H18)</x:f>
        <x:v>0</x:v>
      </x:c>
      <x:c r="J18" s="702" t="n">
        <x:f>C18-I18</x:f>
        <x:v>0</x:v>
      </x:c>
      <x:c r="K18" s="785" t="str">
        <x:v>Balanced; receipt v0.2.2 verified</x:v>
      </x:c>
      <x:c r="L18" s="691" t="str">
        <x:v>Explains public-account category and scope differences</x:v>
      </x:c>
      <x:c r="M18" s="692" t="str">
        <x:v>532291d5e105cf943db14303dc071544d3abbdb79a3b053dbf8606e2aaecd8e4</x:v>
      </x:c>
    </x:row>
  </x:sheetData>
  <x:mergeCells>
    <x:mergeCell ref="A1:M1"/>
    <x:mergeCell ref="A2:M2"/>
  </x:mergeCells>
  <x:conditionalFormatting sqref="K5:K18">
    <x:cfRule type="expression" dxfId="13" priority="1">
      <x:formula>OR(K5="Corrected metadata mapping; balanced",K5="Balanced; reconciliation pending")</x:formula>
    </x:cfRule>
  </x:conditionalFormatting>
  <x:dataValidations count="1">
    <x:dataValidation type="list" sqref="K5:K18">
      <x:formula1>"Corrected metadata mapping; balanced,Balanced; reconciliation pending,Reconciled"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23" hidden="0" customWidth="1"/>
    <x:col min="2" max="2" width="25" hidden="0" customWidth="1"/>
    <x:col min="3" max="3" width="18" hidden="0" customWidth="1"/>
    <x:col min="4" max="4" width="19" hidden="0" customWidth="1"/>
    <x:col min="5" max="5" width="19" hidden="0" customWidth="1"/>
    <x:col min="6" max="6" width="19" hidden="0" customWidth="1"/>
    <x:col min="7" max="7" width="19" hidden="0" customWidth="1"/>
    <x:col min="8" max="8" width="19" hidden="0" customWidth="1"/>
    <x:col min="9" max="9" width="20" hidden="0" customWidth="1"/>
    <x:col min="10" max="10" width="20" hidden="0" customWidth="1"/>
    <x:col min="11" max="11" width="20" hidden="0" customWidth="1"/>
    <x:col min="12" max="12" width="18" hidden="0" customWidth="1"/>
    <x:col min="13" max="13" width="18" hidden="0" customWidth="1"/>
    <x:col min="14" max="14" width="22" hidden="0" customWidth="1"/>
    <x:col min="15" max="15" width="26" hidden="0" customWidth="1"/>
    <x:col min="16" max="16" width="35" hidden="0" customWidth="1"/>
    <x:col min="17" max="17" width="43" hidden="0" customWidth="1"/>
  </x:cols>
  <x:sheetData>
    <x:row r="1" ht="28" customHeight="1">
      <x:c r="A1" s="651" t="str">
        <x:v>2024 Commodity Economic-Rent Input Staging</x:v>
      </x:c>
      <x:c r="B1" s="651"/>
      <x:c r="C1" s="651"/>
      <x:c r="D1" s="651"/>
      <x:c r="E1" s="651"/>
      <x:c r="F1" s="651"/>
      <x:c r="G1" s="651"/>
      <x:c r="H1" s="651"/>
      <x:c r="I1" s="651"/>
      <x:c r="J1" s="651"/>
      <x:c r="K1" s="651"/>
      <x:c r="L1" s="651"/>
      <x:c r="M1" s="651"/>
      <x:c r="N1" s="651"/>
      <x:c r="O1" s="651"/>
      <x:c r="P1" s="651"/>
      <x:c r="Q1" s="651"/>
    </x:row>
    <x:row r="2" ht="42" customHeight="1">
      <x:c r="A2" s="654" t="str">
        <x:v>Official output controls are retained. Missing cost and capital inputs are blank, rejected proxy values are removed, and economic rent remains blank until every required component is observed on a compatible boundary.</x:v>
      </x:c>
      <x:c r="B2" s="654"/>
      <x:c r="C2" s="654"/>
      <x:c r="D2" s="654"/>
      <x:c r="E2" s="654"/>
      <x:c r="F2" s="654"/>
      <x:c r="G2" s="654"/>
      <x:c r="H2" s="654"/>
      <x:c r="I2" s="654"/>
      <x:c r="J2" s="654"/>
      <x:c r="K2" s="654"/>
      <x:c r="L2" s="654"/>
      <x:c r="M2" s="654"/>
      <x:c r="N2" s="654"/>
      <x:c r="O2" s="654"/>
      <x:c r="P2" s="654"/>
      <x:c r="Q2" s="654"/>
    </x:row>
    <x:row r="4" ht="40" customHeight="1">
      <x:c r="A4" s="666" t="str">
        <x:v>Commodity / control</x:v>
      </x:c>
      <x:c r="B4" s="667" t="str">
        <x:v>Production boundary</x:v>
      </x:c>
      <x:c r="C4" s="667" t="str">
        <x:v>Reference year</x:v>
      </x:c>
      <x:c r="D4" s="667" t="str">
        <x:v>Output / sales ($B)</x:v>
      </x:c>
      <x:c r="E4" s="667" t="str">
        <x:v>Intermediate inputs ($B)</x:v>
      </x:c>
      <x:c r="F4" s="667" t="str">
        <x:v>Labour compensation ($B)</x:v>
      </x:c>
      <x:c r="G4" s="667" t="str">
        <x:v>Consumption of fixed capital ($B)</x:v>
      </x:c>
      <x:c r="H4" s="667" t="str">
        <x:v>Net produced capital ($B)</x:v>
      </x:c>
      <x:c r="I4" s="667" t="str">
        <x:v>Normal return rate</x:v>
      </x:c>
      <x:c r="J4" s="667" t="str">
        <x:v>Normal return ($B)</x:v>
      </x:c>
      <x:c r="K4" s="667" t="str">
        <x:v>Calculated economic rent ($B)</x:v>
      </x:c>
      <x:c r="L4" s="667" t="str">
        <x:v>Output status</x:v>
      </x:c>
      <x:c r="M4" s="667" t="str">
        <x:v>Cost status</x:v>
      </x:c>
      <x:c r="N4" s="667" t="str">
        <x:v>Capital status</x:v>
      </x:c>
      <x:c r="O4" s="667" t="str">
        <x:v>Boundary status</x:v>
      </x:c>
      <x:c r="P4" s="667" t="str">
        <x:v>Import / validation status</x:v>
      </x:c>
      <x:c r="Q4" s="668" t="str">
        <x:v>Source receipt</x:v>
      </x:c>
    </x:row>
    <x:row r="5">
      <x:c r="A5" s="685" t="str">
        <x:v>Conventional crude oil</x:v>
      </x:c>
      <x:c r="B5" s="686" t="str">
        <x:v>See Commodity_Rent_Bridge and Commodity_Output_Crosswalk</x:v>
      </x:c>
      <x:c r="C5" s="695" t="n">
        <x:v>2024</x:v>
      </x:c>
      <x:c r="D5" s="696" t="n">
        <x:v>87.276</x:v>
      </x:c>
      <x:c r="E5" s="696"/>
      <x:c r="F5" s="696"/>
      <x:c r="G5" s="696"/>
      <x:c r="H5" s="696"/>
      <x:c r="I5" s="1060" t="n">
        <x:f>Assumptions!$B$26</x:f>
        <x:v>0.009091666666666665</x:v>
      </x:c>
      <x:c r="J5" s="1059" t="str">
        <x:f>IF(AND(ISNUMBER(H5),ISNUMBER(I5)),H5*I5,"")</x:f>
      </x:c>
      <x:c r="K5" s="1081" t="str">
        <x:f>IF(AND(COUNT(D5:G5)=4,ISNUMBER(J5)),D5-E5-F5-G5-J5,"")</x:f>
      </x:c>
      <x:c r="L5" s="686" t="str">
        <x:v>Official NRSA output imported</x:v>
      </x:c>
      <x:c r="M5" s="686" t="str">
        <x:v>Awaiting extractor</x:v>
      </x:c>
      <x:c r="N5" s="686" t="str">
        <x:v>Awaiting extractor</x:v>
      </x:c>
      <x:c r="O5" s="686" t="str">
        <x:v>Defined / requires validation</x:v>
      </x:c>
      <x:c r="P5" s="686" t="str">
        <x:v>OUTPUT ONLY — costs and capital pending</x:v>
      </x:c>
      <x:c r="Q5" s="687" t="str">
        <x:v>532291d5e105cf943db14303dc071544d3abbdb79a3b053dbf8606e2aaecd8e4</x:v>
      </x:c>
    </x:row>
    <x:row r="6">
      <x:c r="A6" s="688" t="str">
        <x:v>Crude bitumen</x:v>
      </x:c>
      <x:c r="B6" s="162" t="str">
        <x:v>See Commodity_Rent_Bridge and Commodity_Output_Crosswalk</x:v>
      </x:c>
      <x:c r="C6" s="171" t="n">
        <x:v>2024</x:v>
      </x:c>
      <x:c r="D6" s="237" t="n">
        <x:v>84.236</x:v>
      </x:c>
      <x:c r="E6" s="237"/>
      <x:c r="F6" s="237"/>
      <x:c r="G6" s="237"/>
      <x:c r="H6" s="237"/>
      <x:c r="I6" s="1084" t="n">
        <x:f>Assumptions!$B$26</x:f>
        <x:v>0.009091666666666665</x:v>
      </x:c>
      <x:c r="J6" s="1085" t="str">
        <x:f>IF(AND(ISNUMBER(H6),ISNUMBER(I6)),H6*I6,"")</x:f>
      </x:c>
      <x:c r="K6" s="1082" t="str">
        <x:f>IF(AND(COUNT(D6:G6)=4,ISNUMBER(J6)),D6-E6-F6-G6-J6,"")</x:f>
      </x:c>
      <x:c r="L6" s="162" t="str">
        <x:v>Official NRSA output imported</x:v>
      </x:c>
      <x:c r="M6" s="162" t="str">
        <x:v>Awaiting extractor</x:v>
      </x:c>
      <x:c r="N6" s="162" t="str">
        <x:v>Awaiting extractor</x:v>
      </x:c>
      <x:c r="O6" s="162" t="str">
        <x:v>Defined / requires validation</x:v>
      </x:c>
      <x:c r="P6" s="1279" t="str">
        <x:v>INDUSTRY BRIDGE PASS — COMMODITY BOUNDARY FAIL</x:v>
      </x:c>
      <x:c r="Q6" s="689" t="str">
        <x:v>532291d5e105cf943db14303dc071544d3abbdb79a3b053dbf8606e2aaecd8e4</x:v>
      </x:c>
    </x:row>
    <x:row r="7">
      <x:c r="A7" s="688" t="str">
        <x:v>Natural gas and NGLs</x:v>
      </x:c>
      <x:c r="B7" s="162" t="str">
        <x:v>See Commodity_Rent_Bridge and Commodity_Output_Crosswalk</x:v>
      </x:c>
      <x:c r="C7" s="171" t="n">
        <x:v>2024</x:v>
      </x:c>
      <x:c r="D7" s="237" t="n">
        <x:v>42.795</x:v>
      </x:c>
      <x:c r="E7" s="237"/>
      <x:c r="F7" s="237"/>
      <x:c r="G7" s="237"/>
      <x:c r="H7" s="237"/>
      <x:c r="I7" s="1084" t="n">
        <x:f>Assumptions!$B$26</x:f>
        <x:v>0.009091666666666665</x:v>
      </x:c>
      <x:c r="J7" s="1085" t="str">
        <x:f>IF(AND(ISNUMBER(H7),ISNUMBER(I7)),H7*I7,"")</x:f>
      </x:c>
      <x:c r="K7" s="1082" t="str">
        <x:f>IF(AND(COUNT(D7:G7)=4,ISNUMBER(J7)),D7-E7-F7-G7-J7,"")</x:f>
      </x:c>
      <x:c r="L7" s="162" t="str">
        <x:v>Official NRSA output imported</x:v>
      </x:c>
      <x:c r="M7" s="162" t="str">
        <x:v>Awaiting extractor</x:v>
      </x:c>
      <x:c r="N7" s="162" t="str">
        <x:v>Awaiting extractor</x:v>
      </x:c>
      <x:c r="O7" s="162" t="str">
        <x:v>Defined / requires validation</x:v>
      </x:c>
      <x:c r="P7" s="162" t="str">
        <x:v>OUTPUT ONLY — costs and capital pending</x:v>
      </x:c>
      <x:c r="Q7" s="689" t="str">
        <x:v>532291d5e105cf943db14303dc071544d3abbdb79a3b053dbf8606e2aaecd8e4</x:v>
      </x:c>
    </x:row>
    <x:row r="8">
      <x:c r="A8" s="688" t="str">
        <x:v>Coal</x:v>
      </x:c>
      <x:c r="B8" s="162" t="str">
        <x:v>See Commodity_Rent_Bridge and Commodity_Output_Crosswalk</x:v>
      </x:c>
      <x:c r="C8" s="171" t="n">
        <x:v>2024</x:v>
      </x:c>
      <x:c r="D8" s="237" t="n">
        <x:v>8.466</x:v>
      </x:c>
      <x:c r="E8" s="237"/>
      <x:c r="F8" s="237"/>
      <x:c r="G8" s="237"/>
      <x:c r="H8" s="237"/>
      <x:c r="I8" s="1084" t="n">
        <x:f>Assumptions!$B$26</x:f>
        <x:v>0.009091666666666665</x:v>
      </x:c>
      <x:c r="J8" s="1085" t="str">
        <x:f>IF(AND(ISNUMBER(H8),ISNUMBER(I8)),H8*I8,"")</x:f>
      </x:c>
      <x:c r="K8" s="1082" t="str">
        <x:f>IF(AND(COUNT(D8:G8)=4,ISNUMBER(J8)),D8-E8-F8-G8-J8,"")</x:f>
      </x:c>
      <x:c r="L8" s="162" t="str">
        <x:v>Official NRSA output imported</x:v>
      </x:c>
      <x:c r="M8" s="162" t="str">
        <x:v>Awaiting extractor</x:v>
      </x:c>
      <x:c r="N8" s="162" t="str">
        <x:v>Awaiting extractor</x:v>
      </x:c>
      <x:c r="O8" s="162" t="str">
        <x:v>Defined / requires validation</x:v>
      </x:c>
      <x:c r="P8" s="162" t="str">
        <x:v>OUTPUT ONLY — costs and capital pending</x:v>
      </x:c>
      <x:c r="Q8" s="689" t="str">
        <x:v>532291d5e105cf943db14303dc071544d3abbdb79a3b053dbf8606e2aaecd8e4</x:v>
      </x:c>
    </x:row>
    <x:row r="9">
      <x:c r="A9" s="688" t="str">
        <x:v>Potash</x:v>
      </x:c>
      <x:c r="B9" s="162" t="str">
        <x:v>See Commodity_Rent_Bridge and Commodity_Output_Crosswalk</x:v>
      </x:c>
      <x:c r="C9" s="171" t="n">
        <x:v>2024</x:v>
      </x:c>
      <x:c r="D9" s="237"/>
      <x:c r="E9" s="237"/>
      <x:c r="F9" s="237"/>
      <x:c r="G9" s="481"/>
      <x:c r="H9" s="481"/>
      <x:c r="I9" s="1084" t="n">
        <x:f>Assumptions!$B$26</x:f>
        <x:v>0.009091666666666665</x:v>
      </x:c>
      <x:c r="J9" s="1085" t="str">
        <x:f>IF(AND(ISNUMBER(H9),ISNUMBER(I9)),H9*I9,"")</x:f>
      </x:c>
      <x:c r="K9" s="1082" t="str">
        <x:f>IF(AND(COUNT(D9:G9)=4,ISNUMBER(J9)),D9-E9-F9-G9-J9,"")</x:f>
      </x:c>
      <x:c r="L9" s="162" t="str">
        <x:v>No official commodity product value imported</x:v>
      </x:c>
      <x:c r="M9" s="162" t="str">
        <x:v>Industry costs available; product boundary pending</x:v>
      </x:c>
      <x:c r="N9" s="162" t="str">
        <x:v>CAPEX proxy stress-tested; rejected as point estimate</x:v>
      </x:c>
      <x:c r="O9" s="162" t="str">
        <x:v>Potash industry is narrow; product reconciliation incomplete</x:v>
      </x:c>
      <x:c r="P9" s="162" t="str">
        <x:v>INDUSTRY BRIDGE PASS — CAPITAL PROXY FAIL — RENT LOCKED</x:v>
      </x:c>
      <x:c r="Q9" s="178" t="str">
        <x:v>Potash_Bridge_2024 / Capital_Proxy_Stress_Test</x:v>
      </x:c>
    </x:row>
    <x:row r="10">
      <x:c r="A10" s="688" t="str">
        <x:v>Gold</x:v>
      </x:c>
      <x:c r="B10" s="162" t="str">
        <x:v>See Commodity_Rent_Bridge and Commodity_Output_Crosswalk</x:v>
      </x:c>
      <x:c r="C10" s="171" t="n">
        <x:v>2024</x:v>
      </x:c>
      <x:c r="D10" s="237"/>
      <x:c r="E10" s="237"/>
      <x:c r="F10" s="237"/>
      <x:c r="G10" s="237"/>
      <x:c r="H10" s="237"/>
      <x:c r="I10" s="1084" t="n">
        <x:f>Assumptions!$B$26</x:f>
        <x:v>0.009091666666666665</x:v>
      </x:c>
      <x:c r="J10" s="1085" t="str">
        <x:f>IF(AND(ISNUMBER(H10),ISNUMBER(I10)),H10*I10,"")</x:f>
      </x:c>
      <x:c r="K10" s="1082" t="str">
        <x:f>IF(AND(COUNT(D10:G10)=4,ISNUMBER(J10)),D10-E10-F10-G10-J10,"")</x:f>
      </x:c>
      <x:c r="L10" s="162" t="str">
        <x:v>Awaiting extractor</x:v>
      </x:c>
      <x:c r="M10" s="162" t="str">
        <x:v>Awaiting extractor</x:v>
      </x:c>
      <x:c r="N10" s="162" t="str">
        <x:v>Awaiting extractor</x:v>
      </x:c>
      <x:c r="O10" s="162" t="str">
        <x:v>Defined / requires validation</x:v>
      </x:c>
      <x:c r="P10" s="162" t="str">
        <x:v>NOT READY</x:v>
      </x:c>
      <x:c r="Q10" s="689" t="str"/>
    </x:row>
    <x:row r="11">
      <x:c r="A11" s="688" t="str">
        <x:v>Iron</x:v>
      </x:c>
      <x:c r="B11" s="162" t="str">
        <x:v>See Commodity_Rent_Bridge and Commodity_Output_Crosswalk</x:v>
      </x:c>
      <x:c r="C11" s="171" t="n">
        <x:v>2024</x:v>
      </x:c>
      <x:c r="D11" s="237"/>
      <x:c r="E11" s="237"/>
      <x:c r="F11" s="237"/>
      <x:c r="G11" s="237"/>
      <x:c r="H11" s="237"/>
      <x:c r="I11" s="1084" t="n">
        <x:f>Assumptions!$B$26</x:f>
        <x:v>0.009091666666666665</x:v>
      </x:c>
      <x:c r="J11" s="1085" t="str">
        <x:f>IF(AND(ISNUMBER(H11),ISNUMBER(I11)),H11*I11,"")</x:f>
      </x:c>
      <x:c r="K11" s="1082" t="str">
        <x:f>IF(AND(COUNT(D11:G11)=4,ISNUMBER(J11)),D11-E11-F11-G11-J11,"")</x:f>
      </x:c>
      <x:c r="L11" s="162" t="str">
        <x:v>Awaiting extractor</x:v>
      </x:c>
      <x:c r="M11" s="162" t="str">
        <x:v>Awaiting extractor</x:v>
      </x:c>
      <x:c r="N11" s="162" t="str">
        <x:v>Awaiting extractor</x:v>
      </x:c>
      <x:c r="O11" s="162" t="str">
        <x:v>Defined / requires validation</x:v>
      </x:c>
      <x:c r="P11" s="162" t="str">
        <x:v>NOT READY</x:v>
      </x:c>
      <x:c r="Q11" s="689" t="str"/>
    </x:row>
    <x:row r="12">
      <x:c r="A12" s="688" t="str">
        <x:v>Other metallic minerals</x:v>
      </x:c>
      <x:c r="B12" s="162" t="str">
        <x:v>See Commodity_Rent_Bridge and Commodity_Output_Crosswalk</x:v>
      </x:c>
      <x:c r="C12" s="171" t="n">
        <x:v>2024</x:v>
      </x:c>
      <x:c r="D12" s="237" t="n">
        <x:v>47.618</x:v>
      </x:c>
      <x:c r="E12" s="237"/>
      <x:c r="F12" s="237"/>
      <x:c r="G12" s="481"/>
      <x:c r="H12" s="481"/>
      <x:c r="I12" s="1084" t="n">
        <x:f>Assumptions!$B$26</x:f>
        <x:v>0.009091666666666665</x:v>
      </x:c>
      <x:c r="J12" s="1085" t="str">
        <x:f>IF(AND(ISNUMBER(H12),ISNUMBER(I12)),H12*I12,"")</x:f>
      </x:c>
      <x:c r="K12" s="1082" t="str">
        <x:f>IF(AND(COUNT(D12:G12)=4,ISNUMBER(J12)),D12-E12-F12-G12-J12,"")</x:f>
      </x:c>
      <x:c r="L12" s="162" t="str">
        <x:v>Official NRSA output imported</x:v>
      </x:c>
      <x:c r="M12" s="162" t="str">
        <x:v>Awaiting extractor</x:v>
      </x:c>
      <x:c r="N12" s="162" t="str">
        <x:v>Provisional CAPEX-proxy allocation</x:v>
      </x:c>
      <x:c r="O12" s="162" t="str">
        <x:v>Approximate metallic-minerals aggregate</x:v>
      </x:c>
      <x:c r="P12" s="162" t="str">
        <x:v>CAPITAL PROXY ONLY — RENT LOCKED</x:v>
      </x:c>
      <x:c r="Q12" s="689" t="str">
        <x:v>Capital_Allocation_2024</x:v>
      </x:c>
    </x:row>
    <x:row r="13">
      <x:c r="A13" s="688" t="str">
        <x:v>Uranium diagnostic</x:v>
      </x:c>
      <x:c r="B13" s="162" t="str">
        <x:v>See Commodity_Rent_Bridge and Commodity_Output_Crosswalk</x:v>
      </x:c>
      <x:c r="C13" s="171" t="n">
        <x:v>2024</x:v>
      </x:c>
      <x:c r="D13" s="237"/>
      <x:c r="E13" s="237"/>
      <x:c r="F13" s="237"/>
      <x:c r="G13" s="237"/>
      <x:c r="H13" s="237"/>
      <x:c r="I13" s="1084" t="n">
        <x:f>Assumptions!$B$26</x:f>
        <x:v>0.009091666666666665</x:v>
      </x:c>
      <x:c r="J13" s="1085" t="str">
        <x:f>IF(AND(ISNUMBER(H13),ISNUMBER(I13)),H13*I13,"")</x:f>
      </x:c>
      <x:c r="K13" s="1082" t="str">
        <x:f>IF(AND(COUNT(D13:G13)=4,ISNUMBER(J13)),D13-E13-F13-G13-J13,"")</x:f>
      </x:c>
      <x:c r="L13" s="162" t="str">
        <x:v>Awaiting extractor</x:v>
      </x:c>
      <x:c r="M13" s="162" t="str">
        <x:v>Awaiting extractor</x:v>
      </x:c>
      <x:c r="N13" s="162" t="str">
        <x:v>Awaiting extractor</x:v>
      </x:c>
      <x:c r="O13" s="162" t="str">
        <x:v>Defined / requires validation</x:v>
      </x:c>
      <x:c r="P13" s="162" t="str">
        <x:v>NOT READY</x:v>
      </x:c>
      <x:c r="Q13" s="689" t="str"/>
    </x:row>
    <x:row r="14">
      <x:c r="A14" s="688" t="str">
        <x:v>Diamonds diagnostic</x:v>
      </x:c>
      <x:c r="B14" s="162" t="str">
        <x:v>See Commodity_Rent_Bridge and Commodity_Output_Crosswalk</x:v>
      </x:c>
      <x:c r="C14" s="171" t="n">
        <x:v>2024</x:v>
      </x:c>
      <x:c r="D14" s="237"/>
      <x:c r="E14" s="237"/>
      <x:c r="F14" s="237"/>
      <x:c r="G14" s="237"/>
      <x:c r="H14" s="237"/>
      <x:c r="I14" s="1084" t="n">
        <x:f>Assumptions!$B$26</x:f>
        <x:v>0.009091666666666665</x:v>
      </x:c>
      <x:c r="J14" s="1085" t="str">
        <x:f>IF(AND(ISNUMBER(H14),ISNUMBER(I14)),H14*I14,"")</x:f>
      </x:c>
      <x:c r="K14" s="1082" t="str">
        <x:f>IF(AND(COUNT(D14:G14)=4,ISNUMBER(J14)),D14-E14-F14-G14-J14,"")</x:f>
      </x:c>
      <x:c r="L14" s="162" t="str">
        <x:v>Awaiting extractor</x:v>
      </x:c>
      <x:c r="M14" s="162" t="str">
        <x:v>Awaiting extractor</x:v>
      </x:c>
      <x:c r="N14" s="162" t="str">
        <x:v>Awaiting extractor</x:v>
      </x:c>
      <x:c r="O14" s="162" t="str">
        <x:v>Defined / requires validation</x:v>
      </x:c>
      <x:c r="P14" s="162" t="str">
        <x:v>NOT READY</x:v>
      </x:c>
      <x:c r="Q14" s="689" t="str"/>
    </x:row>
    <x:row r="15">
      <x:c r="A15" s="688" t="str">
        <x:v>Timber</x:v>
      </x:c>
      <x:c r="B15" s="162" t="str">
        <x:v>See Commodity_Rent_Bridge and Commodity_Output_Crosswalk</x:v>
      </x:c>
      <x:c r="C15" s="171" t="n">
        <x:v>2024</x:v>
      </x:c>
      <x:c r="D15" s="237" t="n">
        <x:v>6.231</x:v>
      </x:c>
      <x:c r="E15" s="237"/>
      <x:c r="F15" s="237"/>
      <x:c r="G15" s="237"/>
      <x:c r="H15" s="237"/>
      <x:c r="I15" s="1084" t="n">
        <x:f>Assumptions!$B$26</x:f>
        <x:v>0.009091666666666665</x:v>
      </x:c>
      <x:c r="J15" s="1085" t="str">
        <x:f>IF(AND(ISNUMBER(H15),ISNUMBER(I15)),H15*I15,"")</x:f>
      </x:c>
      <x:c r="K15" s="1082" t="str">
        <x:f>IF(AND(COUNT(D15:G15)=4,ISNUMBER(J15)),D15-E15-F15-G15-J15,"")</x:f>
      </x:c>
      <x:c r="L15" s="162" t="str">
        <x:v>Official NRSA output imported</x:v>
      </x:c>
      <x:c r="M15" s="162" t="str">
        <x:v>Awaiting extractor</x:v>
      </x:c>
      <x:c r="N15" s="162" t="str">
        <x:v>Awaiting extractor</x:v>
      </x:c>
      <x:c r="O15" s="162" t="str">
        <x:v>Defined / requires validation</x:v>
      </x:c>
      <x:c r="P15" s="162" t="str">
        <x:v>OUTPUT ONLY — costs and capital pending</x:v>
      </x:c>
      <x:c r="Q15" s="689" t="str">
        <x:v>532291d5e105cf943db14303dc071544d3abbdb79a3b053dbf8606e2aaecd8e4</x:v>
      </x:c>
    </x:row>
    <x:row r="16">
      <x:c r="A16" s="690" t="str">
        <x:v>All selected resources</x:v>
      </x:c>
      <x:c r="B16" s="691" t="str">
        <x:v>See Commodity_Rent_Bridge and Commodity_Output_Crosswalk</x:v>
      </x:c>
      <x:c r="C16" s="697" t="n">
        <x:v>2024</x:v>
      </x:c>
      <x:c r="D16" s="698" t="n">
        <x:v>716.539</x:v>
      </x:c>
      <x:c r="E16" s="698"/>
      <x:c r="F16" s="698"/>
      <x:c r="G16" s="698"/>
      <x:c r="H16" s="698"/>
      <x:c r="I16" s="1060" t="n">
        <x:f>Assumptions!$B$26</x:f>
        <x:v>0.009091666666666665</x:v>
      </x:c>
      <x:c r="J16" s="1059" t="str">
        <x:f>IF(AND(ISNUMBER(H16),ISNUMBER(I16)),H16*I16,"")</x:f>
      </x:c>
      <x:c r="K16" s="1081" t="str">
        <x:f>IF(AND(COUNT(D16:G16)=4,ISNUMBER(J16)),D16-E16-F16-G16-J16,"")</x:f>
      </x:c>
      <x:c r="L16" s="691" t="str">
        <x:v>Official NRSA output imported</x:v>
      </x:c>
      <x:c r="M16" s="691" t="str">
        <x:v>Awaiting extractor</x:v>
      </x:c>
      <x:c r="N16" s="691" t="str">
        <x:v>Awaiting extractor</x:v>
      </x:c>
      <x:c r="O16" s="691" t="str">
        <x:v>Defined / requires validation</x:v>
      </x:c>
      <x:c r="P16" s="691" t="str">
        <x:v>OUTPUT ONLY — costs and capital pending</x:v>
      </x:c>
      <x:c r="Q16" s="692" t="str">
        <x:v>532291d5e105cf943db14303dc071544d3abbdb79a3b053dbf8606e2aaecd8e4</x:v>
      </x:c>
    </x:row>
  </x:sheetData>
  <x:mergeCells>
    <x:mergeCell ref="A1:Q1"/>
    <x:mergeCell ref="A2:Q2"/>
  </x:mergeCells>
  <x:pageMargins left="0.7" right="0.7" top="0.75" bottom="0.75" header="0.3" footer="0.3"/>
</x:worksheet>
</file>

<file path=xl/worksheets/sheet34.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9" hidden="0" customWidth="1"/>
    <x:col min="12" max="12" width="19" hidden="0" customWidth="1"/>
    <x:col min="13" max="13" width="20" hidden="0" customWidth="1"/>
    <x:col min="14" max="14" width="20" hidden="0" customWidth="1"/>
    <x:col min="15" max="15" width="19" hidden="0" customWidth="1"/>
    <x:col min="16" max="16" width="23" hidden="0" customWidth="1"/>
    <x:col min="17" max="17" width="35" hidden="0" customWidth="1"/>
    <x:col min="18" max="18" width="44" hidden="0" customWidth="1"/>
    <x:col min="22" max="22" width="42" hidden="0" customWidth="1"/>
    <x:col min="19" max="19" width="18" hidden="0" customWidth="1"/>
    <x:col min="20" max="20" width="18" hidden="0" customWidth="1"/>
    <x:col min="21" max="21" width="18" hidden="0" customWidth="1"/>
  </x:cols>
  <x:sheetData>
    <x:row r="1" ht="28" customHeight="1">
      <x:c r="A1" s="96" t="str">
        <x:v>2024 Industry Input Controls — Not Commodity Economic Rent</x:v>
      </x:c>
      <x:c r="B1" s="96"/>
      <x:c r="C1" s="96"/>
      <x:c r="D1" s="96"/>
      <x:c r="E1" s="96"/>
      <x:c r="F1" s="96"/>
      <x:c r="G1" s="96"/>
      <x:c r="H1" s="96"/>
      <x:c r="I1" s="96"/>
      <x:c r="J1" s="96"/>
      <x:c r="K1" s="96"/>
      <x:c r="L1" s="96"/>
      <x:c r="M1" s="96"/>
      <x:c r="N1" s="96"/>
      <x:c r="O1" s="96"/>
      <x:c r="P1" s="96"/>
      <x:c r="Q1" s="96"/>
      <x:c r="R1" s="96"/>
      <x:c r="S1" s="26"/>
      <x:c r="T1" s="26"/>
      <x:c r="U1" s="26"/>
      <x:c r="V1" s="26"/>
    </x:row>
    <x:row r="2" ht="42" customHeight="1">
      <x:c r="A2" s="177" t="str">
        <x:v>The input-output table supplies industry output, labour and operating-surplus controls. Direct capital rows and the disclosed CAPEX-proxy allocation now support industry-level CFC, net stock and normal-return controls. These remain non-publishable as commodity rent.</x:v>
      </x:c>
      <x:c r="B2" s="177"/>
      <x:c r="C2" s="177"/>
      <x:c r="D2" s="177"/>
      <x:c r="E2" s="177"/>
      <x:c r="F2" s="177"/>
      <x:c r="G2" s="177"/>
      <x:c r="H2" s="177"/>
      <x:c r="I2" s="177"/>
      <x:c r="J2" s="177"/>
      <x:c r="K2" s="177"/>
      <x:c r="L2" s="177"/>
      <x:c r="M2" s="177"/>
      <x:c r="N2" s="177"/>
      <x:c r="O2" s="177"/>
      <x:c r="P2" s="177"/>
      <x:c r="Q2" s="177"/>
      <x:c r="R2" s="177"/>
      <x:c r="S2" s="26"/>
      <x:c r="T2" s="26"/>
      <x:c r="U2" s="26"/>
      <x:c r="V2" s="26"/>
    </x:row>
    <x:row r="3">
      <x:c r="A3" s="26"/>
      <x:c r="B3" s="26"/>
      <x:c r="C3" s="26"/>
      <x:c r="D3" s="26"/>
      <x:c r="E3" s="26"/>
      <x:c r="F3" s="26"/>
      <x:c r="G3" s="26"/>
      <x:c r="H3" s="26"/>
      <x:c r="I3" s="26"/>
      <x:c r="J3" s="26"/>
      <x:c r="K3" s="26"/>
      <x:c r="L3" s="26"/>
      <x:c r="M3" s="26"/>
      <x:c r="N3" s="26"/>
      <x:c r="O3" s="26"/>
      <x:c r="P3" s="26"/>
      <x:c r="Q3" s="26"/>
      <x:c r="R3" s="26"/>
      <x:c r="S3" s="26"/>
      <x:c r="T3" s="26"/>
      <x:c r="U3" s="26"/>
      <x:c r="V3" s="26"/>
    </x:row>
    <x:row r="4" ht="40" customHeight="1">
      <x:c r="A4" s="32" t="str">
        <x:v>Industry</x:v>
      </x:c>
      <x:c r="B4" s="32" t="str">
        <x:v>Reference year</x:v>
      </x:c>
      <x:c r="C4" s="32" t="str">
        <x:v>Industry supply ($B)</x:v>
      </x:c>
      <x:c r="D4" s="32" t="str">
        <x:v>Wages and salaries ($B)</x:v>
      </x:c>
      <x:c r="E4" s="32" t="str">
        <x:v>Employer social contributions ($B)</x:v>
      </x:c>
      <x:c r="F4" s="32" t="str">
        <x:v>Labour compensation ($B)</x:v>
      </x:c>
      <x:c r="G4" s="32" t="str">
        <x:v>Taxes on production ($B)</x:v>
      </x:c>
      <x:c r="H4" s="32" t="str">
        <x:v>Subsidies on production ($B)</x:v>
      </x:c>
      <x:c r="I4" s="32" t="str">
        <x:v>Net production taxes ($B)</x:v>
      </x:c>
      <x:c r="J4" s="32" t="str">
        <x:v>Gross mixed income ($B)</x:v>
      </x:c>
      <x:c r="K4" s="32" t="str">
        <x:v>Gross operating surplus ($B)</x:v>
      </x:c>
      <x:c r="L4" s="32" t="str">
        <x:v>Derived intermediate inputs ($B)</x:v>
      </x:c>
      <x:c r="M4" s="32" t="str">
        <x:v>Geometric CFC ($B)</x:v>
      </x:c>
      <x:c r="N4" s="32" t="str">
        <x:v>Geometric net stock ($B)</x:v>
      </x:c>
      <x:c r="O4" s="32" t="str">
        <x:v>GOS less CFC ($B)</x:v>
      </x:c>
      <x:c r="P4" s="32" t="str">
        <x:v>Rent-ready?</x:v>
      </x:c>
      <x:c r="Q4" s="32" t="str">
        <x:v>Boundary / evidence ruling</x:v>
      </x:c>
      <x:c r="R4" s="32" t="str">
        <x:v>Official source</x:v>
      </x:c>
      <x:c r="S4" s="1086" t="str">
        <x:v>Normal-return rate</x:v>
      </x:c>
      <x:c r="T4" s="1086" t="str">
        <x:v>Normal return ($B)</x:v>
      </x:c>
      <x:c r="U4" s="1086" t="str">
        <x:v>GOS less CFC and normal return ($B)</x:v>
      </x:c>
      <x:c r="V4" s="1086" t="str">
        <x:v>Capital / boundary status</x:v>
      </x:c>
    </x:row>
    <x:row r="5">
      <x:c r="A5" s="178" t="str">
        <x:v>Forestry and logging [BS113000]</x:v>
      </x:c>
      <x:c r="B5" s="180" t="n">
        <x:v>2024</x:v>
      </x:c>
      <x:c r="C5" s="263" t="n">
        <x:v>10.126241</x:v>
      </x:c>
      <x:c r="D5" s="263" t="n">
        <x:v>1.818701</x:v>
      </x:c>
      <x:c r="E5" s="263" t="n">
        <x:v>0.691954</x:v>
      </x:c>
      <x:c r="F5" s="264" t="n">
        <x:f>D5+E5</x:f>
        <x:v>2.510655</x:v>
      </x:c>
      <x:c r="G5" s="262" t="n">
        <x:v>0.032453</x:v>
      </x:c>
      <x:c r="H5" s="262" t="n">
        <x:v>-0.005738</x:v>
      </x:c>
      <x:c r="I5" s="262" t="n">
        <x:f>G5+H5</x:f>
        <x:v>0.026715000000000003</x:v>
      </x:c>
      <x:c r="J5" s="262" t="n">
        <x:v>0.15094</x:v>
      </x:c>
      <x:c r="K5" s="262" t="n">
        <x:v>1.874764</x:v>
      </x:c>
      <x:c r="L5" s="262" t="n">
        <x:f>C5-F5-I5-J5-K5</x:f>
        <x:v>5.563167</x:v>
      </x:c>
      <x:c r="M5" s="1051" t="n">
        <x:v>0.651</x:v>
      </x:c>
      <x:c r="N5" s="1051" t="n">
        <x:v>3.92</x:v>
      </x:c>
      <x:c r="O5" s="1051" t="n">
        <x:f>IF(M5="","",K5-M5)</x:f>
        <x:v>1.223764</x:v>
      </x:c>
      <x:c r="P5" s="1051" t="str">
        <x:v>No</x:v>
      </x:c>
      <x:c r="Q5" s="1051" t="str">
        <x:v>Matching current-price geometric capital control available.</x:v>
      </x:c>
      <x:c r="R5" s="1051" t="str">
        <x:v>Statistics Canada 36-10-0001-01 and 36-10-0096-01</x:v>
      </x:c>
      <x:c r="S5" s="1077" t="n">
        <x:f>Assumptions!$B$26</x:f>
        <x:v>0.009091666666666665</x:v>
      </x:c>
      <x:c r="T5" s="1088" t="n">
        <x:f>N5*S5</x:f>
        <x:v>0.03563933333333332</x:v>
      </x:c>
      <x:c r="U5" s="1089" t="n">
        <x:f>K5-M5-T5</x:f>
        <x:v>1.1881246666666667</x:v>
      </x:c>
      <x:c r="V5" s="26" t="str">
        <x:v>Official industry capital; timber commodity boundary unresolved</x:v>
      </x:c>
    </x:row>
    <x:row r="6">
      <x:c r="A6" s="178" t="str">
        <x:v>Oil and gas extraction (except oil sands) [BS211110]</x:v>
      </x:c>
      <x:c r="B6" s="171" t="n">
        <x:v>2024</x:v>
      </x:c>
      <x:c r="C6" s="237" t="n">
        <x:v>80.176456</x:v>
      </x:c>
      <x:c r="D6" s="237" t="n">
        <x:v>7.888015</x:v>
      </x:c>
      <x:c r="E6" s="237" t="n">
        <x:v>1.402958</x:v>
      </x:c>
      <x:c r="F6" s="239" t="n">
        <x:f>D6+E6</x:f>
        <x:v>9.290973000000001</x:v>
      </x:c>
      <x:c r="G6" s="235" t="n">
        <x:v>0.454219</x:v>
      </x:c>
      <x:c r="H6" s="235" t="n">
        <x:v>-0.525282</x:v>
      </x:c>
      <x:c r="I6" s="235" t="n">
        <x:f>G6+H6</x:f>
        <x:v>-0.07106300000000004</x:v>
      </x:c>
      <x:c r="J6" s="235" t="n">
        <x:v>0</x:v>
      </x:c>
      <x:c r="K6" s="235" t="n">
        <x:v>33.648401</x:v>
      </x:c>
      <x:c r="L6" s="235" t="n">
        <x:f>C6-F6-I6-J6-K6</x:f>
        <x:v>37.30814499999999</x:v>
      </x:c>
      <x:c r="M6" s="1083" t="n">
        <x:v>34.663</x:v>
      </x:c>
      <x:c r="N6" s="1083" t="n">
        <x:v>442.975</x:v>
      </x:c>
      <x:c r="O6" s="1083" t="n">
        <x:f>IF(M6="","",K6-M6)</x:f>
        <x:v>-1.014598999999997</x:v>
      </x:c>
      <x:c r="P6" s="1083" t="str">
        <x:v>No</x:v>
      </x:c>
      <x:c r="Q6" s="1083" t="str">
        <x:v>Matching current-price geometric capital control available.</x:v>
      </x:c>
      <x:c r="R6" s="1051" t="str">
        <x:v>Statistics Canada 36-10-0001-01 and 36-10-0096-01</x:v>
      </x:c>
      <x:c r="S6" s="1077" t="n">
        <x:f>Assumptions!$B$26</x:f>
        <x:v>0.009091666666666665</x:v>
      </x:c>
      <x:c r="T6" s="1088" t="n">
        <x:f>N6*S6</x:f>
        <x:v>4.027381041666666</x:v>
      </x:c>
      <x:c r="U6" s="1089" t="n">
        <x:f>K6-M6-T6</x:f>
        <x:v>-5.041980041666663</x:v>
      </x:c>
      <x:c r="V6" s="26" t="str">
        <x:v>Official industry capital; crude oil/natural gas split unresolved</x:v>
      </x:c>
    </x:row>
    <x:row r="7">
      <x:c r="A7" s="178" t="str">
        <x:v>Oil sands extraction [BS211140]</x:v>
      </x:c>
      <x:c r="B7" s="171" t="n">
        <x:v>2024</x:v>
      </x:c>
      <x:c r="C7" s="237" t="n">
        <x:v>134.491196</x:v>
      </x:c>
      <x:c r="D7" s="237" t="n">
        <x:v>8.319123</x:v>
      </x:c>
      <x:c r="E7" s="237" t="n">
        <x:v>0.934545</x:v>
      </x:c>
      <x:c r="F7" s="239" t="n">
        <x:f>D7+E7</x:f>
        <x:v>9.253668</x:v>
      </x:c>
      <x:c r="G7" s="235" t="n">
        <x:v>0.532259</x:v>
      </x:c>
      <x:c r="H7" s="235" t="n">
        <x:v>-0.239115</x:v>
      </x:c>
      <x:c r="I7" s="235" t="n">
        <x:f>G7+H7</x:f>
        <x:v>0.29314400000000007</x:v>
      </x:c>
      <x:c r="J7" s="235" t="n">
        <x:v>0</x:v>
      </x:c>
      <x:c r="K7" s="235" t="n">
        <x:v>62.719441</x:v>
      </x:c>
      <x:c r="L7" s="235" t="n">
        <x:f>C7-F7-I7-J7-K7</x:f>
        <x:v>62.224942999999996</x:v>
      </x:c>
      <x:c r="M7" s="1085" t="n">
        <x:f>'Capital_Allocation_2024'!J6</x:f>
        <x:v>16.765656756629014</x:v>
      </x:c>
      <x:c r="N7" s="1085" t="n">
        <x:f>'Capital_Allocation_2024'!K6</x:f>
        <x:v>145.87261899135038</x:v>
      </x:c>
      <x:c r="O7" s="1085" t="n">
        <x:f>K7-M7</x:f>
        <x:v>45.95378424337099</x:v>
      </x:c>
      <x:c r="P7" s="1085" t="str">
        <x:v>No</x:v>
      </x:c>
      <x:c r="Q7" s="1085" t="str">
        <x:v>Industry output and primary-input controls independently reconcile in Oil_Sands_Bridge_2024; commodity output/cost/capital boundary remains incompatible.</x:v>
      </x:c>
      <x:c r="R7" s="1059" t="str">
        <x:v>Statistics Canada 36-10-0001-01 and 36-10-0096-01</x:v>
      </x:c>
      <x:c r="S7" s="1077" t="n">
        <x:f>Assumptions!$B$26</x:f>
        <x:v>0.009091666666666665</x:v>
      </x:c>
      <x:c r="T7" s="1088" t="n">
        <x:f>N7*S7</x:f>
        <x:v>1.3262252276630269</x:v>
      </x:c>
      <x:c r="U7" s="1089" t="n">
        <x:f>K7-M7-T7</x:f>
        <x:v>44.627559015707966</x:v>
      </x:c>
      <x:c r="V7" s="26" t="str">
        <x:v>CAPEX-share sensitivity only; v0.15 stress test rejects point-estimate use</x:v>
      </x:c>
    </x:row>
    <x:row r="8">
      <x:c r="A8" s="178" t="str">
        <x:v>Coal mining [BS212100]</x:v>
      </x:c>
      <x:c r="B8" s="171" t="n">
        <x:v>2024</x:v>
      </x:c>
      <x:c r="C8" s="237" t="n">
        <x:v>7.755529</x:v>
      </x:c>
      <x:c r="D8" s="237" t="n">
        <x:v>1.629956</x:v>
      </x:c>
      <x:c r="E8" s="237" t="n">
        <x:v>0.18232</x:v>
      </x:c>
      <x:c r="F8" s="239" t="n">
        <x:f>D8+E8</x:f>
        <x:v>1.812276</x:v>
      </x:c>
      <x:c r="G8" s="235" t="n">
        <x:v>0.047801</x:v>
      </x:c>
      <x:c r="H8" s="235" t="n">
        <x:v>-0.001385</x:v>
      </x:c>
      <x:c r="I8" s="235" t="n">
        <x:f>G8+H8</x:f>
        <x:v>0.046416000000000006</x:v>
      </x:c>
      <x:c r="J8" s="235" t="n">
        <x:v>0</x:v>
      </x:c>
      <x:c r="K8" s="235" t="n">
        <x:v>3.174237</x:v>
      </x:c>
      <x:c r="L8" s="235" t="n">
        <x:f>C8-F8-I8-J8-K8</x:f>
        <x:v>2.7226000000000004</x:v>
      </x:c>
      <x:c r="M8" s="1085"/>
      <x:c r="N8" s="1085"/>
      <x:c r="O8" s="1085" t="str">
        <x:f>IF(M8="","",K8-M8)</x:f>
      </x:c>
      <x:c r="P8" s="1085" t="str">
        <x:v>No</x:v>
      </x:c>
      <x:c r="Q8" s="1085" t="str">
        <x:v>Industry output and primary-input controls available; matching detailed capital row absent.</x:v>
      </x:c>
      <x:c r="R8" s="1059" t="str">
        <x:v>Statistics Canada 36-10-0001-01 and 36-10-0096-01</x:v>
      </x:c>
      <x:c r="S8" s="1077" t="n">
        <x:v>0</x:v>
      </x:c>
      <x:c r="T8" s="1088" t="n">
        <x:v>0</x:v>
      </x:c>
      <x:c r="U8" s="1089" t="n">
        <x:v>0</x:v>
      </x:c>
      <x:c r="V8" s="26" t="str">
        <x:v>Coal remains inside combined coal/diamond/other-non-metal capital residual</x:v>
      </x:c>
    </x:row>
    <x:row r="9">
      <x:c r="A9" s="178" t="str">
        <x:v>Iron ore mining [BS212210]</x:v>
      </x:c>
      <x:c r="B9" s="171" t="n">
        <x:v>2024</x:v>
      </x:c>
      <x:c r="C9" s="237" t="n">
        <x:v>9.653907</x:v>
      </x:c>
      <x:c r="D9" s="237" t="n">
        <x:v>1.283498</x:v>
      </x:c>
      <x:c r="E9" s="237" t="n">
        <x:v>0.164717</x:v>
      </x:c>
      <x:c r="F9" s="239" t="n">
        <x:f>D9+E9</x:f>
        <x:v>1.448215</x:v>
      </x:c>
      <x:c r="G9" s="235" t="n">
        <x:v>0.188604</x:v>
      </x:c>
      <x:c r="H9" s="235" t="n">
        <x:v>-0.008608</x:v>
      </x:c>
      <x:c r="I9" s="235" t="n">
        <x:f>G9+H9</x:f>
        <x:v>0.179996</x:v>
      </x:c>
      <x:c r="J9" s="235" t="n">
        <x:v>0</x:v>
      </x:c>
      <x:c r="K9" s="235" t="n">
        <x:v>4.929187</x:v>
      </x:c>
      <x:c r="L9" s="235" t="n">
        <x:f>C9-F9-I9-J9-K9</x:f>
        <x:v>3.096509000000002</x:v>
      </x:c>
      <x:c r="M9" s="1085" t="n">
        <x:f>'Capital_Allocation_2024'!J8</x:f>
        <x:v>2.1521808857588507</x:v>
      </x:c>
      <x:c r="N9" s="1085" t="n">
        <x:f>'Capital_Allocation_2024'!K8</x:f>
        <x:v>18.72543777473177</x:v>
      </x:c>
      <x:c r="O9" s="1085" t="n">
        <x:f>K9-M9</x:f>
        <x:v>2.777006114241149</x:v>
      </x:c>
      <x:c r="P9" s="1085" t="str">
        <x:v>No</x:v>
      </x:c>
      <x:c r="Q9" s="1085" t="str">
        <x:v>Industry output and primary-input controls available; matching detailed capital row absent.</x:v>
      </x:c>
      <x:c r="R9" s="1059" t="str">
        <x:v>Statistics Canada 36-10-0001-01 and 36-10-0096-01</x:v>
      </x:c>
      <x:c r="S9" s="1077" t="n">
        <x:f>Assumptions!$B$26</x:f>
        <x:v>0.009091666666666665</x:v>
      </x:c>
      <x:c r="T9" s="1088" t="n">
        <x:f>N9*S9</x:f>
        <x:v>0.17024543843526962</x:v>
      </x:c>
      <x:c r="U9" s="1089" t="n">
        <x:f>K9-M9-T9</x:f>
        <x:v>2.6067606758058792</x:v>
      </x:c>
      <x:c r="V9" s="26" t="str">
        <x:v>CAPEX-share sensitivity only; v0.15 stress test rejects point-estimate use</x:v>
      </x:c>
    </x:row>
    <x:row r="10">
      <x:c r="A10" s="178" t="str">
        <x:v>Gold and silver ore mining [BS212220]</x:v>
      </x:c>
      <x:c r="B10" s="171" t="n">
        <x:v>2024</x:v>
      </x:c>
      <x:c r="C10" s="237" t="n">
        <x:v>19.974277</x:v>
      </x:c>
      <x:c r="D10" s="237" t="n">
        <x:v>3.025353</x:v>
      </x:c>
      <x:c r="E10" s="237" t="n">
        <x:v>0.606114</x:v>
      </x:c>
      <x:c r="F10" s="239" t="n">
        <x:f>D10+E10</x:f>
        <x:v>3.631467</x:v>
      </x:c>
      <x:c r="G10" s="235" t="n">
        <x:v>0.289336</x:v>
      </x:c>
      <x:c r="H10" s="235" t="n">
        <x:v>-0.024646</x:v>
      </x:c>
      <x:c r="I10" s="235" t="n">
        <x:f>G10+H10</x:f>
        <x:v>0.26469</x:v>
      </x:c>
      <x:c r="J10" s="235" t="n">
        <x:v>0.009554</x:v>
      </x:c>
      <x:c r="K10" s="235" t="n">
        <x:v>7.306602</x:v>
      </x:c>
      <x:c r="L10" s="235" t="n">
        <x:f>C10-F10-I10-J10-K10</x:f>
        <x:v>8.761963999999997</x:v>
      </x:c>
      <x:c r="M10" s="1085" t="n">
        <x:f>'Capital_Allocation_2024'!J7</x:f>
        <x:v>6.998590206551024</x:v>
      </x:c>
      <x:c r="N10" s="1085" t="n">
        <x:f>'Capital_Allocation_2024'!K7</x:f>
        <x:v>60.89249574271265</x:v>
      </x:c>
      <x:c r="O10" s="1085" t="n">
        <x:f>K10-M10</x:f>
        <x:v>0.30801179344897545</x:v>
      </x:c>
      <x:c r="P10" s="1085" t="str">
        <x:v>No</x:v>
      </x:c>
      <x:c r="Q10" s="1085" t="str">
        <x:v>Industry output and primary-input controls available; matching detailed capital row absent.</x:v>
      </x:c>
      <x:c r="R10" s="1059" t="str">
        <x:v>Statistics Canada 36-10-0001-01 and 36-10-0096-01</x:v>
      </x:c>
      <x:c r="S10" s="1077" t="n">
        <x:f>Assumptions!$B$26</x:f>
        <x:v>0.009091666666666665</x:v>
      </x:c>
      <x:c r="T10" s="1088" t="n">
        <x:f>N10*S10</x:f>
        <x:v>0.5536142737941624</x:v>
      </x:c>
      <x:c r="U10" s="1089" t="n">
        <x:f>K10-M10-T10</x:f>
        <x:v>-0.24560248034518695</x:v>
      </x:c>
      <x:c r="V10" s="26" t="str">
        <x:v>CAPEX-share sensitivity only; v0.15 stress test rejects point-estimate use</x:v>
      </x:c>
    </x:row>
    <x:row r="11">
      <x:c r="A11" s="178" t="str">
        <x:v>Copper, nickel, lead and zinc ore mining [BS212230]</x:v>
      </x:c>
      <x:c r="B11" s="171" t="n">
        <x:v>2024</x:v>
      </x:c>
      <x:c r="C11" s="237" t="n">
        <x:v>12.249406</x:v>
      </x:c>
      <x:c r="D11" s="237" t="n">
        <x:v>1.850089</x:v>
      </x:c>
      <x:c r="E11" s="237" t="n">
        <x:v>0.34491</x:v>
      </x:c>
      <x:c r="F11" s="239" t="n">
        <x:f>D11+E11</x:f>
        <x:v>2.194999</x:v>
      </x:c>
      <x:c r="G11" s="235" t="n">
        <x:v>0.157044</x:v>
      </x:c>
      <x:c r="H11" s="235" t="n">
        <x:v>-0.007148</x:v>
      </x:c>
      <x:c r="I11" s="235" t="n">
        <x:f>G11+H11</x:f>
        <x:v>0.149896</x:v>
      </x:c>
      <x:c r="J11" s="235" t="n">
        <x:v>0</x:v>
      </x:c>
      <x:c r="K11" s="235" t="n">
        <x:v>5.887093</x:v>
      </x:c>
      <x:c r="L11" s="235" t="n">
        <x:f>C11-F11-I11-J11-K11</x:f>
        <x:v>4.017418000000001</x:v>
      </x:c>
      <x:c r="M11" s="1085" t="n">
        <x:f>'Capital_Allocation_2024'!J9</x:f>
        <x:v>3.0962260244836224</x:v>
      </x:c>
      <x:c r="N11" s="1085" t="n">
        <x:f>'Capital_Allocation_2024'!K9</x:f>
        <x:v>26.939272689214643</x:v>
      </x:c>
      <x:c r="O11" s="1085" t="n">
        <x:f>K11-M11</x:f>
        <x:v>2.7908669755163777</x:v>
      </x:c>
      <x:c r="P11" s="1085" t="str">
        <x:v>No</x:v>
      </x:c>
      <x:c r="Q11" s="1085" t="str">
        <x:v>Industry output and primary-input controls available; matching detailed capital row absent.</x:v>
      </x:c>
      <x:c r="R11" s="1059" t="str">
        <x:v>Statistics Canada 36-10-0001-01 and 36-10-0096-01</x:v>
      </x:c>
      <x:c r="S11" s="1077" t="n">
        <x:f>Assumptions!$B$26</x:f>
        <x:v>0.009091666666666665</x:v>
      </x:c>
      <x:c r="T11" s="1088" t="n">
        <x:f>N11*S11</x:f>
        <x:v>0.2449228875327764</x:v>
      </x:c>
      <x:c r="U11" s="1089" t="n">
        <x:f>K11-M11-T11</x:f>
        <x:v>2.5459440879836013</x:v>
      </x:c>
      <x:c r="V11" s="26" t="str">
        <x:v>CAPEX-share sensitivity only; v0.15 stress test rejects point-estimate use</x:v>
      </x:c>
    </x:row>
    <x:row r="12">
      <x:c r="A12" s="178" t="str">
        <x:v>Other metal ore mining [BS212290]</x:v>
      </x:c>
      <x:c r="B12" s="171" t="n">
        <x:v>2024</x:v>
      </x:c>
      <x:c r="C12" s="237" t="n">
        <x:v>4.786269</x:v>
      </x:c>
      <x:c r="D12" s="237" t="n">
        <x:v>1.093715</x:v>
      </x:c>
      <x:c r="E12" s="237" t="n">
        <x:v>0.210336</x:v>
      </x:c>
      <x:c r="F12" s="239" t="n">
        <x:f>D12+E12</x:f>
        <x:v>1.304051</x:v>
      </x:c>
      <x:c r="G12" s="235" t="n">
        <x:v>0.226515</x:v>
      </x:c>
      <x:c r="H12" s="235" t="n">
        <x:v>-0.002138</x:v>
      </x:c>
      <x:c r="I12" s="235" t="n">
        <x:f>G12+H12</x:f>
        <x:v>0.224377</x:v>
      </x:c>
      <x:c r="J12" s="235" t="n">
        <x:v>0</x:v>
      </x:c>
      <x:c r="K12" s="235" t="n">
        <x:v>1.587602</x:v>
      </x:c>
      <x:c r="L12" s="235" t="n">
        <x:f>C12-F12-I12-J12-K12</x:f>
        <x:v>1.6702389999999996</x:v>
      </x:c>
      <x:c r="M12" s="1085" t="n">
        <x:f>'Capital_Allocation_2024'!J10</x:f>
        <x:v>0.7366804367348869</x:v>
      </x:c>
      <x:c r="N12" s="1085" t="n">
        <x:f>'Capital_Allocation_2024'!K10</x:f>
        <x:v>6.4096209427477575</x:v>
      </x:c>
      <x:c r="O12" s="1085" t="n">
        <x:f>K12-M12</x:f>
        <x:v>0.850921563265113</x:v>
      </x:c>
      <x:c r="P12" s="1085" t="str">
        <x:v>No</x:v>
      </x:c>
      <x:c r="Q12" s="1085" t="str">
        <x:v>Industry output and primary-input controls available; matching detailed capital row absent.</x:v>
      </x:c>
      <x:c r="R12" s="1059" t="str">
        <x:v>Statistics Canada 36-10-0001-01 and 36-10-0096-01</x:v>
      </x:c>
      <x:c r="S12" s="1077" t="n">
        <x:f>Assumptions!$B$26</x:f>
        <x:v>0.009091666666666665</x:v>
      </x:c>
      <x:c r="T12" s="1088" t="n">
        <x:f>N12*S12</x:f>
        <x:v>0.05827413707114835</x:v>
      </x:c>
      <x:c r="U12" s="1089" t="n">
        <x:f>K12-M12-T12</x:f>
        <x:v>0.7926474261939647</x:v>
      </x:c>
      <x:c r="V12" s="26" t="str">
        <x:v>CAPEX-share sensitivity only; v0.15 stress test rejects point-estimate use</x:v>
      </x:c>
    </x:row>
    <x:row r="13">
      <x:c r="A13" s="178" t="str">
        <x:v>Diamond mining [BS212392]</x:v>
      </x:c>
      <x:c r="B13" s="171" t="n">
        <x:v>2024</x:v>
      </x:c>
      <x:c r="C13" s="237" t="n">
        <x:v>1.448164</x:v>
      </x:c>
      <x:c r="D13" s="237" t="n">
        <x:v>0.351883</x:v>
      </x:c>
      <x:c r="E13" s="237" t="n">
        <x:v>0.037285</x:v>
      </x:c>
      <x:c r="F13" s="239" t="n">
        <x:f>D13+E13</x:f>
        <x:v>0.389168</x:v>
      </x:c>
      <x:c r="G13" s="235" t="n">
        <x:v>0.010613</x:v>
      </x:c>
      <x:c r="H13" s="235" t="n">
        <x:v>-0.013236</x:v>
      </x:c>
      <x:c r="I13" s="235" t="n">
        <x:f>G13+H13</x:f>
        <x:v>-0.0026230000000000003</x:v>
      </x:c>
      <x:c r="J13" s="235" t="n">
        <x:v>0</x:v>
      </x:c>
      <x:c r="K13" s="235" t="n">
        <x:v>0.354925</x:v>
      </x:c>
      <x:c r="L13" s="235" t="n">
        <x:f>C13-F13-I13-J13-K13</x:f>
        <x:v>0.7066940000000002</x:v>
      </x:c>
      <x:c r="M13" s="1085"/>
      <x:c r="N13" s="1085"/>
      <x:c r="O13" s="1085" t="str">
        <x:f>IF(M13="","",K13-M13)</x:f>
      </x:c>
      <x:c r="P13" s="1085" t="str">
        <x:v>No</x:v>
      </x:c>
      <x:c r="Q13" s="1085" t="str">
        <x:v>Industry output and primary-input controls available; matching detailed capital row absent.</x:v>
      </x:c>
      <x:c r="R13" s="1059" t="str">
        <x:v>Statistics Canada 36-10-0001-01 and 36-10-0096-01</x:v>
      </x:c>
      <x:c r="S13" s="1077" t="n">
        <x:v>0</x:v>
      </x:c>
      <x:c r="T13" s="1088" t="n">
        <x:v>0</x:v>
      </x:c>
      <x:c r="U13" s="1089" t="n">
        <x:v>0</x:v>
      </x:c>
      <x:c r="V13" s="26" t="str">
        <x:v>Diamond remains inside combined coal/diamond/other-non-metal capital residual</x:v>
      </x:c>
    </x:row>
    <x:row r="14">
      <x:c r="A14" s="178" t="str">
        <x:v>Potash mining [BS212396]</x:v>
      </x:c>
      <x:c r="B14" s="171" t="n">
        <x:v>2024</x:v>
      </x:c>
      <x:c r="C14" s="237" t="n">
        <x:v>8.492848</x:v>
      </x:c>
      <x:c r="D14" s="237" t="n">
        <x:v>1.257791</x:v>
      </x:c>
      <x:c r="E14" s="237" t="n">
        <x:v>0.168507</x:v>
      </x:c>
      <x:c r="F14" s="239" t="n">
        <x:f>D14+E14</x:f>
        <x:v>1.426298</x:v>
      </x:c>
      <x:c r="G14" s="235" t="n">
        <x:v>0.21568</x:v>
      </x:c>
      <x:c r="H14" s="235" t="n">
        <x:v>-0.000218</x:v>
      </x:c>
      <x:c r="I14" s="235" t="n">
        <x:f>G14+H14</x:f>
        <x:v>0.21546200000000001</x:v>
      </x:c>
      <x:c r="J14" s="235" t="n">
        <x:v>0</x:v>
      </x:c>
      <x:c r="K14" s="235" t="n">
        <x:v>3.347454</x:v>
      </x:c>
      <x:c r="L14" s="235" t="n">
        <x:f>C14-F14-I14-J14-K14</x:f>
        <x:v>3.503634000000001</x:v>
      </x:c>
      <x:c r="M14" s="1085" t="n">
        <x:f>'Capital_Allocation_2024'!J11</x:f>
        <x:v>5.644479793921634</x:v>
      </x:c>
      <x:c r="N14" s="1085" t="n">
        <x:f>'Capital_Allocation_2024'!K11</x:f>
        <x:v>49.110813989290946</x:v>
      </x:c>
      <x:c r="O14" s="1085" t="n">
        <x:f>K14-M14</x:f>
        <x:v>-2.297025793921634</x:v>
      </x:c>
      <x:c r="P14" s="1085" t="str">
        <x:v>No</x:v>
      </x:c>
      <x:c r="Q14" s="1085" t="str">
        <x:v>Industry output and primary-input controls available; matching detailed capital row absent.</x:v>
      </x:c>
      <x:c r="R14" s="1059" t="str">
        <x:v>Statistics Canada 36-10-0001-01 and 36-10-0096-01</x:v>
      </x:c>
      <x:c r="S14" s="1077" t="n">
        <x:f>Assumptions!$B$26</x:f>
        <x:v>0.009091666666666665</x:v>
      </x:c>
      <x:c r="T14" s="1088" t="n">
        <x:f>N14*S14</x:f>
        <x:v>0.4464991505193034</x:v>
      </x:c>
      <x:c r="U14" s="1089" t="n">
        <x:f>K14-M14-T14</x:f>
        <x:v>-2.7435249444409373</x:v>
      </x:c>
      <x:c r="V14" s="26" t="str">
        <x:v>CAPEX-share sensitivity only; v0.15 stress test rejects point-estimate use</x:v>
      </x:c>
    </x:row>
    <x:row r="15">
      <x:c r="A15" s="178"/>
      <x:c r="B15" s="162"/>
      <x:c r="C15" s="162"/>
      <x:c r="D15" s="162"/>
      <x:c r="E15" s="162"/>
      <x:c r="F15" s="162"/>
      <x:c r="G15" s="162"/>
      <x:c r="H15" s="162"/>
      <x:c r="I15" s="162"/>
      <x:c r="J15" s="162"/>
      <x:c r="K15" s="162"/>
      <x:c r="L15" s="162"/>
      <x:c r="M15" s="1083"/>
      <x:c r="N15" s="1083"/>
      <x:c r="O15" s="1083"/>
      <x:c r="P15" s="1083"/>
      <x:c r="Q15" s="1083"/>
      <x:c r="R15" s="1051"/>
      <x:c r="S15" s="1077"/>
      <x:c r="T15" s="1088"/>
      <x:c r="U15" s="1089"/>
      <x:c r="V15" s="26"/>
    </x:row>
    <x:row r="16">
      <x:c r="A16" s="178" t="str">
        <x:v>Mining, quarrying and oil and gas extraction — aggregate capital control</x:v>
      </x:c>
      <x:c r="B16" s="178" t="n">
        <x:v>2024</x:v>
      </x:c>
      <x:c r="C16" s="178"/>
      <x:c r="D16" s="178"/>
      <x:c r="E16" s="178"/>
      <x:c r="F16" s="178"/>
      <x:c r="G16" s="178"/>
      <x:c r="H16" s="178"/>
      <x:c r="I16" s="178"/>
      <x:c r="J16" s="178"/>
      <x:c r="K16" s="178"/>
      <x:c r="L16" s="178"/>
      <x:c r="M16" s="1058" t="n">
        <x:v>72.001</x:v>
      </x:c>
      <x:c r="N16" s="1058" t="n">
        <x:v>767.841</x:v>
      </x:c>
      <x:c r="O16" s="1051"/>
      <x:c r="P16" s="1051" t="str">
        <x:v>No</x:v>
      </x:c>
      <x:c r="Q16" s="1051" t="str">
        <x:v>Aggregate control cannot be allocated directly across oil sands, coal, metals, potash and diamonds.</x:v>
      </x:c>
      <x:c r="R16" s="1051" t="str">
        <x:v>Statistics Canada 36-10-0096-01</x:v>
      </x:c>
      <x:c r="S16" s="1077" t="n">
        <x:f>Assumptions!$B$26</x:f>
        <x:v>0.009091666666666665</x:v>
      </x:c>
      <x:c r="T16" s="1088" t="n">
        <x:f>N16*S16</x:f>
        <x:v>6.980954424999998</x:v>
      </x:c>
      <x:c r="U16" s="1089"/>
      <x:c r="V16" s="26" t="str">
        <x:v>Official aggregate reconciliation control; not additive to detailed rows</x:v>
      </x:c>
    </x:row>
    <x:row r="17">
      <x:c r="A17" s="178" t="str">
        <x:v>Support activities for mining and oil and gas extraction — capital control</x:v>
      </x:c>
      <x:c r="B17" s="178" t="n">
        <x:v>2024</x:v>
      </x:c>
      <x:c r="C17" s="178"/>
      <x:c r="D17" s="178"/>
      <x:c r="E17" s="178"/>
      <x:c r="F17" s="178"/>
      <x:c r="G17" s="178"/>
      <x:c r="H17" s="178"/>
      <x:c r="I17" s="178"/>
      <x:c r="J17" s="178"/>
      <x:c r="K17" s="178"/>
      <x:c r="L17" s="178"/>
      <x:c r="M17" s="1058" t="n">
        <x:v>4.467</x:v>
      </x:c>
      <x:c r="N17" s="1058" t="n">
        <x:v>39.616</x:v>
      </x:c>
      <x:c r="O17" s="1051"/>
      <x:c r="P17" s="1051" t="str">
        <x:v>No</x:v>
      </x:c>
      <x:c r="Q17" s="1051" t="str">
        <x:v>Support-industry capital must not be assigned to extraction commodities without a documented allocation.</x:v>
      </x:c>
      <x:c r="R17" s="1051" t="str">
        <x:v>Statistics Canada 36-10-0096-01</x:v>
      </x:c>
      <x:c r="S17" s="1077" t="n">
        <x:f>Assumptions!$B$26</x:f>
        <x:v>0.009091666666666665</x:v>
      </x:c>
      <x:c r="T17" s="1088" t="n">
        <x:f>N17*S17</x:f>
        <x:v>0.36017546666666655</x:v>
      </x:c>
      <x:c r="U17" s="1089"/>
      <x:c r="V17" s="26" t="str">
        <x:v>Official support-industry control; excluded from resource allocation</x:v>
      </x:c>
    </x:row>
  </x:sheetData>
  <x:mergeCells>
    <x:mergeCell ref="A1:R1"/>
    <x:mergeCell ref="A2:R2"/>
    <x:mergeCell ref="A2:V2"/>
  </x:mergeCells>
  <x:pageMargins left="0.7" right="0.7" top="0.75" bottom="0.75" header="0.3" footer="0.3"/>
</x:worksheet>
</file>

<file path=xl/worksheets/sheet35.xml><?xml version="1.0" encoding="utf-8"?>
<x:worksheet xmlns:x="http://schemas.openxmlformats.org/spreadsheetml/2006/main">
  <x:sheetFormatPr defaultRowHeight="15"/>
  <x:cols>
    <x:col min="1" max="1" width="17" hidden="0" customWidth="1"/>
    <x:col min="2" max="2" width="23" hidden="0" customWidth="1"/>
    <x:col min="3" max="3" width="23" hidden="0" customWidth="1"/>
    <x:col min="4" max="4" width="23" hidden="0" customWidth="1"/>
    <x:col min="5" max="5" width="39" hidden="0" customWidth="1"/>
    <x:col min="6" max="6" width="25" hidden="0" customWidth="1"/>
    <x:col min="7" max="7" width="24" hidden="0" customWidth="1"/>
    <x:col min="8" max="8" width="44" hidden="0" customWidth="1"/>
  </x:cols>
  <x:sheetData>
    <x:row r="1" ht="28" customHeight="1">
      <x:c r="A1" s="714" t="str">
        <x:v>Rent Evidence Extractor v0.2.2 — Unit Scaling Errata</x:v>
      </x:c>
      <x:c r="B1" s="714"/>
      <x:c r="C1" s="714"/>
      <x:c r="D1" s="714"/>
      <x:c r="E1" s="714"/>
      <x:c r="F1" s="714"/>
      <x:c r="G1" s="714"/>
      <x:c r="H1" s="714"/>
    </x:row>
    <x:row r="2" ht="42" customHeight="1">
      <x:c r="A2" s="717" t="str">
        <x:v>The source table and industry matching passed. The monetary UOM multiplier was not combined with the separate scalar factor when generating value_billions.</x:v>
      </x:c>
      <x:c r="B2" s="717"/>
      <x:c r="C2" s="717"/>
      <x:c r="D2" s="717"/>
      <x:c r="E2" s="717"/>
      <x:c r="F2" s="717"/>
      <x:c r="G2" s="717"/>
      <x:c r="H2" s="717"/>
    </x:row>
    <x:row r="4" ht="40" customHeight="1">
      <x:c r="A4" s="729" t="str">
        <x:v>Issue ID</x:v>
      </x:c>
      <x:c r="B4" s="730" t="str">
        <x:v>Original extractor assumption</x:v>
      </x:c>
      <x:c r="C4" s="730" t="str">
        <x:v>Official metadata / observed result</x:v>
      </x:c>
      <x:c r="D4" s="730" t="str">
        <x:v>Correction applied</x:v>
      </x:c>
      <x:c r="E4" s="730" t="str">
        <x:v>Consequence</x:v>
      </x:c>
      <x:c r="F4" s="730" t="str">
        <x:v>Workbook ruling</x:v>
      </x:c>
      <x:c r="G4" s="730" t="str">
        <x:v>Patch status</x:v>
      </x:c>
      <x:c r="H4" s="731" t="str">
        <x:v>Source</x:v>
      </x:c>
    </x:row>
    <x:row r="5">
      <x:c r="A5" s="748" t="str">
        <x:v>ERR-001</x:v>
      </x:c>
      <x:c r="B5" s="749" t="str">
        <x:v>Federal component sequence error in v0.2</x:v>
      </x:c>
      <x:c r="C5" s="749" t="str">
        <x:v>Resolved in v0.2.1</x:v>
      </x:c>
      <x:c r="D5" s="749" t="str">
        <x:v>Retain corrected four-vector federal sequence</x:v>
      </x:c>
      <x:c r="E5" s="749" t="str">
        <x:v>82 valid component observations</x:v>
      </x:c>
      <x:c r="F5" s="749" t="str">
        <x:v>Resolved</x:v>
      </x:c>
      <x:c r="G5" s="749" t="str">
        <x:v>PASS</x:v>
      </x:c>
      <x:c r="H5" s="750" t="str">
        <x:v>CGFS metadata</x:v>
      </x:c>
    </x:row>
    <x:row r="6">
      <x:c r="A6" s="751" t="str">
        <x:v>ERR-002</x:v>
      </x:c>
      <x:c r="B6" s="162" t="str">
        <x:v>Federal non-rent vectors in v0.2</x:v>
      </x:c>
      <x:c r="C6" s="162" t="str">
        <x:v>Resolved in v0.2.1</x:v>
      </x:c>
      <x:c r="D6" s="162" t="str">
        <x:v>Exclude sales and administrative fees</x:v>
      </x:c>
      <x:c r="E6" s="162" t="str">
        <x:v>14 balanced jurisdictions</x:v>
      </x:c>
      <x:c r="F6" s="162" t="str">
        <x:v>Resolved</x:v>
      </x:c>
      <x:c r="G6" s="162" t="str">
        <x:v>PASS</x:v>
      </x:c>
      <x:c r="H6" s="752" t="str">
        <x:v>CGFS metadata</x:v>
      </x:c>
    </x:row>
    <x:row r="7">
      <x:c r="A7" s="751" t="str">
        <x:v>ERR-003</x:v>
      </x:c>
      <x:c r="B7" s="162" t="str">
        <x:v>Historical labour table selected in v0.2.1</x:v>
      </x:c>
      <x:c r="C7" s="162" t="str">
        <x:v>Resolved in v0.2.2</x:v>
      </x:c>
      <x:c r="D7" s="162" t="str">
        <x:v>Use table 36-10-0489-04</x:v>
      </x:c>
      <x:c r="E7" s="162" t="str">
        <x:v>Ten 2024 rows found</x:v>
      </x:c>
      <x:c r="F7" s="162" t="str">
        <x:v>Resolved</x:v>
      </x:c>
      <x:c r="G7" s="162" t="str">
        <x:v>PASS</x:v>
      </x:c>
      <x:c r="H7" s="752" t="str">
        <x:v>Statistics Canada labour table</x:v>
      </x:c>
    </x:row>
    <x:row r="8">
      <x:c r="A8" s="751" t="str">
        <x:v>ERR-004</x:v>
      </x:c>
      <x:c r="B8" s="162" t="str">
        <x:v>Labour table matching and source archive</x:v>
      </x:c>
      <x:c r="C8" s="162" t="str">
        <x:v>Passed in v0.2.2</x:v>
      </x:c>
      <x:c r="D8" s="162" t="str">
        <x:v>Preserve source ZIP and hashes</x:v>
      </x:c>
      <x:c r="E8" s="162" t="str">
        <x:v>Local source evidence valid</x:v>
      </x:c>
      <x:c r="F8" s="162" t="str">
        <x:v>Accepted</x:v>
      </x:c>
      <x:c r="G8" s="162" t="str">
        <x:v>PASS</x:v>
      </x:c>
      <x:c r="H8" s="752" t="str">
        <x:v>Receipt v0.2.2</x:v>
      </x:c>
    </x:row>
    <x:row r="9">
      <x:c r="A9" s="751" t="str">
        <x:v>ERR-005</x:v>
      </x:c>
      <x:c r="B9" s="162" t="str">
        <x:v>Only SCALAR_ID was applied</x:v>
      </x:c>
      <x:c r="C9" s="162" t="str">
        <x:v>UOM is Thousands of dollars while scalar is units</x:v>
      </x:c>
      <x:c r="D9" s="162" t="str">
        <x:v>Apply both UOM exponent 3 and scalar exponent 0</x:v>
      </x:c>
      <x:c r="E9" s="162" t="str">
        <x:v>All ten values increase by factor 1,000</x:v>
      </x:c>
      <x:c r="F9" s="162" t="str">
        <x:v>Corrected before import</x:v>
      </x:c>
      <x:c r="G9" s="162" t="str">
        <x:v>FIXED IN v0.2.3</x:v>
      </x:c>
      <x:c r="H9" s="752" t="str">
        <x:v>Labour_Scaling_Audit</x:v>
      </x:c>
    </x:row>
    <x:row r="10">
      <x:c r="A10" s="765" t="str">
        <x:v>Import controls</x:v>
      </x:c>
      <x:c r="B10" s="766"/>
      <x:c r="C10" s="766"/>
      <x:c r="D10" s="766"/>
      <x:c r="E10" s="766"/>
      <x:c r="F10" s="766"/>
      <x:c r="G10" s="766"/>
      <x:c r="H10" s="767"/>
    </x:row>
    <x:row r="11">
      <x:c r="A11" s="748" t="str">
        <x:v>Receipt core SHA-256</x:v>
      </x:c>
      <x:c r="B11" s="749" t="str">
        <x:v>532291d5e105cf943db14303dc071544d3abbdb79a3b053dbf8606e2aaecd8e4</x:v>
      </x:c>
      <x:c r="C11" s="749"/>
      <x:c r="D11" s="749"/>
      <x:c r="E11" s="749"/>
      <x:c r="F11" s="749"/>
      <x:c r="G11" s="749"/>
      <x:c r="H11" s="750"/>
    </x:row>
    <x:row r="12">
      <x:c r="A12" s="751" t="str">
        <x:v>Dataset fingerprint SHA-256</x:v>
      </x:c>
      <x:c r="B12" s="162" t="str">
        <x:v>562ca5e88e59254b18b488daef02dc9130b5f2a8e0ef87dfddfb49f71f903eae</x:v>
      </x:c>
      <x:c r="C12" s="162"/>
      <x:c r="D12" s="162"/>
      <x:c r="E12" s="162"/>
      <x:c r="F12" s="162"/>
      <x:c r="G12" s="162"/>
      <x:c r="H12" s="752"/>
    </x:row>
    <x:row r="13">
      <x:c r="A13" s="753" t="str">
        <x:v>Import result</x:v>
      </x:c>
      <x:c r="B13" s="754" t="str">
        <x:v>PASS_WITH_CORRECTIONS</x:v>
      </x:c>
      <x:c r="C13" s="754"/>
      <x:c r="D13" s="754"/>
      <x:c r="E13" s="754"/>
      <x:c r="F13" s="754"/>
      <x:c r="G13" s="754"/>
      <x:c r="H13" s="755"/>
    </x:row>
  </x:sheetData>
  <x:mergeCells>
    <x:mergeCell ref="A1:H1"/>
    <x:mergeCell ref="A2:H2"/>
  </x:mergeCells>
  <x:pageMargins left="0.7" right="0.7" top="0.75" bottom="0.75" header="0.3" footer="0.3"/>
</x:worksheet>
</file>

<file path=xl/worksheets/sheet36.xml><?xml version="1.0" encoding="utf-8"?>
<x:worksheet xmlns:x="http://schemas.openxmlformats.org/spreadsheetml/2006/main">
  <x:sheetFormatPr defaultRowHeight="15"/>
  <x:cols>
    <x:col min="1" max="1" width="39" hidden="0" customWidth="1"/>
    <x:col min="2" max="2" width="48" hidden="0" customWidth="1"/>
    <x:col min="3" max="3" width="20" hidden="0" customWidth="1"/>
    <x:col min="4" max="4" width="60" hidden="0" customWidth="1"/>
  </x:cols>
  <x:sheetData>
    <x:row r="1" ht="28" customHeight="1">
      <x:c r="A1" s="714" t="str">
        <x:v>Rent Evidence Extraction Receipt — v0.2.2 Selective Import Review</x:v>
      </x:c>
      <x:c r="B1" s="714"/>
      <x:c r="C1" s="714"/>
      <x:c r="D1" s="714"/>
    </x:row>
    <x:row r="2" ht="42" customHeight="1">
      <x:c r="A2" s="717" t="str">
        <x:v>Component and source-presence validations passed. Labour rows were found, but their manifest values failed unit scaling and were corrected before workbook import.</x:v>
      </x:c>
      <x:c r="B2" s="717"/>
      <x:c r="C2" s="717"/>
      <x:c r="D2" s="717"/>
    </x:row>
    <x:row r="4" ht="40" customHeight="1">
      <x:c r="A4" s="729" t="str">
        <x:v>Control</x:v>
      </x:c>
      <x:c r="B4" s="730" t="str">
        <x:v>Reported / corrected value</x:v>
      </x:c>
      <x:c r="C4" s="730" t="str">
        <x:v>Result</x:v>
      </x:c>
      <x:c r="D4" s="731" t="str">
        <x:v>Interpretation</x:v>
      </x:c>
    </x:row>
    <x:row r="5">
      <x:c r="A5" s="748" t="str">
        <x:v>Extractor version</x:v>
      </x:c>
      <x:c r="B5" s="749" t="str">
        <x:v>0.2.2</x:v>
      </x:c>
      <x:c r="C5" s="749" t="str">
        <x:v>PASS</x:v>
      </x:c>
      <x:c r="D5" s="750" t="str">
        <x:v>Uploaded package v0.2.2</x:v>
      </x:c>
    </x:row>
    <x:row r="6">
      <x:c r="A6" s="751" t="str">
        <x:v>Receipt status</x:v>
      </x:c>
      <x:c r="B6" s="162" t="str">
        <x:v>PASS_WITH_DISCLOSED_LIMITS</x:v>
      </x:c>
      <x:c r="C6" s="162" t="str">
        <x:v>LIMITED</x:v>
      </x:c>
      <x:c r="D6" s="752" t="str">
        <x:v>Not a clean terminal pass</x:v>
      </x:c>
    </x:row>
    <x:row r="7">
      <x:c r="A7" s="751" t="str">
        <x:v>Reported component observations</x:v>
      </x:c>
      <x:c r="B7" s="162" t="n">
        <x:v>82</x:v>
      </x:c>
      <x:c r="C7" s="162" t="str">
        <x:v>PASS</x:v>
      </x:c>
      <x:c r="D7" s="752" t="str">
        <x:v>Corrected official component count</x:v>
      </x:c>
    </x:row>
    <x:row r="8">
      <x:c r="A8" s="751" t="str">
        <x:v>Corrected valid rent observations</x:v>
      </x:c>
      <x:c r="B8" s="162" t="n">
        <x:v>82</x:v>
      </x:c>
      <x:c r="C8" s="162" t="str">
        <x:v>PASS</x:v>
      </x:c>
      <x:c r="D8" s="752" t="str">
        <x:v>82 official rent observations</x:v>
      </x:c>
    </x:row>
    <x:row r="9">
      <x:c r="A9" s="751" t="str">
        <x:v>Reported balanced jurisdictions</x:v>
      </x:c>
      <x:c r="B9" s="162" t="n">
        <x:v>14</x:v>
      </x:c>
      <x:c r="C9" s="162" t="str">
        <x:v>PASS</x:v>
      </x:c>
      <x:c r="D9" s="752" t="str">
        <x:v>Receipt reports 14 of 14 balanced</x:v>
      </x:c>
    </x:row>
    <x:row r="10">
      <x:c r="A10" s="751" t="str">
        <x:v>Corrected balanced jurisdictions</x:v>
      </x:c>
      <x:c r="B10" s="162" t="n">
        <x:v>14</x:v>
      </x:c>
      <x:c r="C10" s="162" t="str">
        <x:v>PASS</x:v>
      </x:c>
      <x:c r="D10" s="752" t="str">
        <x:v>Federal metadata corrected; all balances within $0.005B</x:v>
      </x:c>
    </x:row>
    <x:row r="11">
      <x:c r="A11" s="751" t="str">
        <x:v>NRSA target rows</x:v>
      </x:c>
      <x:c r="B11" s="162" t="n">
        <x:v>64</x:v>
      </x:c>
      <x:c r="C11" s="162" t="str">
        <x:v>PASS</x:v>
      </x:c>
      <x:c r="D11" s="752" t="str">
        <x:v>Official output evidence found</x:v>
      </x:c>
    </x:row>
    <x:row r="12">
      <x:c r="A12" s="751" t="str">
        <x:v>Input-output target rows</x:v>
      </x:c>
      <x:c r="B12" s="162" t="n">
        <x:v>12330</x:v>
      </x:c>
      <x:c r="C12" s="162" t="str">
        <x:v>PASS</x:v>
      </x:c>
      <x:c r="D12" s="752" t="str">
        <x:v>Industry supply and primary-input evidence found</x:v>
      </x:c>
    </x:row>
    <x:row r="13">
      <x:c r="A13" s="751" t="str">
        <x:v>Labour target rows</x:v>
      </x:c>
      <x:c r="B13" s="162" t="n">
        <x:v>10</x:v>
      </x:c>
      <x:c r="C13" s="162" t="str">
        <x:v>FOUND; VALUES CORRECTED</x:v>
      </x:c>
      <x:c r="D13" s="752" t="str">
        <x:v>UOM thousands of dollars was omitted from v0.2.2 conversion</x:v>
      </x:c>
    </x:row>
    <x:row r="14">
      <x:c r="A14" s="751" t="str">
        <x:v>Capital target rows</x:v>
      </x:c>
      <x:c r="B14" s="162" t="n">
        <x:v>480</x:v>
      </x:c>
      <x:c r="C14" s="162" t="str">
        <x:v>PASS</x:v>
      </x:c>
      <x:c r="D14" s="752" t="str">
        <x:v>Current-price and constant-price capital evidence found</x:v>
      </x:c>
    </x:row>
    <x:row r="15">
      <x:c r="A15" s="751" t="str">
        <x:v>Oil/gas financial rows</x:v>
      </x:c>
      <x:c r="B15" s="162" t="n">
        <x:v>27</x:v>
      </x:c>
      <x:c r="C15" s="162" t="str">
        <x:v>PASS</x:v>
      </x:c>
      <x:c r="D15" s="752" t="str">
        <x:v>Accounting diagnostic only</x:v>
      </x:c>
    </x:row>
    <x:row r="16">
      <x:c r="A16" s="751" t="str">
        <x:v>Commodity economic-rent rows complete</x:v>
      </x:c>
      <x:c r="B16" s="162" t="n">
        <x:v>0</x:v>
      </x:c>
      <x:c r="C16" s="162" t="str">
        <x:v>FAIL</x:v>
      </x:c>
      <x:c r="D16" s="752" t="str">
        <x:v>No rent row complete</x:v>
      </x:c>
    </x:row>
    <x:row r="17">
      <x:c r="A17" s="751" t="str">
        <x:v>Receipt core SHA-256</x:v>
      </x:c>
      <x:c r="B17" s="162" t="str">
        <x:v>532291d5e105cf943db14303dc071544d3abbdb79a3b053dbf8606e2aaecd8e4</x:v>
      </x:c>
      <x:c r="C17" s="162" t="str">
        <x:v>PASS</x:v>
      </x:c>
      <x:c r="D17" s="752" t="str">
        <x:v>Matches uploaded manifest</x:v>
      </x:c>
    </x:row>
    <x:row r="18">
      <x:c r="A18" s="751" t="str">
        <x:v>Dataset fingerprint SHA-256</x:v>
      </x:c>
      <x:c r="B18" s="162" t="str">
        <x:v>562ca5e88e59254b18b488daef02dc9130b5f2a8e0ef87dfddfb49f71f903eae</x:v>
      </x:c>
      <x:c r="C18" s="162" t="str">
        <x:v>PASS</x:v>
      </x:c>
      <x:c r="D18" s="752" t="str">
        <x:v>Preserved</x:v>
      </x:c>
    </x:row>
    <x:row r="19">
      <x:c r="A19" s="751" t="str">
        <x:v>Workbook import</x:v>
      </x:c>
      <x:c r="B19" s="162" t="str">
        <x:v>170 manifest writes accepted; 10 labour values corrected</x:v>
      </x:c>
      <x:c r="C19" s="162" t="str">
        <x:v>PASS_WITH_CORRECTIONS</x:v>
      </x:c>
      <x:c r="D19" s="752" t="str">
        <x:v>No commodity economic-rent row authorized</x:v>
      </x:c>
    </x:row>
    <x:row r="20">
      <x:c r="A20" s="751"/>
      <x:c r="B20" s="162"/>
      <x:c r="C20" s="162"/>
      <x:c r="D20" s="752"/>
    </x:row>
    <x:row r="21">
      <x:c r="A21" s="768" t="str">
        <x:v>Source archive</x:v>
      </x:c>
      <x:c r="B21" s="769" t="str">
        <x:v>Bytes</x:v>
      </x:c>
      <x:c r="C21" s="769" t="str">
        <x:v>SHA-256</x:v>
      </x:c>
      <x:c r="D21" s="770" t="str">
        <x:v>Official table</x:v>
      </x:c>
    </x:row>
    <x:row r="22">
      <x:c r="A22" s="748" t="str">
        <x:v>raw/full_table_10100016.zip</x:v>
      </x:c>
      <x:c r="B22" s="749" t="n">
        <x:v>67239</x:v>
      </x:c>
      <x:c r="C22" s="749" t="str">
        <x:v>4b4345439f57f6371e2d1e66fc52be2fdd05521b662510f6a884a47f94b147e2</x:v>
      </x:c>
      <x:c r="D22" s="750" t="str">
        <x:v>10100016.csv</x:v>
      </x:c>
    </x:row>
    <x:row r="23">
      <x:c r="A23" s="751" t="str">
        <x:v>raw/full_table_10100017.zip</x:v>
      </x:c>
      <x:c r="B23" s="162" t="n">
        <x:v>785095</x:v>
      </x:c>
      <x:c r="C23" s="162" t="str">
        <x:v>a93fbbd245c91bb8e27fdf023d86d33856738186e5b3d25335b7d555cefba324</x:v>
      </x:c>
      <x:c r="D23" s="752" t="str">
        <x:v>10100017.csv</x:v>
      </x:c>
    </x:row>
    <x:row r="24">
      <x:c r="A24" s="753" t="str">
        <x:v>raw/full_table_36100624.zip</x:v>
      </x:c>
      <x:c r="B24" s="754" t="n">
        <x:v>1156288</x:v>
      </x:c>
      <x:c r="C24" s="754" t="str">
        <x:v>b71e5c950cd13fcca83c5bb2ed7b28149f3cf6eeb791d3c5d8d884951f780114</x:v>
      </x:c>
      <x:c r="D24" s="755" t="str">
        <x:v>36100624.csv</x:v>
      </x:c>
    </x:row>
    <x:row r="25">
      <x:c r="A25" s="751" t="str">
        <x:v>raw/full_table_36100001.zip</x:v>
      </x:c>
      <x:c r="B25" s="162" t="n">
        <x:v>47550987</x:v>
      </x:c>
      <x:c r="C25" s="162" t="str">
        <x:v>3c7422bce4c6ff2d5082d6ac1afb4f31610039b71ada9973126673f705f0fc22</x:v>
      </x:c>
      <x:c r="D25" s="752" t="str">
        <x:v>36100001.csv</x:v>
      </x:c>
    </x:row>
    <x:row r="26">
      <x:c r="A26" s="751" t="str">
        <x:v>raw/full_table_36100209.zip</x:v>
      </x:c>
      <x:c r="B26" s="162" t="n">
        <x:v>3239217</x:v>
      </x:c>
      <x:c r="C26" s="162" t="str">
        <x:v>d54a6bf3b53e9b369884e67391299d1c6487c3fc49296f38cb030bcd2fe45939</x:v>
      </x:c>
      <x:c r="D26" s="752" t="str">
        <x:v>36100209.csv</x:v>
      </x:c>
    </x:row>
    <x:row r="27">
      <x:c r="A27" s="751" t="str">
        <x:v>raw/full_table_36100096.zip</x:v>
      </x:c>
      <x:c r="B27" s="162" t="n">
        <x:v>81877768</x:v>
      </x:c>
      <x:c r="C27" s="162" t="str">
        <x:v>b5ec714f9eef4cedf80759f1ed5bf0f08ed1b18f2753f6933aee8a68fb1f0bd6</x:v>
      </x:c>
      <x:c r="D27" s="752" t="str">
        <x:v>36100096.csv</x:v>
      </x:c>
    </x:row>
    <x:row r="28">
      <x:c r="A28" s="753" t="str">
        <x:v>raw/full_table_25100065.zip</x:v>
      </x:c>
      <x:c r="B28" s="754" t="n">
        <x:v>4750</x:v>
      </x:c>
      <x:c r="C28" s="754" t="str">
        <x:v>91fc13f5d968c2b26bc2b9aa935ac2f971d7e3caedadea1c0e088a7e99754f64</x:v>
      </x:c>
      <x:c r="D28" s="755" t="str">
        <x:v>25100065.csv</x:v>
      </x:c>
    </x:row>
  </x:sheetData>
  <x:mergeCells>
    <x:mergeCell ref="A1:D1"/>
    <x:mergeCell ref="A2:D2"/>
  </x:mergeCells>
  <x:conditionalFormatting sqref="C5:C19">
    <x:cfRule type="expression" dxfId="14" priority="1">
      <x:formula>C5="PASS"</x:formula>
    </x:cfRule>
    <x:cfRule type="expression" dxfId="15" priority="2">
      <x:formula>OR(C5="FAIL",C5="LIMITED")</x:formula>
    </x:cfRule>
  </x:conditionalFormatting>
  <x:pageMargins left="0.7" right="0.7" top="0.75" bottom="0.75" header="0.3" footer="0.3"/>
</x:worksheet>
</file>

<file path=xl/worksheets/sheet37.xml><?xml version="1.0" encoding="utf-8"?>
<x:worksheet xmlns:x="http://schemas.openxmlformats.org/spreadsheetml/2006/main">
  <x:sheetFormatPr defaultRowHeight="15"/>
  <x:cols>
    <x:col min="1" max="1" width="35" hidden="0" customWidth="1"/>
    <x:col min="2" max="2" width="23" hidden="0" customWidth="1"/>
    <x:col min="3" max="3" width="21" hidden="0" customWidth="1"/>
    <x:col min="4" max="4" width="21" hidden="0" customWidth="1"/>
    <x:col min="5" max="5" width="20" hidden="0" customWidth="1"/>
    <x:col min="6" max="6" width="17" hidden="0" customWidth="1"/>
    <x:col min="7" max="7" width="40" hidden="0" customWidth="1"/>
    <x:col min="8" max="8" width="24" hidden="0" customWidth="1"/>
    <x:col min="9" max="9" width="28" hidden="0" customWidth="1"/>
    <x:col min="10" max="10" width="26" hidden="0" customWidth="1"/>
    <x:col min="11" max="11" width="43" hidden="0" customWidth="1"/>
  </x:cols>
  <x:sheetData>
    <x:row r="1" ht="28" customHeight="1">
      <x:c r="A1" s="787" t="str">
        <x:v>2024 Labour Compensation Benchmark — Detailed Extraction Industries</x:v>
      </x:c>
      <x:c r="B1" s="787"/>
      <x:c r="C1" s="787"/>
      <x:c r="D1" s="787"/>
      <x:c r="E1" s="787"/>
      <x:c r="F1" s="787"/>
      <x:c r="G1" s="787"/>
      <x:c r="H1" s="787"/>
      <x:c r="I1" s="787"/>
      <x:c r="J1" s="787"/>
      <x:c r="K1" s="787"/>
    </x:row>
    <x:row r="2" ht="42" customHeight="1">
      <x:c r="A2" s="790" t="str">
        <x:v>Input-output employee compensation and labour-productivity total compensation use different concepts. The benchmark is a validation and allocation control, not a substitute for commodity-specific labour cost.</x:v>
      </x:c>
      <x:c r="B2" s="790"/>
      <x:c r="C2" s="790"/>
      <x:c r="D2" s="790"/>
      <x:c r="E2" s="790"/>
      <x:c r="F2" s="790"/>
      <x:c r="G2" s="790"/>
      <x:c r="H2" s="790"/>
      <x:c r="I2" s="790"/>
      <x:c r="J2" s="790"/>
      <x:c r="K2" s="790"/>
    </x:row>
    <x:row r="4" ht="40" customHeight="1">
      <x:c r="A4" s="802" t="str">
        <x:v>Industry</x:v>
      </x:c>
      <x:c r="B4" s="803" t="str">
        <x:v>NAICS / IO code</x:v>
      </x:c>
      <x:c r="C4" s="803" t="str">
        <x:v>IO employee compensation ($B)</x:v>
      </x:c>
      <x:c r="D4" s="803" t="str">
        <x:v>SNA total compensation — all jobs ($B)</x:v>
      </x:c>
      <x:c r="E4" s="803" t="str">
        <x:v>Benchmark minus IO ($B)</x:v>
      </x:c>
      <x:c r="F4" s="803" t="str">
        <x:v>Difference / IO</x:v>
      </x:c>
      <x:c r="G4" s="803" t="str">
        <x:v>Concept and boundary explanation</x:v>
      </x:c>
      <x:c r="H4" s="803" t="str">
        <x:v>Benchmark status</x:v>
      </x:c>
      <x:c r="I4" s="803" t="str">
        <x:v>Economic-rent use</x:v>
      </x:c>
      <x:c r="J4" s="803" t="str">
        <x:v>Extraction status</x:v>
      </x:c>
      <x:c r="K4" s="804" t="str">
        <x:v>Official source</x:v>
      </x:c>
    </x:row>
    <x:row r="5">
      <x:c r="A5" s="821" t="str">
        <x:v>Forestry and logging</x:v>
      </x:c>
      <x:c r="B5" s="832" t="str">
        <x:v>113 / BS113000</x:v>
      </x:c>
      <x:c r="C5" s="833" t="n">
        <x:v>2.510655</x:v>
      </x:c>
      <x:c r="D5" s="263" t="n">
        <x:v>3.232933</x:v>
      </x:c>
      <x:c r="E5" s="834" t="n">
        <x:f>D5-C5</x:f>
        <x:v>0.7222780000000002</x:v>
      </x:c>
      <x:c r="F5" s="835" t="n">
        <x:f>IF(C5=0,"",E5/C5)</x:f>
        <x:v>0.28768508616277433</x:v>
      </x:c>
      <x:c r="G5" s="822" t="str">
        <x:v>SNA benchmark includes total compensation for all jobs; IO value is employee compensation in the production account.</x:v>
      </x:c>
      <x:c r="H5" s="783" t="str">
        <x:v>Official 2024 benchmark</x:v>
      </x:c>
      <x:c r="I5" s="822" t="str">
        <x:v>Validation only; timber boundary remains narrower</x:v>
      </x:c>
      <x:c r="J5" s="822" t="str">
        <x:v>Local archive verified; v0.2.2 scaling corrected</x:v>
      </x:c>
      <x:c r="K5" s="823" t="str">
        <x:v>Statistics Canada CSV 36100489; UOM thousands of dollars; receipt 532291d5e105cf943db14303dc071544d3abbdb79a3b053dbf8606e2aaecd8e4</x:v>
      </x:c>
    </x:row>
    <x:row r="6">
      <x:c r="A6" s="824" t="str">
        <x:v>Conventional oil and gas extraction</x:v>
      </x:c>
      <x:c r="B6" s="171" t="str">
        <x:v>211113 / BS211110</x:v>
      </x:c>
      <x:c r="C6" s="237" t="n">
        <x:v>9.290973</x:v>
      </x:c>
      <x:c r="D6" s="237" t="n">
        <x:v>7.408909</x:v>
      </x:c>
      <x:c r="E6" s="239" t="n">
        <x:f>D6-C6</x:f>
        <x:v>-1.8820639999999988</x:v>
      </x:c>
      <x:c r="F6" s="836" t="n">
        <x:f>IF(C6=0,"",E6/C6)</x:f>
        <x:v>-0.20256909583097477</x:v>
      </x:c>
      <x:c r="G6" s="162" t="str">
        <x:v>NAICS benchmark separates conventional extraction; IO industry boundary is oil and gas except oil sands.</x:v>
      </x:c>
      <x:c r="H6" s="784" t="str">
        <x:v>Official 2024 benchmark</x:v>
      </x:c>
      <x:c r="I6" s="162" t="str">
        <x:v>Industry control; cannot split crude oil from natural gas</x:v>
      </x:c>
      <x:c r="J6" s="162" t="str">
        <x:v>Local archive verified; v0.2.2 scaling corrected</x:v>
      </x:c>
      <x:c r="K6" s="825" t="str">
        <x:v>Statistics Canada CSV 36100489; UOM thousands of dollars; receipt 532291d5e105cf943db14303dc071544d3abbdb79a3b053dbf8606e2aaecd8e4</x:v>
      </x:c>
    </x:row>
    <x:row r="7">
      <x:c r="A7" s="824" t="str">
        <x:v>Non-conventional oil / oil sands</x:v>
      </x:c>
      <x:c r="B7" s="171" t="str">
        <x:v>211114 / BS211140</x:v>
      </x:c>
      <x:c r="C7" s="237" t="n">
        <x:v>9.253668</x:v>
      </x:c>
      <x:c r="D7" s="237" t="n">
        <x:v>9.247617</x:v>
      </x:c>
      <x:c r="E7" s="239" t="n">
        <x:f>D7-C7</x:f>
        <x:v>-0.0060509999999993624</x:v>
      </x:c>
      <x:c r="F7" s="836" t="n">
        <x:f>IF(C7=0,"",E7/C7)</x:f>
        <x:v>-0.000653902863167272</x:v>
      </x:c>
      <x:c r="G7" s="162" t="str">
        <x:v>The two measures are close, but upgrading and job-category coverage still require boundary review.</x:v>
      </x:c>
      <x:c r="H7" s="784" t="str">
        <x:v>Official 2024 benchmark</x:v>
      </x:c>
      <x:c r="I7" s="162" t="str">
        <x:v>Industry control for bitumen/oil sands</x:v>
      </x:c>
      <x:c r="J7" s="162" t="str">
        <x:v>Local archive verified; v0.2.2 scaling corrected</x:v>
      </x:c>
      <x:c r="K7" s="825" t="str">
        <x:v>Statistics Canada CSV 36100489; UOM thousands of dollars; receipt 532291d5e105cf943db14303dc071544d3abbdb79a3b053dbf8606e2aaecd8e4</x:v>
      </x:c>
    </x:row>
    <x:row r="8">
      <x:c r="A8" s="824" t="str">
        <x:v>Coal mining</x:v>
      </x:c>
      <x:c r="B8" s="171" t="str">
        <x:v>2121 / BS212100</x:v>
      </x:c>
      <x:c r="C8" s="237" t="n">
        <x:v>1.812276</x:v>
      </x:c>
      <x:c r="D8" s="237" t="n">
        <x:v>1.511138</x:v>
      </x:c>
      <x:c r="E8" s="239" t="n">
        <x:f>D8-C8</x:f>
        <x:v>-0.3011379999999999</x:v>
      </x:c>
      <x:c r="F8" s="836" t="n">
        <x:f>IF(C8=0,"",E8/C8)</x:f>
        <x:v>-0.1661656392293447</x:v>
      </x:c>
      <x:c r="G8" s="162" t="str">
        <x:v>Different labour-account concepts and industry-account revisions produce a material gap.</x:v>
      </x:c>
      <x:c r="H8" s="784" t="str">
        <x:v>Official 2024 benchmark</x:v>
      </x:c>
      <x:c r="I8" s="162" t="str">
        <x:v>Industry control only</x:v>
      </x:c>
      <x:c r="J8" s="162" t="str">
        <x:v>Local archive verified; v0.2.2 scaling corrected</x:v>
      </x:c>
      <x:c r="K8" s="825" t="str">
        <x:v>Statistics Canada CSV 36100489; UOM thousands of dollars; receipt 532291d5e105cf943db14303dc071544d3abbdb79a3b053dbf8606e2aaecd8e4</x:v>
      </x:c>
    </x:row>
    <x:row r="9">
      <x:c r="A9" s="824" t="str">
        <x:v>Iron ore mining</x:v>
      </x:c>
      <x:c r="B9" s="171" t="str">
        <x:v>21221 / BS212210</x:v>
      </x:c>
      <x:c r="C9" s="237" t="n">
        <x:v>1.448215</x:v>
      </x:c>
      <x:c r="D9" s="237" t="n">
        <x:v>1.345335</x:v>
      </x:c>
      <x:c r="E9" s="239" t="n">
        <x:f>D9-C9</x:f>
        <x:v>-0.10288000000000008</x:v>
      </x:c>
      <x:c r="F9" s="836" t="n">
        <x:f>IF(C9=0,"",E9/C9)</x:f>
        <x:v>-0.07103917581298362</x:v>
      </x:c>
      <x:c r="G9" s="162" t="str">
        <x:v>Both are industry-level measures; neither establishes commodity extraction labour independently.</x:v>
      </x:c>
      <x:c r="H9" s="784" t="str">
        <x:v>Official 2024 benchmark</x:v>
      </x:c>
      <x:c r="I9" s="162" t="str">
        <x:v>Industry control only</x:v>
      </x:c>
      <x:c r="J9" s="162" t="str">
        <x:v>Local archive verified; v0.2.2 scaling corrected</x:v>
      </x:c>
      <x:c r="K9" s="825" t="str">
        <x:v>Statistics Canada CSV 36100489; UOM thousands of dollars; receipt 532291d5e105cf943db14303dc071544d3abbdb79a3b053dbf8606e2aaecd8e4</x:v>
      </x:c>
    </x:row>
    <x:row r="10">
      <x:c r="A10" s="824" t="str">
        <x:v>Gold and silver ore mining</x:v>
      </x:c>
      <x:c r="B10" s="171" t="str">
        <x:v>21222 / BS212220</x:v>
      </x:c>
      <x:c r="C10" s="237" t="n">
        <x:v>3.631467</x:v>
      </x:c>
      <x:c r="D10" s="237" t="n">
        <x:v>3.720665</x:v>
      </x:c>
      <x:c r="E10" s="239" t="n">
        <x:f>D10-C10</x:f>
        <x:v>0.08919800000000011</x:v>
      </x:c>
      <x:c r="F10" s="836" t="n">
        <x:f>IF(C10=0,"",E10/C10)</x:f>
        <x:v>0.02456252528248229</x:v>
      </x:c>
      <x:c r="G10" s="162" t="str">
        <x:v>The labour benchmark includes gold and silver together and cannot be assigned wholly to gold.</x:v>
      </x:c>
      <x:c r="H10" s="784" t="str">
        <x:v>Official 2024 benchmark</x:v>
      </x:c>
      <x:c r="I10" s="162" t="str">
        <x:v>Allocation required</x:v>
      </x:c>
      <x:c r="J10" s="162" t="str">
        <x:v>Local archive verified; v0.2.2 scaling corrected</x:v>
      </x:c>
      <x:c r="K10" s="825" t="str">
        <x:v>Statistics Canada CSV 36100489; UOM thousands of dollars; receipt 532291d5e105cf943db14303dc071544d3abbdb79a3b053dbf8606e2aaecd8e4</x:v>
      </x:c>
    </x:row>
    <x:row r="11">
      <x:c r="A11" s="824" t="str">
        <x:v>Copper, nickel, lead and zinc ore mining</x:v>
      </x:c>
      <x:c r="B11" s="171" t="str">
        <x:v>21223 / BS212230</x:v>
      </x:c>
      <x:c r="C11" s="237" t="n">
        <x:v>2.194999</x:v>
      </x:c>
      <x:c r="D11" s="237" t="n">
        <x:v>2.282581</x:v>
      </x:c>
      <x:c r="E11" s="239" t="n">
        <x:f>D11-C11</x:f>
        <x:v>0.08758199999999983</x:v>
      </x:c>
      <x:c r="F11" s="836" t="n">
        <x:f>IF(C11=0,"",E11/C11)</x:f>
        <x:v>0.039900701549294475</x:v>
      </x:c>
      <x:c r="G11" s="162" t="str">
        <x:v>Multi-metal industry benchmark; useful only as part of the other-metallic control.</x:v>
      </x:c>
      <x:c r="H11" s="784" t="str">
        <x:v>Official 2024 benchmark</x:v>
      </x:c>
      <x:c r="I11" s="162" t="str">
        <x:v>Control category only</x:v>
      </x:c>
      <x:c r="J11" s="162" t="str">
        <x:v>Local archive verified; v0.2.2 scaling corrected</x:v>
      </x:c>
      <x:c r="K11" s="825" t="str">
        <x:v>Statistics Canada CSV 36100489; UOM thousands of dollars; receipt 532291d5e105cf943db14303dc071544d3abbdb79a3b053dbf8606e2aaecd8e4</x:v>
      </x:c>
    </x:row>
    <x:row r="12">
      <x:c r="A12" s="824" t="str">
        <x:v>Other metal ore mining</x:v>
      </x:c>
      <x:c r="B12" s="171" t="str">
        <x:v>21229 / BS212290</x:v>
      </x:c>
      <x:c r="C12" s="237" t="n">
        <x:v>1.304051</x:v>
      </x:c>
      <x:c r="D12" s="237" t="n">
        <x:v>0.75252</x:v>
      </x:c>
      <x:c r="E12" s="239" t="n">
        <x:f>D12-C12</x:f>
        <x:v>-0.5515310000000001</x:v>
      </x:c>
      <x:c r="F12" s="836" t="n">
        <x:f>IF(C12=0,"",E12/C12)</x:f>
        <x:v>-0.42293667962372644</x:v>
      </x:c>
      <x:c r="G12" s="162" t="str">
        <x:v>Large concept/boundary difference requires review before use; uranium is not isolated.</x:v>
      </x:c>
      <x:c r="H12" s="784" t="str">
        <x:v>Official 2024 benchmark</x:v>
      </x:c>
      <x:c r="I12" s="162" t="str">
        <x:v>Control category only</x:v>
      </x:c>
      <x:c r="J12" s="162" t="str">
        <x:v>Local archive verified; v0.2.2 scaling corrected</x:v>
      </x:c>
      <x:c r="K12" s="825" t="str">
        <x:v>Statistics Canada CSV 36100489; UOM thousands of dollars; receipt 532291d5e105cf943db14303dc071544d3abbdb79a3b053dbf8606e2aaecd8e4</x:v>
      </x:c>
    </x:row>
    <x:row r="13">
      <x:c r="A13" s="824" t="str">
        <x:v>Diamond mining</x:v>
      </x:c>
      <x:c r="B13" s="171" t="str">
        <x:v>212392 / BS212392</x:v>
      </x:c>
      <x:c r="C13" s="237" t="n">
        <x:v>0.389168</x:v>
      </x:c>
      <x:c r="D13" s="237" t="n">
        <x:v>0.495189</x:v>
      </x:c>
      <x:c r="E13" s="239" t="n">
        <x:f>D13-C13</x:f>
        <x:v>0.10602099999999998</x:v>
      </x:c>
      <x:c r="F13" s="836" t="n">
        <x:f>IF(C13=0,"",E13/C13)</x:f>
        <x:v>0.2724299017390946</x:v>
      </x:c>
      <x:c r="G13" s="162" t="str">
        <x:v>Diagnostic industry row; must remain within the non-metallic-mineral control.</x:v>
      </x:c>
      <x:c r="H13" s="784" t="str">
        <x:v>Official 2024 benchmark</x:v>
      </x:c>
      <x:c r="I13" s="162" t="str">
        <x:v>Diagnostic only</x:v>
      </x:c>
      <x:c r="J13" s="162" t="str">
        <x:v>Local archive verified; v0.2.2 scaling corrected</x:v>
      </x:c>
      <x:c r="K13" s="825" t="str">
        <x:v>Statistics Canada CSV 36100489; UOM thousands of dollars; receipt 532291d5e105cf943db14303dc071544d3abbdb79a3b053dbf8606e2aaecd8e4</x:v>
      </x:c>
    </x:row>
    <x:row r="14">
      <x:c r="A14" s="824" t="str">
        <x:v>Potash mining</x:v>
      </x:c>
      <x:c r="B14" s="171" t="str">
        <x:v>212396 / BS212396</x:v>
      </x:c>
      <x:c r="C14" s="237" t="n">
        <x:v>1.426298</x:v>
      </x:c>
      <x:c r="D14" s="237" t="n">
        <x:v>1.189629</x:v>
      </x:c>
      <x:c r="E14" s="239" t="n">
        <x:f>D14-C14</x:f>
        <x:v>-0.23666900000000002</x:v>
      </x:c>
      <x:c r="F14" s="836" t="n">
        <x:f>IF(C14=0,"",E14/C14)</x:f>
        <x:v>-0.16593236476528747</x:v>
      </x:c>
      <x:c r="G14" s="162" t="str">
        <x:v>Industry labour control; economic rent still requires matching capital and depreciation.</x:v>
      </x:c>
      <x:c r="H14" s="785" t="str">
        <x:v>Official 2024 benchmark</x:v>
      </x:c>
      <x:c r="I14" s="162" t="str">
        <x:v>Industry control only</x:v>
      </x:c>
      <x:c r="J14" s="162" t="str">
        <x:v>Local archive verified; v0.2.2 scaling corrected</x:v>
      </x:c>
      <x:c r="K14" s="825" t="str">
        <x:v>Statistics Canada CSV 36100489; UOM thousands of dollars; receipt 532291d5e105cf943db14303dc071544d3abbdb79a3b053dbf8606e2aaecd8e4</x:v>
      </x:c>
    </x:row>
    <x:row r="15">
      <x:c r="A15" s="824"/>
      <x:c r="B15" s="162"/>
      <x:c r="C15" s="162"/>
      <x:c r="D15" s="162"/>
      <x:c r="E15" s="162"/>
      <x:c r="F15" s="162"/>
      <x:c r="G15" s="162"/>
      <x:c r="H15" s="162"/>
      <x:c r="I15" s="162"/>
      <x:c r="J15" s="162"/>
      <x:c r="K15" s="825"/>
    </x:row>
    <x:row r="16">
      <x:c r="A16" s="845" t="str">
        <x:v>Control</x:v>
      </x:c>
      <x:c r="B16" s="846"/>
      <x:c r="C16" s="846"/>
      <x:c r="D16" s="846"/>
      <x:c r="E16" s="846"/>
      <x:c r="F16" s="846"/>
      <x:c r="G16" s="846" t="str">
        <x:v>Table 36-10-0215-01 is historical and ends in 2015; zero 2024 rows are expected.</x:v>
      </x:c>
      <x:c r="H16" s="846" t="str">
        <x:v>Source rejected for 2024</x:v>
      </x:c>
      <x:c r="I16" s="846" t="str">
        <x:v>Do not retry this table</x:v>
      </x:c>
      <x:c r="J16" s="846" t="str">
        <x:v>Locked</x:v>
      </x:c>
      <x:c r="K16" s="847" t="str">
        <x:v>https://www150.statcan.gc.ca/t1/tbl1/en/tv.action?pid=3610021501</x:v>
      </x:c>
    </x:row>
    <x:row r="17">
      <x:c r="A17" s="839" t="str">
        <x:v>Control</x:v>
      </x:c>
      <x:c r="B17" s="840"/>
      <x:c r="C17" s="840"/>
      <x:c r="D17" s="840"/>
      <x:c r="E17" s="840"/>
      <x:c r="F17" s="840"/>
      <x:c r="G17" s="840" t="str">
        <x:v>The newly released replacement table 36-10-0713-01 was listed by Statistics Canada, but its viewer reported data unavailable during this pass.</x:v>
      </x:c>
      <x:c r="H17" s="840" t="str">
        <x:v>Current replacement unavailable</x:v>
      </x:c>
      <x:c r="I17" s="840" t="str">
        <x:v>Use archived official 2024 benchmark until replacement data are accessible</x:v>
      </x:c>
      <x:c r="J17" s="840" t="str">
        <x:v>Open</x:v>
      </x:c>
      <x:c r="K17" s="841" t="str">
        <x:v>https://www150.statcan.gc.ca/t1/tbl1/en/tv.action?pid=3610071301</x:v>
      </x:c>
    </x:row>
    <x:row r="18">
      <x:c r="A18" s="842" t="str">
        <x:v>Publication rule</x:v>
      </x:c>
      <x:c r="B18" s="843"/>
      <x:c r="C18" s="843"/>
      <x:c r="D18" s="843"/>
      <x:c r="E18" s="843"/>
      <x:c r="F18" s="843"/>
      <x:c r="G18" s="843" t="str">
        <x:v>A benchmark difference is not an adjustment. Use the IO employee-compensation value in the industry production identity unless a documented boundary bridge justifies replacement.</x:v>
      </x:c>
      <x:c r="H18" s="843" t="str">
        <x:v>Locked</x:v>
      </x:c>
      <x:c r="I18" s="843" t="str">
        <x:v>No commodity rent publication</x:v>
      </x:c>
      <x:c r="J18" s="843" t="str">
        <x:v>Locked</x:v>
      </x:c>
      <x:c r="K18" s="844" t="str">
        <x:v>https://www150.statcan.gc.ca/n1/en/catalogue/3610000101</x:v>
      </x:c>
    </x:row>
  </x:sheetData>
  <x:mergeCells>
    <x:mergeCell ref="A1:K1"/>
    <x:mergeCell ref="A2:K2"/>
  </x:mergeCells>
  <x:pageMargins left="0.7" right="0.7" top="0.75" bottom="0.75" header="0.3" footer="0.3"/>
</x:worksheet>
</file>

<file path=xl/worksheets/sheet38.xml><?xml version="1.0" encoding="utf-8"?>
<x:worksheet xmlns:x="http://schemas.openxmlformats.org/spreadsheetml/2006/main">
  <x:sheetFormatPr defaultRowHeight="15"/>
  <x:cols>
    <x:col min="1" max="1" width="35" hidden="0" customWidth="1"/>
    <x:col min="2" max="2" width="15" hidden="0" customWidth="1"/>
    <x:col min="3" max="3" width="15" hidden="0" customWidth="1"/>
    <x:col min="4" max="4" width="18" hidden="0" customWidth="1"/>
    <x:col min="5" max="5" width="22" hidden="0" customWidth="1"/>
    <x:col min="6" max="6" width="16" hidden="0" customWidth="1"/>
    <x:col min="7" max="7" width="14" hidden="0" customWidth="1"/>
    <x:col min="8" max="8" width="22" hidden="0" customWidth="1"/>
    <x:col min="9" max="9" width="22" hidden="0" customWidth="1"/>
    <x:col min="10" max="10" width="17" hidden="0" customWidth="1"/>
    <x:col min="11" max="11" width="15" hidden="0" customWidth="1"/>
    <x:col min="12" max="12" width="31" hidden="0" customWidth="1"/>
    <x:col min="13" max="13" width="45" hidden="0" customWidth="1"/>
  </x:cols>
  <x:sheetData>
    <x:row r="1" ht="28" customHeight="1">
      <x:c r="A1" s="900" t="str">
        <x:v>Rent Evidence Extractor v0.2.2 — Labour Scaling Audit</x:v>
      </x:c>
      <x:c r="B1" s="900"/>
      <x:c r="C1" s="900"/>
      <x:c r="D1" s="900"/>
      <x:c r="E1" s="900"/>
      <x:c r="F1" s="900"/>
      <x:c r="G1" s="900"/>
      <x:c r="H1" s="900"/>
      <x:c r="I1" s="900"/>
      <x:c r="J1" s="900"/>
      <x:c r="K1" s="900"/>
      <x:c r="L1" s="900"/>
      <x:c r="M1" s="900"/>
    </x:row>
    <x:row r="2" ht="42" customHeight="1">
      <x:c r="A2" s="903" t="str">
        <x:v>The source rows use UOM 'Thousands of dollars' and scalar factor 'units'. The v0.2.2 manifest applied only the scalar field and understated every benchmark by 1,000.</x:v>
      </x:c>
      <x:c r="B2" s="903"/>
      <x:c r="C2" s="903"/>
      <x:c r="D2" s="903"/>
      <x:c r="E2" s="903"/>
      <x:c r="F2" s="903"/>
      <x:c r="G2" s="903"/>
      <x:c r="H2" s="903"/>
      <x:c r="I2" s="903"/>
      <x:c r="J2" s="903"/>
      <x:c r="K2" s="903"/>
      <x:c r="L2" s="903"/>
      <x:c r="M2" s="903"/>
    </x:row>
    <x:row r="4" ht="40" customHeight="1">
      <x:c r="A4" s="915" t="str">
        <x:v>Industry</x:v>
      </x:c>
      <x:c r="B4" s="916" t="str">
        <x:v>Vector</x:v>
      </x:c>
      <x:c r="C4" s="916" t="str">
        <x:v>Workbook row</x:v>
      </x:c>
      <x:c r="D4" s="916" t="str">
        <x:v>Raw VALUE</x:v>
      </x:c>
      <x:c r="E4" s="916" t="str">
        <x:v>UOM</x:v>
      </x:c>
      <x:c r="F4" s="916" t="str">
        <x:v>SCALAR_FACTOR</x:v>
      </x:c>
      <x:c r="G4" s="916" t="str">
        <x:v>SCALAR_ID</x:v>
      </x:c>
      <x:c r="H4" s="916" t="str">
        <x:v>v0.2.2 manifest value ($B)</x:v>
      </x:c>
      <x:c r="I4" s="916" t="str">
        <x:v>Corrected value ($B)</x:v>
      </x:c>
      <x:c r="J4" s="916" t="str">
        <x:v>Correction factor</x:v>
      </x:c>
      <x:c r="K4" s="916" t="str">
        <x:v>Target cell</x:v>
      </x:c>
      <x:c r="L4" s="916" t="str">
        <x:v>Import ruling</x:v>
      </x:c>
      <x:c r="M4" s="917" t="str">
        <x:v>Receipt core SHA-256</x:v>
      </x:c>
    </x:row>
    <x:row r="5">
      <x:c r="A5" s="934" t="str">
        <x:v>Forestry and logging [113]</x:v>
      </x:c>
      <x:c r="B5" s="935" t="str">
        <x:v>v65524415</x:v>
      </x:c>
      <x:c r="C5" s="935" t="n">
        <x:v>5</x:v>
      </x:c>
      <x:c r="D5" s="944" t="n">
        <x:v>3232933</x:v>
      </x:c>
      <x:c r="E5" s="945" t="str">
        <x:v>Thousands of dollars</x:v>
      </x:c>
      <x:c r="F5" s="945" t="str">
        <x:v>units</x:v>
      </x:c>
      <x:c r="G5" s="945" t="n">
        <x:v>0</x:v>
      </x:c>
      <x:c r="H5" s="946" t="n">
        <x:v>0.003232933</x:v>
      </x:c>
      <x:c r="I5" s="946" t="n">
        <x:v>3.232933</x:v>
      </x:c>
      <x:c r="J5" s="935" t="n">
        <x:v>1000</x:v>
      </x:c>
      <x:c r="K5" s="935" t="str">
        <x:v>D5</x:v>
      </x:c>
      <x:c r="L5" s="951" t="str">
        <x:v>REJECTED — corrected before import</x:v>
      </x:c>
      <x:c r="M5" s="936" t="str">
        <x:v>532291d5e105cf943db14303dc071544d3abbdb79a3b053dbf8606e2aaecd8e4</x:v>
      </x:c>
    </x:row>
    <x:row r="6">
      <x:c r="A6" s="937" t="str">
        <x:v>Conventional oil and gas extraction [211113]</x:v>
      </x:c>
      <x:c r="B6" s="162" t="str">
        <x:v>v65524422</x:v>
      </x:c>
      <x:c r="C6" s="162" t="n">
        <x:v>6</x:v>
      </x:c>
      <x:c r="D6" s="486" t="n">
        <x:v>7408909</x:v>
      </x:c>
      <x:c r="E6" s="171" t="str">
        <x:v>Thousands of dollars</x:v>
      </x:c>
      <x:c r="F6" s="171" t="str">
        <x:v>units</x:v>
      </x:c>
      <x:c r="G6" s="171" t="n">
        <x:v>0</x:v>
      </x:c>
      <x:c r="H6" s="237" t="n">
        <x:v>0.007408909</x:v>
      </x:c>
      <x:c r="I6" s="237" t="n">
        <x:v>7.408909</x:v>
      </x:c>
      <x:c r="J6" s="162" t="n">
        <x:v>1000</x:v>
      </x:c>
      <x:c r="K6" s="162" t="str">
        <x:v>D6</x:v>
      </x:c>
      <x:c r="L6" s="952" t="str">
        <x:v>REJECTED — corrected before import</x:v>
      </x:c>
      <x:c r="M6" s="938" t="str">
        <x:v>532291d5e105cf943db14303dc071544d3abbdb79a3b053dbf8606e2aaecd8e4</x:v>
      </x:c>
    </x:row>
    <x:row r="7">
      <x:c r="A7" s="937" t="str">
        <x:v>Non-conventional oil extraction [211114]</x:v>
      </x:c>
      <x:c r="B7" s="162" t="str">
        <x:v>v65524423</x:v>
      </x:c>
      <x:c r="C7" s="162" t="n">
        <x:v>7</x:v>
      </x:c>
      <x:c r="D7" s="486" t="n">
        <x:v>9247617</x:v>
      </x:c>
      <x:c r="E7" s="171" t="str">
        <x:v>Thousands of dollars</x:v>
      </x:c>
      <x:c r="F7" s="171" t="str">
        <x:v>units</x:v>
      </x:c>
      <x:c r="G7" s="171" t="n">
        <x:v>0</x:v>
      </x:c>
      <x:c r="H7" s="237" t="n">
        <x:v>0.009247617</x:v>
      </x:c>
      <x:c r="I7" s="237" t="n">
        <x:v>9.247617</x:v>
      </x:c>
      <x:c r="J7" s="162" t="n">
        <x:v>1000</x:v>
      </x:c>
      <x:c r="K7" s="162" t="str">
        <x:v>D7</x:v>
      </x:c>
      <x:c r="L7" s="952" t="str">
        <x:v>REJECTED — corrected before import</x:v>
      </x:c>
      <x:c r="M7" s="938" t="str">
        <x:v>532291d5e105cf943db14303dc071544d3abbdb79a3b053dbf8606e2aaecd8e4</x:v>
      </x:c>
    </x:row>
    <x:row r="8">
      <x:c r="A8" s="937" t="str">
        <x:v>Coal mining [2121]</x:v>
      </x:c>
      <x:c r="B8" s="162" t="str">
        <x:v>v65524425</x:v>
      </x:c>
      <x:c r="C8" s="162" t="n">
        <x:v>8</x:v>
      </x:c>
      <x:c r="D8" s="486" t="n">
        <x:v>1511138</x:v>
      </x:c>
      <x:c r="E8" s="171" t="str">
        <x:v>Thousands of dollars</x:v>
      </x:c>
      <x:c r="F8" s="171" t="str">
        <x:v>units</x:v>
      </x:c>
      <x:c r="G8" s="171" t="n">
        <x:v>0</x:v>
      </x:c>
      <x:c r="H8" s="237" t="n">
        <x:v>0.001511138</x:v>
      </x:c>
      <x:c r="I8" s="237" t="n">
        <x:v>1.511138</x:v>
      </x:c>
      <x:c r="J8" s="162" t="n">
        <x:v>1000</x:v>
      </x:c>
      <x:c r="K8" s="162" t="str">
        <x:v>D8</x:v>
      </x:c>
      <x:c r="L8" s="952" t="str">
        <x:v>REJECTED — corrected before import</x:v>
      </x:c>
      <x:c r="M8" s="938" t="str">
        <x:v>532291d5e105cf943db14303dc071544d3abbdb79a3b053dbf8606e2aaecd8e4</x:v>
      </x:c>
    </x:row>
    <x:row r="9">
      <x:c r="A9" s="937" t="str">
        <x:v>Iron ore mining [21221]</x:v>
      </x:c>
      <x:c r="B9" s="162" t="str">
        <x:v>v65524427</x:v>
      </x:c>
      <x:c r="C9" s="162" t="n">
        <x:v>9</x:v>
      </x:c>
      <x:c r="D9" s="486" t="n">
        <x:v>1345335</x:v>
      </x:c>
      <x:c r="E9" s="171" t="str">
        <x:v>Thousands of dollars</x:v>
      </x:c>
      <x:c r="F9" s="171" t="str">
        <x:v>units</x:v>
      </x:c>
      <x:c r="G9" s="171" t="n">
        <x:v>0</x:v>
      </x:c>
      <x:c r="H9" s="237" t="n">
        <x:v>0.001345335</x:v>
      </x:c>
      <x:c r="I9" s="237" t="n">
        <x:v>1.345335</x:v>
      </x:c>
      <x:c r="J9" s="162" t="n">
        <x:v>1000</x:v>
      </x:c>
      <x:c r="K9" s="162" t="str">
        <x:v>D9</x:v>
      </x:c>
      <x:c r="L9" s="952" t="str">
        <x:v>REJECTED — corrected before import</x:v>
      </x:c>
      <x:c r="M9" s="938" t="str">
        <x:v>532291d5e105cf943db14303dc071544d3abbdb79a3b053dbf8606e2aaecd8e4</x:v>
      </x:c>
    </x:row>
    <x:row r="10">
      <x:c r="A10" s="937" t="str">
        <x:v>Gold and silver ore mining [21222]</x:v>
      </x:c>
      <x:c r="B10" s="162" t="str">
        <x:v>v65524428</x:v>
      </x:c>
      <x:c r="C10" s="162" t="n">
        <x:v>10</x:v>
      </x:c>
      <x:c r="D10" s="486" t="n">
        <x:v>3720665</x:v>
      </x:c>
      <x:c r="E10" s="171" t="str">
        <x:v>Thousands of dollars</x:v>
      </x:c>
      <x:c r="F10" s="171" t="str">
        <x:v>units</x:v>
      </x:c>
      <x:c r="G10" s="171" t="n">
        <x:v>0</x:v>
      </x:c>
      <x:c r="H10" s="237" t="n">
        <x:v>0.003720665</x:v>
      </x:c>
      <x:c r="I10" s="237" t="n">
        <x:v>3.720665</x:v>
      </x:c>
      <x:c r="J10" s="162" t="n">
        <x:v>1000</x:v>
      </x:c>
      <x:c r="K10" s="162" t="str">
        <x:v>D10</x:v>
      </x:c>
      <x:c r="L10" s="952" t="str">
        <x:v>REJECTED — corrected before import</x:v>
      </x:c>
      <x:c r="M10" s="938" t="str">
        <x:v>532291d5e105cf943db14303dc071544d3abbdb79a3b053dbf8606e2aaecd8e4</x:v>
      </x:c>
    </x:row>
    <x:row r="11">
      <x:c r="A11" s="937" t="str">
        <x:v>Copper, nickel, lead and zinc ore mining [21223]</x:v>
      </x:c>
      <x:c r="B11" s="162" t="str">
        <x:v>v65524429</x:v>
      </x:c>
      <x:c r="C11" s="162" t="n">
        <x:v>11</x:v>
      </x:c>
      <x:c r="D11" s="486" t="n">
        <x:v>2282581</x:v>
      </x:c>
      <x:c r="E11" s="171" t="str">
        <x:v>Thousands of dollars</x:v>
      </x:c>
      <x:c r="F11" s="171" t="str">
        <x:v>units</x:v>
      </x:c>
      <x:c r="G11" s="171" t="n">
        <x:v>0</x:v>
      </x:c>
      <x:c r="H11" s="237" t="n">
        <x:v>0.002282581</x:v>
      </x:c>
      <x:c r="I11" s="237" t="n">
        <x:v>2.282581</x:v>
      </x:c>
      <x:c r="J11" s="162" t="n">
        <x:v>1000</x:v>
      </x:c>
      <x:c r="K11" s="162" t="str">
        <x:v>D11</x:v>
      </x:c>
      <x:c r="L11" s="952" t="str">
        <x:v>REJECTED — corrected before import</x:v>
      </x:c>
      <x:c r="M11" s="938" t="str">
        <x:v>532291d5e105cf943db14303dc071544d3abbdb79a3b053dbf8606e2aaecd8e4</x:v>
      </x:c>
    </x:row>
    <x:row r="12">
      <x:c r="A12" s="937" t="str">
        <x:v>Other metal ore mining [21229]</x:v>
      </x:c>
      <x:c r="B12" s="162" t="str">
        <x:v>v65524430</x:v>
      </x:c>
      <x:c r="C12" s="162" t="n">
        <x:v>12</x:v>
      </x:c>
      <x:c r="D12" s="486" t="n">
        <x:v>752520</x:v>
      </x:c>
      <x:c r="E12" s="171" t="str">
        <x:v>Thousands of dollars</x:v>
      </x:c>
      <x:c r="F12" s="171" t="str">
        <x:v>units</x:v>
      </x:c>
      <x:c r="G12" s="171" t="n">
        <x:v>0</x:v>
      </x:c>
      <x:c r="H12" s="237" t="n">
        <x:v>0.00075252</x:v>
      </x:c>
      <x:c r="I12" s="237" t="n">
        <x:v>0.75252</x:v>
      </x:c>
      <x:c r="J12" s="162" t="n">
        <x:v>1000</x:v>
      </x:c>
      <x:c r="K12" s="162" t="str">
        <x:v>D12</x:v>
      </x:c>
      <x:c r="L12" s="952" t="str">
        <x:v>REJECTED — corrected before import</x:v>
      </x:c>
      <x:c r="M12" s="938" t="str">
        <x:v>532291d5e105cf943db14303dc071544d3abbdb79a3b053dbf8606e2aaecd8e4</x:v>
      </x:c>
    </x:row>
    <x:row r="13">
      <x:c r="A13" s="937" t="str">
        <x:v>Diamond mining [212392]</x:v>
      </x:c>
      <x:c r="B13" s="162" t="str">
        <x:v>v65524434</x:v>
      </x:c>
      <x:c r="C13" s="162" t="n">
        <x:v>13</x:v>
      </x:c>
      <x:c r="D13" s="486" t="n">
        <x:v>495189</x:v>
      </x:c>
      <x:c r="E13" s="171" t="str">
        <x:v>Thousands of dollars</x:v>
      </x:c>
      <x:c r="F13" s="171" t="str">
        <x:v>units</x:v>
      </x:c>
      <x:c r="G13" s="171" t="n">
        <x:v>0</x:v>
      </x:c>
      <x:c r="H13" s="237" t="n">
        <x:v>0.000495189</x:v>
      </x:c>
      <x:c r="I13" s="237" t="n">
        <x:v>0.495189</x:v>
      </x:c>
      <x:c r="J13" s="162" t="n">
        <x:v>1000</x:v>
      </x:c>
      <x:c r="K13" s="162" t="str">
        <x:v>D13</x:v>
      </x:c>
      <x:c r="L13" s="952" t="str">
        <x:v>REJECTED — corrected before import</x:v>
      </x:c>
      <x:c r="M13" s="938" t="str">
        <x:v>532291d5e105cf943db14303dc071544d3abbdb79a3b053dbf8606e2aaecd8e4</x:v>
      </x:c>
    </x:row>
    <x:row r="14">
      <x:c r="A14" s="937" t="str">
        <x:v>Potash mining [212396]</x:v>
      </x:c>
      <x:c r="B14" s="162" t="str">
        <x:v>v65524435</x:v>
      </x:c>
      <x:c r="C14" s="162" t="n">
        <x:v>14</x:v>
      </x:c>
      <x:c r="D14" s="486" t="n">
        <x:v>1189629</x:v>
      </x:c>
      <x:c r="E14" s="171" t="str">
        <x:v>Thousands of dollars</x:v>
      </x:c>
      <x:c r="F14" s="171" t="str">
        <x:v>units</x:v>
      </x:c>
      <x:c r="G14" s="171" t="n">
        <x:v>0</x:v>
      </x:c>
      <x:c r="H14" s="237" t="n">
        <x:v>0.001189629</x:v>
      </x:c>
      <x:c r="I14" s="237" t="n">
        <x:v>1.189629</x:v>
      </x:c>
      <x:c r="J14" s="162" t="n">
        <x:v>1000</x:v>
      </x:c>
      <x:c r="K14" s="162" t="str">
        <x:v>D14</x:v>
      </x:c>
      <x:c r="L14" s="953" t="str">
        <x:v>REJECTED — corrected before import</x:v>
      </x:c>
      <x:c r="M14" s="938" t="str">
        <x:v>532291d5e105cf943db14303dc071544d3abbdb79a3b053dbf8606e2aaecd8e4</x:v>
      </x:c>
    </x:row>
    <x:row r="15">
      <x:c r="A15" s="937"/>
      <x:c r="B15" s="162"/>
      <x:c r="C15" s="162"/>
      <x:c r="D15" s="162"/>
      <x:c r="E15" s="162"/>
      <x:c r="F15" s="162"/>
      <x:c r="G15" s="162"/>
      <x:c r="H15" s="162"/>
      <x:c r="I15" s="162"/>
      <x:c r="J15" s="162"/>
      <x:c r="K15" s="162"/>
      <x:c r="L15" s="162"/>
      <x:c r="M15" s="938"/>
    </x:row>
    <x:row r="16">
      <x:c r="A16" s="934" t="str">
        <x:v>Control</x:v>
      </x:c>
      <x:c r="B16" s="935"/>
      <x:c r="C16" s="935"/>
      <x:c r="D16" s="935"/>
      <x:c r="E16" s="935"/>
      <x:c r="F16" s="935"/>
      <x:c r="G16" s="935"/>
      <x:c r="H16" s="935"/>
      <x:c r="I16" s="935"/>
      <x:c r="J16" s="935"/>
      <x:c r="K16" s="935"/>
      <x:c r="L16" s="935" t="str">
        <x:v>170 manifest writes accepted</x:v>
      </x:c>
      <x:c r="M16" s="936" t="str">
        <x:v>Component, output and labour provenance/status writes</x:v>
      </x:c>
    </x:row>
    <x:row r="17">
      <x:c r="A17" s="937" t="str">
        <x:v>Control</x:v>
      </x:c>
      <x:c r="B17" s="162"/>
      <x:c r="C17" s="162"/>
      <x:c r="D17" s="162"/>
      <x:c r="E17" s="162"/>
      <x:c r="F17" s="162"/>
      <x:c r="G17" s="162"/>
      <x:c r="H17" s="162"/>
      <x:c r="I17" s="162"/>
      <x:c r="J17" s="162"/>
      <x:c r="K17" s="162"/>
      <x:c r="L17" s="162" t="str">
        <x:v>10 manifest values rejected</x:v>
      </x:c>
      <x:c r="M17" s="938" t="str">
        <x:v>All ten labour D-cell writes were corrected from raw source units</x:v>
      </x:c>
    </x:row>
    <x:row r="18">
      <x:c r="A18" s="937" t="str">
        <x:v>Control</x:v>
      </x:c>
      <x:c r="B18" s="162"/>
      <x:c r="C18" s="162"/>
      <x:c r="D18" s="162"/>
      <x:c r="E18" s="162"/>
      <x:c r="F18" s="162"/>
      <x:c r="G18" s="162"/>
      <x:c r="H18" s="162"/>
      <x:c r="I18" s="162"/>
      <x:c r="J18" s="162"/>
      <x:c r="K18" s="162"/>
      <x:c r="L18" s="162" t="str">
        <x:v>v0.2.3 patch required</x:v>
      </x:c>
      <x:c r="M18" s="938" t="str">
        <x:v>Future runs must apply monetary UOM and scalar metadata together</x:v>
      </x:c>
    </x:row>
    <x:row r="19">
      <x:c r="A19" s="939" t="str">
        <x:v>Publication rule</x:v>
      </x:c>
      <x:c r="B19" s="940"/>
      <x:c r="C19" s="940"/>
      <x:c r="D19" s="940"/>
      <x:c r="E19" s="940"/>
      <x:c r="F19" s="940"/>
      <x:c r="G19" s="940"/>
      <x:c r="H19" s="940"/>
      <x:c r="I19" s="940"/>
      <x:c r="J19" s="940"/>
      <x:c r="K19" s="940"/>
      <x:c r="L19" s="940" t="str">
        <x:v>No rent authorization</x:v>
      </x:c>
      <x:c r="M19" s="941" t="str">
        <x:v>Correct labour values do not resolve commodity capital or normal return</x:v>
      </x:c>
    </x:row>
  </x:sheetData>
  <x:mergeCells>
    <x:mergeCell ref="A1:M1"/>
    <x:mergeCell ref="A2:M2"/>
  </x:mergeCells>
  <x:pageMargins left="0.7" right="0.7" top="0.75" bottom="0.75" header="0.3" footer="0.3"/>
</x:worksheet>
</file>

<file path=xl/worksheets/sheet39.xml><?xml version="1.0" encoding="utf-8"?>
<x:worksheet xmlns:x="http://schemas.openxmlformats.org/spreadsheetml/2006/main">
  <x:sheetFormatPr defaultRowHeight="15"/>
  <x:cols>
    <x:col min="1" max="1" width="34" hidden="0" customWidth="1"/>
    <x:col min="2" max="2" width="22" hidden="0" customWidth="1"/>
    <x:col min="3" max="3" width="20" hidden="0" customWidth="1"/>
    <x:col min="4" max="4" width="20" hidden="0" customWidth="1"/>
    <x:col min="5" max="5" width="27" hidden="0" customWidth="1"/>
    <x:col min="6" max="6" width="23" hidden="0" customWidth="1"/>
    <x:col min="7" max="7" width="23" hidden="0" customWidth="1"/>
    <x:col min="8" max="8" width="40" hidden="0" customWidth="1"/>
    <x:col min="9" max="9" width="20" hidden="0" customWidth="1"/>
    <x:col min="10" max="10" width="22" hidden="0" customWidth="1"/>
    <x:col min="11" max="11" width="22" hidden="0" customWidth="1"/>
    <x:col min="12" max="12" width="22" hidden="0" customWidth="1"/>
    <x:col min="13" max="13" width="35" hidden="0" customWidth="1"/>
    <x:col min="14" max="14" width="43" hidden="0" customWidth="1"/>
  </x:cols>
  <x:sheetData>
    <x:row r="1" ht="28" customHeight="1">
      <x:c r="A1" s="900" t="str">
        <x:v>2024 Produced-Capital Boundary Map</x:v>
      </x:c>
      <x:c r="B1" s="900"/>
      <x:c r="C1" s="900"/>
      <x:c r="D1" s="900"/>
      <x:c r="E1" s="900"/>
      <x:c r="F1" s="900"/>
      <x:c r="G1" s="900"/>
      <x:c r="H1" s="900"/>
      <x:c r="I1" s="900"/>
      <x:c r="J1" s="900"/>
      <x:c r="K1" s="900"/>
      <x:c r="L1" s="900"/>
      <x:c r="M1" s="900"/>
      <x:c r="N1" s="900"/>
    </x:row>
    <x:row r="2" ht="42" customHeight="1">
      <x:c r="A2" s="903" t="str">
        <x:v>Official current-price geometric capital controls are available only for forestry, conventional oil and gas, the aggregate mining/oil sector and support activities. The residual aggregate is derived and cannot be allocated to commodities without a locked method.</x:v>
      </x:c>
      <x:c r="B2" s="903"/>
      <x:c r="C2" s="903"/>
      <x:c r="D2" s="903"/>
      <x:c r="E2" s="903"/>
      <x:c r="F2" s="903"/>
      <x:c r="G2" s="903"/>
      <x:c r="H2" s="903"/>
      <x:c r="I2" s="903"/>
      <x:c r="J2" s="903"/>
      <x:c r="K2" s="903"/>
      <x:c r="L2" s="903"/>
      <x:c r="M2" s="903"/>
      <x:c r="N2" s="903"/>
    </x:row>
    <x:row r="4" ht="40" customHeight="1">
      <x:c r="A4" s="915" t="str">
        <x:v>Capital control</x:v>
      </x:c>
      <x:c r="B4" s="916" t="str">
        <x:v>Official or derived</x:v>
      </x:c>
      <x:c r="C4" s="916" t="str">
        <x:v>Geometric CFC ($B)</x:v>
      </x:c>
      <x:c r="D4" s="916" t="str">
        <x:v>Geometric net stock ($B)</x:v>
      </x:c>
      <x:c r="E4" s="916" t="str">
        <x:v>Covered commodities / industries</x:v>
      </x:c>
      <x:c r="F4" s="916" t="str">
        <x:v>Directly usable?</x:v>
      </x:c>
      <x:c r="G4" s="916" t="str">
        <x:v>Allocation status</x:v>
      </x:c>
      <x:c r="H4" s="916" t="str">
        <x:v>Boundary ruling</x:v>
      </x:c>
      <x:c r="I4" s="916" t="str">
        <x:v>Normal-return rate</x:v>
      </x:c>
      <x:c r="J4" s="916" t="str">
        <x:v>Normal return ($B)</x:v>
      </x:c>
      <x:c r="K4" s="916" t="str">
        <x:v>Net operating surplus ($B)</x:v>
      </x:c>
      <x:c r="L4" s="916" t="str">
        <x:v>Provisional control rent ($B)</x:v>
      </x:c>
      <x:c r="M4" s="916" t="str">
        <x:v>Next decisive evidence</x:v>
      </x:c>
      <x:c r="N4" s="917" t="str">
        <x:v>Official source</x:v>
      </x:c>
    </x:row>
    <x:row r="5">
      <x:c r="A5" s="934" t="str">
        <x:v>Forestry and logging</x:v>
      </x:c>
      <x:c r="B5" s="945" t="str">
        <x:v>Official</x:v>
      </x:c>
      <x:c r="C5" s="946" t="n">
        <x:v>0.651</x:v>
      </x:c>
      <x:c r="D5" s="946" t="n">
        <x:v>3.92</x:v>
      </x:c>
      <x:c r="E5" s="935" t="str">
        <x:v>Forestry and logging industry</x:v>
      </x:c>
      <x:c r="F5" s="935" t="str">
        <x:v>No</x:v>
      </x:c>
      <x:c r="G5" s="935" t="str">
        <x:v>Boundary narrower rent required</x:v>
      </x:c>
      <x:c r="H5" s="935" t="str">
        <x:v>Industry capital includes logging assets; standing-timber rent has a narrower boundary.</x:v>
      </x:c>
      <x:c r="I5" s="1060" t="n">
        <x:f>Assumptions!$B$26</x:f>
        <x:v>0.009091666666666665</x:v>
      </x:c>
      <x:c r="J5" s="1059" t="n">
        <x:f>D5*I5</x:f>
        <x:v>0.03563933333333332</x:v>
      </x:c>
      <x:c r="K5" s="935" t="n">
        <x:v>1.223764</x:v>
      </x:c>
      <x:c r="L5" s="1081" t="n">
        <x:f>K5-J5</x:f>
        <x:v>1.1881246666666667</x:v>
      </x:c>
      <x:c r="M5" s="935" t="str">
        <x:v>Separate harvest/logging produced capital from standing timber and apply normal return.</x:v>
      </x:c>
      <x:c r="N5" s="936" t="str">
        <x:v>Statistics Canada 36-10-0096-01</x:v>
      </x:c>
    </x:row>
    <x:row r="6">
      <x:c r="A6" s="937" t="str">
        <x:v>Conventional oil and gas extraction</x:v>
      </x:c>
      <x:c r="B6" s="171" t="str">
        <x:v>Official</x:v>
      </x:c>
      <x:c r="C6" s="237" t="n">
        <x:v>34.663</x:v>
      </x:c>
      <x:c r="D6" s="237" t="n">
        <x:v>442.975</x:v>
      </x:c>
      <x:c r="E6" s="162" t="str">
        <x:v>Conventional crude oil plus natural gas</x:v>
      </x:c>
      <x:c r="F6" s="162" t="str">
        <x:v>No</x:v>
      </x:c>
      <x:c r="G6" s="162" t="str">
        <x:v>Commodity split required</x:v>
      </x:c>
      <x:c r="H6" s="162" t="str">
        <x:v>Official capital stock is combined and cannot be assigned separately to crude oil and natural gas.</x:v>
      </x:c>
      <x:c r="I6" s="1084" t="n">
        <x:f>Assumptions!$B$26</x:f>
        <x:v>0.009091666666666665</x:v>
      </x:c>
      <x:c r="J6" s="1085" t="n">
        <x:f>D6*I6</x:f>
        <x:v>4.027381041666666</x:v>
      </x:c>
      <x:c r="K6" s="162" t="n">
        <x:v>-1.014599</x:v>
      </x:c>
      <x:c r="L6" s="1082" t="n">
        <x:f>K6-J6</x:f>
        <x:v>-5.041980041666665</x:v>
      </x:c>
      <x:c r="M6" s="162" t="str">
        <x:v>Allocate produced capital between conventional crude and gas on a tested boundary.</x:v>
      </x:c>
      <x:c r="N6" s="938" t="str">
        <x:v>Statistics Canada 36-10-0096-01</x:v>
      </x:c>
    </x:row>
    <x:row r="7">
      <x:c r="A7" s="937" t="str">
        <x:v>Mining, quarrying and oil and gas extraction</x:v>
      </x:c>
      <x:c r="B7" s="171" t="str">
        <x:v>Official aggregate</x:v>
      </x:c>
      <x:c r="C7" s="237" t="n">
        <x:v>72.001</x:v>
      </x:c>
      <x:c r="D7" s="237" t="n">
        <x:v>767.841</x:v>
      </x:c>
      <x:c r="E7" s="162" t="str">
        <x:v>Conventional oil/gas, oil sands, coal, metals, potash, diamonds and other extraction</x:v>
      </x:c>
      <x:c r="F7" s="162" t="str">
        <x:v>No</x:v>
      </x:c>
      <x:c r="G7" s="162" t="str">
        <x:v>Aggregate control only</x:v>
      </x:c>
      <x:c r="H7" s="162" t="str">
        <x:v>The aggregate contains the conventional row and cannot be added to it.</x:v>
      </x:c>
      <x:c r="I7" s="1084" t="n">
        <x:f>Assumptions!$B$26</x:f>
        <x:v>0.009091666666666665</x:v>
      </x:c>
      <x:c r="J7" s="1085" t="n">
        <x:f>D7*I7</x:f>
        <x:v>6.980954424999998</x:v>
      </x:c>
      <x:c r="K7" s="162" t="n">
        <x:v>0</x:v>
      </x:c>
      <x:c r="L7" s="1083" t="n">
        <x:f>IF(OR(I7=0,K7=0),0,K7-J7)</x:f>
        <x:v>0</x:v>
      </x:c>
      <x:c r="M7" s="162" t="str">
        <x:v>Use as reconciliation control for Capital_Allocation_2024.</x:v>
      </x:c>
      <x:c r="N7" s="938" t="str">
        <x:v>Statistics Canada 36-10-0096-01</x:v>
      </x:c>
    </x:row>
    <x:row r="8">
      <x:c r="A8" s="937" t="str">
        <x:v>Aggregate less conventional oil/gas</x:v>
      </x:c>
      <x:c r="B8" s="171" t="str">
        <x:v>Derived residual</x:v>
      </x:c>
      <x:c r="C8" s="237" t="n">
        <x:v>37.338</x:v>
      </x:c>
      <x:c r="D8" s="237" t="n">
        <x:v>324.866</x:v>
      </x:c>
      <x:c r="E8" s="162" t="str">
        <x:v>Oil sands plus mining and quarrying residual</x:v>
      </x:c>
      <x:c r="F8" s="162" t="str">
        <x:v>No</x:v>
      </x:c>
      <x:c r="G8" s="162" t="str">
        <x:v>Provisional CAPEX-proxy allocation built</x:v>
      </x:c>
      <x:c r="H8" s="162" t="str">
        <x:v>Residual CFC and stock now reconcile through a disclosed proxy; detailed observed commodity capital remains unavailable.</x:v>
      </x:c>
      <x:c r="I8" s="1084" t="n">
        <x:f>Assumptions!$B$26</x:f>
        <x:v>0.009091666666666665</x:v>
      </x:c>
      <x:c r="J8" s="1085" t="n">
        <x:f>D8*I8</x:f>
        <x:v>2.9535733833333326</x:v>
      </x:c>
      <x:c r="K8" s="162" t="n">
        <x:v>0</x:v>
      </x:c>
      <x:c r="L8" s="1083" t="n">
        <x:f>IF(OR(I8=0,K8=0),0,K8-J8)</x:f>
        <x:v>0</x:v>
      </x:c>
      <x:c r="M8" s="162" t="str">
        <x:v>Replace proxy shares with observed detailed stocks/CFC or validate a multi-year perpetual-inventory allocation.</x:v>
      </x:c>
      <x:c r="N8" s="938" t="str">
        <x:v>Derived from Statistics Canada 36-10-0096-01</x:v>
      </x:c>
    </x:row>
    <x:row r="9">
      <x:c r="A9" s="937" t="str">
        <x:v>Support activities for mining and oil/gas</x:v>
      </x:c>
      <x:c r="B9" s="171" t="str">
        <x:v>Official separate industry</x:v>
      </x:c>
      <x:c r="C9" s="237" t="n">
        <x:v>4.467</x:v>
      </x:c>
      <x:c r="D9" s="237" t="n">
        <x:v>39.616</x:v>
      </x:c>
      <x:c r="E9" s="162" t="str">
        <x:v>Contract drilling, support and related services</x:v>
      </x:c>
      <x:c r="F9" s="162" t="str">
        <x:v>No</x:v>
      </x:c>
      <x:c r="G9" s="162" t="str">
        <x:v>Keep separate</x:v>
      </x:c>
      <x:c r="H9" s="162" t="str">
        <x:v>Support capital must not be silently assigned to resource commodities.</x:v>
      </x:c>
      <x:c r="I9" s="1084" t="n">
        <x:f>Assumptions!$B$26</x:f>
        <x:v>0.009091666666666665</x:v>
      </x:c>
      <x:c r="J9" s="1085" t="n">
        <x:f>D9*I9</x:f>
        <x:v>0.36017546666666655</x:v>
      </x:c>
      <x:c r="K9" s="162" t="n">
        <x:v>0</x:v>
      </x:c>
      <x:c r="L9" s="1083" t="n">
        <x:f>IF(OR(I9=0,K9=0),0,K9-J9)</x:f>
        <x:v>0</x:v>
      </x:c>
      <x:c r="M9" s="162" t="str">
        <x:v>Keep support capital excluded unless a separate service-cost allocation is justified.</x:v>
      </x:c>
      <x:c r="N9" s="938" t="str">
        <x:v>Statistics Canada 36-10-0096-01</x:v>
      </x:c>
    </x:row>
    <x:row r="10">
      <x:c r="A10" s="937"/>
      <x:c r="B10" s="162"/>
      <x:c r="C10" s="162"/>
      <x:c r="D10" s="162"/>
      <x:c r="E10" s="162"/>
      <x:c r="F10" s="162"/>
      <x:c r="G10" s="162"/>
      <x:c r="H10" s="162"/>
      <x:c r="I10" s="162"/>
      <x:c r="J10" s="162"/>
      <x:c r="K10" s="162"/>
      <x:c r="L10" s="162"/>
      <x:c r="M10" s="162"/>
      <x:c r="N10" s="938"/>
    </x:row>
    <x:row r="11">
      <x:c r="A11" s="959" t="str">
        <x:v>Commodity map</x:v>
      </x:c>
      <x:c r="B11" s="960"/>
      <x:c r="C11" s="960"/>
      <x:c r="D11" s="960"/>
      <x:c r="E11" s="960"/>
      <x:c r="F11" s="960"/>
      <x:c r="G11" s="960"/>
      <x:c r="H11" s="960"/>
      <x:c r="I11" s="960"/>
      <x:c r="J11" s="960"/>
      <x:c r="K11" s="960"/>
      <x:c r="L11" s="960"/>
      <x:c r="M11" s="960"/>
      <x:c r="N11" s="961"/>
    </x:row>
    <x:row r="12">
      <x:c r="A12" s="934" t="str">
        <x:v>Conventional crude oil</x:v>
      </x:c>
      <x:c r="B12" s="935" t="str">
        <x:v>Combined official control</x:v>
      </x:c>
      <x:c r="C12" s="935"/>
      <x:c r="D12" s="935"/>
      <x:c r="E12" s="935" t="str">
        <x:v>Shares conventional oil/gas capital with natural gas</x:v>
      </x:c>
      <x:c r="F12" s="935" t="str">
        <x:v>No</x:v>
      </x:c>
      <x:c r="G12" s="935" t="str">
        <x:v>Unallocated</x:v>
      </x:c>
      <x:c r="H12" s="935" t="str">
        <x:v>Requires commodity split.</x:v>
      </x:c>
      <x:c r="I12" s="935"/>
      <x:c r="J12" s="935"/>
      <x:c r="K12" s="935"/>
      <x:c r="L12" s="935"/>
      <x:c r="M12" s="935" t="str">
        <x:v>Production/cost/capital allocation test.</x:v>
      </x:c>
      <x:c r="N12" s="936" t="str">
        <x:v>Capital control above</x:v>
      </x:c>
    </x:row>
    <x:row r="13">
      <x:c r="A13" s="937" t="str">
        <x:v>Natural gas and NGLs</x:v>
      </x:c>
      <x:c r="B13" s="162" t="str">
        <x:v>Combined official control</x:v>
      </x:c>
      <x:c r="C13" s="162"/>
      <x:c r="D13" s="162"/>
      <x:c r="E13" s="162" t="str">
        <x:v>Shares conventional oil/gas capital with crude oil</x:v>
      </x:c>
      <x:c r="F13" s="162" t="str">
        <x:v>No</x:v>
      </x:c>
      <x:c r="G13" s="162" t="str">
        <x:v>Unallocated — crude/gas split required</x:v>
      </x:c>
      <x:c r="H13" s="162" t="str">
        <x:v>Requires commodity split.</x:v>
      </x:c>
      <x:c r="I13" s="162"/>
      <x:c r="J13" s="162"/>
      <x:c r="K13" s="162"/>
      <x:c r="L13" s="162"/>
      <x:c r="M13" s="162" t="str">
        <x:v>A production or multi-year investment allocation must exclude oil-sands synthetic crude.</x:v>
      </x:c>
      <x:c r="N13" s="938" t="str">
        <x:v>Capital control above</x:v>
      </x:c>
    </x:row>
    <x:row r="14">
      <x:c r="A14" s="937" t="str">
        <x:v>Crude bitumen</x:v>
      </x:c>
      <x:c r="B14" s="162" t="str">
        <x:v>Residual aggregate</x:v>
      </x:c>
      <x:c r="C14" s="162"/>
      <x:c r="D14" s="162"/>
      <x:c r="E14" s="162" t="str">
        <x:v>Shares residual with mining industries</x:v>
      </x:c>
      <x:c r="F14" s="162" t="str">
        <x:v>No</x:v>
      </x:c>
      <x:c r="G14" s="162" t="str">
        <x:v>Industry proxy calculated; commodity boundary incompatible</x:v>
      </x:c>
      <x:c r="H14" s="162" t="str">
        <x:v>Oil sands capital not separately reported in extracted table.</x:v>
      </x:c>
      <x:c r="I14" s="162"/>
      <x:c r="J14" s="162"/>
      <x:c r="K14" s="162"/>
      <x:c r="L14" s="162"/>
      <x:c r="M14" s="162" t="str">
        <x:v>Oil-sands capital proxy is retained only as an industry control.</x:v>
      </x:c>
      <x:c r="N14" s="938" t="str">
        <x:v>Residual control above</x:v>
      </x:c>
    </x:row>
    <x:row r="15">
      <x:c r="A15" s="937" t="str">
        <x:v>Coal, metals, potash and diamonds</x:v>
      </x:c>
      <x:c r="B15" s="162" t="str">
        <x:v>Residual aggregate</x:v>
      </x:c>
      <x:c r="C15" s="162"/>
      <x:c r="D15" s="162"/>
      <x:c r="E15" s="162" t="str">
        <x:v>Shares residual with oil sands and other mining</x:v>
      </x:c>
      <x:c r="F15" s="162" t="str">
        <x:v>No</x:v>
      </x:c>
      <x:c r="G15" s="162" t="str">
        <x:v>Partially aggregated; coal/diamond split blocked</x:v>
      </x:c>
      <x:c r="H15" s="162" t="str">
        <x:v>Detailed commodity capital unavailable in extracted stock table.</x:v>
      </x:c>
      <x:c r="I15" s="162"/>
      <x:c r="J15" s="162"/>
      <x:c r="K15" s="162"/>
      <x:c r="L15" s="162"/>
      <x:c r="M15" s="162" t="str">
        <x:v>Metallic aggregate and potash controls calculated; non-metal residual remains combined.</x:v>
      </x:c>
      <x:c r="N15" s="938" t="str">
        <x:v>Residual control above</x:v>
      </x:c>
    </x:row>
    <x:row r="16">
      <x:c r="A16" s="939" t="str">
        <x:v>Timber</x:v>
      </x:c>
      <x:c r="B16" s="940" t="str">
        <x:v>Forestry official control</x:v>
      </x:c>
      <x:c r="C16" s="940"/>
      <x:c r="D16" s="940"/>
      <x:c r="E16" s="940" t="str">
        <x:v>Industry capital broader than standing timber</x:v>
      </x:c>
      <x:c r="F16" s="940" t="str">
        <x:v>No</x:v>
      </x:c>
      <x:c r="G16" s="940" t="str">
        <x:v>Boundary unresolved</x:v>
      </x:c>
      <x:c r="H16" s="940" t="str">
        <x:v>Logging assets are not the natural timber asset.</x:v>
      </x:c>
      <x:c r="I16" s="940"/>
      <x:c r="J16" s="940"/>
      <x:c r="K16" s="940"/>
      <x:c r="L16" s="940"/>
      <x:c r="M16" s="940" t="str">
        <x:v>Separate extraction operating assets from the natural resource.</x:v>
      </x:c>
      <x:c r="N16" s="941" t="str">
        <x:v>Forestry control above</x:v>
      </x:c>
    </x:row>
  </x:sheetData>
  <x:mergeCells>
    <x:mergeCell ref="A1:N1"/>
    <x:mergeCell ref="A2:N2"/>
  </x:mergeCells>
  <x:pageMargins left="0.7" right="0.7" top="0.75" bottom="0.75" header="0.3" footer="0.3"/>
</x:worksheet>
</file>

<file path=xl/worksheets/sheet40.xml><?xml version="1.0" encoding="utf-8"?>
<x:worksheet xmlns:x="http://schemas.openxmlformats.org/spreadsheetml/2006/main">
  <x:sheetFormatPr defaultRowHeight="15"/>
  <x:cols>
    <x:col min="1" max="1" width="25" hidden="0" customWidth="1"/>
    <x:col min="2" max="2" width="18" hidden="0" customWidth="1"/>
    <x:col min="3" max="3" width="34" hidden="0" customWidth="1"/>
    <x:col min="4" max="4" width="24" hidden="0" customWidth="1"/>
    <x:col min="5" max="5" width="12" hidden="0" customWidth="1"/>
    <x:col min="6" max="6" width="28" hidden="0" customWidth="1"/>
    <x:col min="7" max="7" width="34" hidden="0" customWidth="1"/>
    <x:col min="8" max="8" width="17" hidden="0" customWidth="1"/>
    <x:col min="9" max="9" width="15" hidden="0" customWidth="1"/>
    <x:col min="10" max="10" width="17" hidden="0" customWidth="1"/>
    <x:col min="11" max="11" width="19" hidden="0" customWidth="1"/>
    <x:col min="12" max="12" width="16" hidden="0" customWidth="1"/>
    <x:col min="13" max="13" width="17" hidden="0" customWidth="1"/>
    <x:col min="14" max="14" width="21" hidden="0" customWidth="1"/>
    <x:col min="15" max="15" width="42" hidden="0" customWidth="1"/>
  </x:cols>
  <x:sheetData>
    <x:row r="1" ht="26" customHeight="1">
      <x:c r="A1" s="1055" t="str">
        <x:v>2024 Produced-Capital Allocation and Normal-Return Control</x:v>
      </x:c>
      <x:c r="B1" s="1055"/>
      <x:c r="C1" s="1055"/>
      <x:c r="D1" s="1055"/>
      <x:c r="E1" s="1055"/>
      <x:c r="F1" s="1055"/>
      <x:c r="G1" s="1055"/>
      <x:c r="H1" s="1055"/>
      <x:c r="I1" s="1055"/>
      <x:c r="J1" s="1055"/>
      <x:c r="K1" s="1055"/>
      <x:c r="L1" s="1055"/>
      <x:c r="M1" s="1055"/>
      <x:c r="N1" s="1055"/>
      <x:c r="O1" s="1055"/>
    </x:row>
    <x:row r="2" ht="40" customHeight="1">
      <x:c r="A2" s="992" t="str">
        <x:v>This sheet allocates official residual CFC and net produced-capital controls using disclosed 2024 tangible-CAPEX proxy shares. It is a reconciliation and sensitivity control, not an observed commodity-capital account and not publication authorization.</x:v>
      </x:c>
      <x:c r="B2" s="992"/>
      <x:c r="C2" s="992"/>
      <x:c r="D2" s="992"/>
      <x:c r="E2" s="992"/>
      <x:c r="F2" s="992"/>
      <x:c r="G2" s="992"/>
      <x:c r="H2" s="992"/>
      <x:c r="I2" s="992"/>
      <x:c r="J2" s="992"/>
      <x:c r="K2" s="992"/>
      <x:c r="L2" s="992"/>
      <x:c r="M2" s="992"/>
      <x:c r="N2" s="992"/>
      <x:c r="O2" s="992"/>
    </x:row>
    <x:row r="3">
      <x:c r="A3" s="178"/>
      <x:c r="B3" s="178"/>
      <x:c r="C3" s="178"/>
      <x:c r="D3" s="178"/>
      <x:c r="E3" s="178"/>
      <x:c r="F3" s="178"/>
      <x:c r="G3" s="178"/>
      <x:c r="H3" s="178"/>
      <x:c r="I3" s="178"/>
      <x:c r="J3" s="178"/>
      <x:c r="K3" s="178"/>
      <x:c r="L3" s="178"/>
      <x:c r="M3" s="178"/>
      <x:c r="N3" s="178"/>
      <x:c r="O3" s="178"/>
    </x:row>
    <x:row r="4">
      <x:c r="A4" s="1056" t="str">
        <x:v>Normal-return benchmark</x:v>
      </x:c>
      <x:c r="B4" s="1056"/>
      <x:c r="C4" s="1056"/>
      <x:c r="D4" s="1056"/>
      <x:c r="E4" s="178"/>
      <x:c r="F4" s="1056" t="str">
        <x:v>Residual capital allocation — official control reconciled by 2024 tangible-CAPEX proxy</x:v>
      </x:c>
      <x:c r="G4" s="1056"/>
      <x:c r="H4" s="1056"/>
      <x:c r="I4" s="1056"/>
      <x:c r="J4" s="1056"/>
      <x:c r="K4" s="1056"/>
      <x:c r="L4" s="1056"/>
      <x:c r="M4" s="1056"/>
      <x:c r="N4" s="1056"/>
      <x:c r="O4" s="1056"/>
    </x:row>
    <x:row r="5" ht="30" customHeight="1">
      <x:c r="A5" s="1033" t="str">
        <x:v>Month</x:v>
      </x:c>
      <x:c r="B5" s="1033" t="str">
        <x:v>5-year GoC benchmark yield</x:v>
      </x:c>
      <x:c r="C5" s="1033" t="str">
        <x:v>Series / source</x:v>
      </x:c>
      <x:c r="D5" s="1033" t="str">
        <x:v>Status</x:v>
      </x:c>
      <x:c r="E5" s="178"/>
      <x:c r="F5" s="1033" t="str">
        <x:v>Allocation category</x:v>
      </x:c>
      <x:c r="G5" s="1033" t="str">
        <x:v>Boundary represented</x:v>
      </x:c>
      <x:c r="H5" s="1033" t="str">
        <x:v>2024 CAPEX proxy ($B)</x:v>
      </x:c>
      <x:c r="I5" s="1033" t="str">
        <x:v>Allocation share</x:v>
      </x:c>
      <x:c r="J5" s="1033" t="str">
        <x:v>Allocated CFC ($B)</x:v>
      </x:c>
      <x:c r="K5" s="1033" t="str">
        <x:v>Allocated net stock ($B)</x:v>
      </x:c>
      <x:c r="L5" s="1033" t="str">
        <x:v>Normal-return rate</x:v>
      </x:c>
      <x:c r="M5" s="1033" t="str">
        <x:v>Normal return ($B)</x:v>
      </x:c>
      <x:c r="N5" s="1033" t="str">
        <x:v>Commodity use</x:v>
      </x:c>
      <x:c r="O5" s="1033" t="str">
        <x:v>Source / boundary ruling</x:v>
      </x:c>
    </x:row>
    <x:row r="6" ht="20" customHeight="1">
      <x:c r="A6" s="178" t="str">
        <x:v>Jan</x:v>
      </x:c>
      <x:c r="B6" s="1057" t="n">
        <x:v>0.0343</x:v>
      </x:c>
      <x:c r="C6" s="178" t="str">
        <x:v>Bank of Canada V122540</x:v>
      </x:c>
      <x:c r="D6" s="178" t="str">
        <x:v>Official monthly observation</x:v>
      </x:c>
      <x:c r="E6" s="178"/>
      <x:c r="F6" s="178" t="str">
        <x:v>Oil sands extraction</x:v>
      </x:c>
      <x:c r="G6" s="178" t="str">
        <x:v>Oil-sands extraction industry; upgrading remains mixed</x:v>
      </x:c>
      <x:c r="H6" s="1058" t="n">
        <x:v>13.3</x:v>
      </x:c>
      <x:c r="I6" s="1052" t="n">
        <x:f>H6/$H$13</x:f>
        <x:v>0.4490239636999575</x:v>
      </x:c>
      <x:c r="J6" s="1059" t="n">
        <x:f>I6*'Capital_Boundary_Map'!$C$8</x:f>
        <x:v>16.765656756629014</x:v>
      </x:c>
      <x:c r="K6" s="1059" t="n">
        <x:f>I6*'Capital_Boundary_Map'!$D$8</x:f>
        <x:v>145.87261899135038</x:v>
      </x:c>
      <x:c r="L6" s="1060" t="n">
        <x:f>Assumptions!$B$26</x:f>
        <x:v>0.009091666666666665</x:v>
      </x:c>
      <x:c r="M6" s="1059" t="n">
        <x:f>K6*L6</x:f>
        <x:v>1.3262252276630269</x:v>
      </x:c>
      <x:c r="N6" s="178" t="str">
        <x:v>No — industry proxy</x:v>
      </x:c>
      <x:c r="O6" s="178" t="str">
        <x:v>AER 2024 oil-sands CAPEX; not a commodity stock observation</x:v>
      </x:c>
    </x:row>
    <x:row r="7" ht="20" customHeight="1">
      <x:c r="A7" s="178" t="str">
        <x:v>Feb</x:v>
      </x:c>
      <x:c r="B7" s="1057" t="n">
        <x:v>0.036</x:v>
      </x:c>
      <x:c r="C7" s="178" t="str">
        <x:v>Bank of Canada V122540</x:v>
      </x:c>
      <x:c r="D7" s="178" t="str">
        <x:v>Official monthly observation</x:v>
      </x:c>
      <x:c r="E7" s="178"/>
      <x:c r="F7" s="178" t="str">
        <x:v>Gold and silver ore mining</x:v>
      </x:c>
      <x:c r="G7" s="178" t="str">
        <x:v>Gold/silver ore extraction industry</x:v>
      </x:c>
      <x:c r="H7" s="1058" t="n">
        <x:v>5.5519</x:v>
      </x:c>
      <x:c r="I7" s="1052" t="n">
        <x:f>H7/$H$13</x:f>
        <x:v>0.1874388078244958</x:v>
      </x:c>
      <x:c r="J7" s="1059" t="n">
        <x:f>I7*'Capital_Boundary_Map'!$C$8</x:f>
        <x:v>6.998590206551024</x:v>
      </x:c>
      <x:c r="K7" s="1059" t="n">
        <x:f>I7*'Capital_Boundary_Map'!$D$8</x:f>
        <x:v>60.89249574271265</x:v>
      </x:c>
      <x:c r="L7" s="1060" t="n">
        <x:f>Assumptions!$B$26</x:f>
        <x:v>0.009091666666666665</x:v>
      </x:c>
      <x:c r="M7" s="1059" t="n">
        <x:f>K7*L7</x:f>
        <x:v>0.5536142737941624</x:v>
      </x:c>
      <x:c r="N7" s="178" t="str">
        <x:v>Aggregate metals only</x:v>
      </x:c>
      <x:c r="O7" s="178" t="str">
        <x:v>NRCan/Statistics Canada tangible CAPEX</x:v>
      </x:c>
    </x:row>
    <x:row r="8" ht="20" customHeight="1">
      <x:c r="A8" s="178" t="str">
        <x:v>Mar</x:v>
      </x:c>
      <x:c r="B8" s="1057" t="n">
        <x:v>0.035</x:v>
      </x:c>
      <x:c r="C8" s="178" t="str">
        <x:v>Bank of Canada V122540</x:v>
      </x:c>
      <x:c r="D8" s="178" t="str">
        <x:v>Official monthly observation</x:v>
      </x:c>
      <x:c r="E8" s="178"/>
      <x:c r="F8" s="178" t="str">
        <x:v>Iron ore mining</x:v>
      </x:c>
      <x:c r="G8" s="178" t="str">
        <x:v>Iron-ore extraction industry</x:v>
      </x:c>
      <x:c r="H8" s="1058" t="n">
        <x:v>1.7073</x:v>
      </x:c>
      <x:c r="I8" s="1052" t="n">
        <x:f>H8/$H$13</x:f>
        <x:v>0.057640497234957705</x:v>
      </x:c>
      <x:c r="J8" s="1059" t="n">
        <x:f>I8*'Capital_Boundary_Map'!$C$8</x:f>
        <x:v>2.1521808857588507</x:v>
      </x:c>
      <x:c r="K8" s="1059" t="n">
        <x:f>I8*'Capital_Boundary_Map'!$D$8</x:f>
        <x:v>18.72543777473177</x:v>
      </x:c>
      <x:c r="L8" s="1060" t="n">
        <x:f>Assumptions!$B$26</x:f>
        <x:v>0.009091666666666665</x:v>
      </x:c>
      <x:c r="M8" s="1059" t="n">
        <x:f>K8*L8</x:f>
        <x:v>0.17024543843526962</x:v>
      </x:c>
      <x:c r="N8" s="178" t="str">
        <x:v>Aggregate metals only</x:v>
      </x:c>
      <x:c r="O8" s="178" t="str">
        <x:v>NRCan/Statistics Canada tangible CAPEX</x:v>
      </x:c>
    </x:row>
    <x:row r="9" ht="20" customHeight="1">
      <x:c r="A9" s="178" t="str">
        <x:v>Apr</x:v>
      </x:c>
      <x:c r="B9" s="1057" t="n">
        <x:v>0.0382</x:v>
      </x:c>
      <x:c r="C9" s="178" t="str">
        <x:v>Bank of Canada V122540</x:v>
      </x:c>
      <x:c r="D9" s="178" t="str">
        <x:v>Official monthly observation</x:v>
      </x:c>
      <x:c r="E9" s="178"/>
      <x:c r="F9" s="178" t="str">
        <x:v>Copper, nickel, lead and zinc ore mining</x:v>
      </x:c>
      <x:c r="G9" s="178" t="str">
        <x:v>Combined base-metal extraction industries</x:v>
      </x:c>
      <x:c r="H9" s="1058" t="n">
        <x:v>2.4562</x:v>
      </x:c>
      <x:c r="I9" s="1052" t="n">
        <x:f>H9/$H$13</x:f>
        <x:v>0.0829242601232959</x:v>
      </x:c>
      <x:c r="J9" s="1059" t="n">
        <x:f>I9*'Capital_Boundary_Map'!$C$8</x:f>
        <x:v>3.0962260244836224</x:v>
      </x:c>
      <x:c r="K9" s="1059" t="n">
        <x:f>I9*'Capital_Boundary_Map'!$D$8</x:f>
        <x:v>26.939272689214643</x:v>
      </x:c>
      <x:c r="L9" s="1060" t="n">
        <x:f>Assumptions!$B$26</x:f>
        <x:v>0.009091666666666665</x:v>
      </x:c>
      <x:c r="M9" s="1059" t="n">
        <x:f>K9*L9</x:f>
        <x:v>0.2449228875327764</x:v>
      </x:c>
      <x:c r="N9" s="178" t="str">
        <x:v>Aggregate metals only</x:v>
      </x:c>
      <x:c r="O9" s="178" t="str">
        <x:v>Nickel-copper plus copper-zinc CAPEX</x:v>
      </x:c>
    </x:row>
    <x:row r="10" ht="20" customHeight="1">
      <x:c r="A10" s="178" t="str">
        <x:v>May</x:v>
      </x:c>
      <x:c r="B10" s="1057" t="n">
        <x:v>0.0381</x:v>
      </x:c>
      <x:c r="C10" s="178" t="str">
        <x:v>Bank of Canada V122540</x:v>
      </x:c>
      <x:c r="D10" s="178" t="str">
        <x:v>Official monthly observation</x:v>
      </x:c>
      <x:c r="E10" s="178"/>
      <x:c r="F10" s="178" t="str">
        <x:v>Other metal ore mining</x:v>
      </x:c>
      <x:c r="G10" s="178" t="str">
        <x:v>Remaining metal-ore extraction</x:v>
      </x:c>
      <x:c r="H10" s="1058" t="n">
        <x:v>0.5844</x:v>
      </x:c>
      <x:c r="I10" s="1052" t="n">
        <x:f>H10/$H$13</x:f>
        <x:v>0.01973004544257558</x:v>
      </x:c>
      <x:c r="J10" s="1059" t="n">
        <x:f>I10*'Capital_Boundary_Map'!$C$8</x:f>
        <x:v>0.7366804367348869</x:v>
      </x:c>
      <x:c r="K10" s="1059" t="n">
        <x:f>I10*'Capital_Boundary_Map'!$D$8</x:f>
        <x:v>6.4096209427477575</x:v>
      </x:c>
      <x:c r="L10" s="1060" t="n">
        <x:f>Assumptions!$B$26</x:f>
        <x:v>0.009091666666666665</x:v>
      </x:c>
      <x:c r="M10" s="1059" t="n">
        <x:f>K10*L10</x:f>
        <x:v>0.05827413707114835</x:v>
      </x:c>
      <x:c r="N10" s="178" t="str">
        <x:v>Aggregate metals only</x:v>
      </x:c>
      <x:c r="O10" s="178" t="str">
        <x:v>Residual of published metal-mining CAPEX control</x:v>
      </x:c>
    </x:row>
    <x:row r="11" ht="20" customHeight="1">
      <x:c r="A11" s="178" t="str">
        <x:v>Jun</x:v>
      </x:c>
      <x:c r="B11" s="1057" t="n">
        <x:v>0.0351</x:v>
      </x:c>
      <x:c r="C11" s="178" t="str">
        <x:v>Bank of Canada V122540</x:v>
      </x:c>
      <x:c r="D11" s="178" t="str">
        <x:v>Official monthly observation</x:v>
      </x:c>
      <x:c r="E11" s="178"/>
      <x:c r="F11" s="178" t="str">
        <x:v>Potash mining</x:v>
      </x:c>
      <x:c r="G11" s="178" t="str">
        <x:v>Potash mining industry</x:v>
      </x:c>
      <x:c r="H11" s="1058" t="n">
        <x:v>4.4777</x:v>
      </x:c>
      <x:c r="I11" s="1052" t="n">
        <x:f>H11/$H$13</x:f>
        <x:v>0.15117252648566162</x:v>
      </x:c>
      <x:c r="J11" s="1059" t="n">
        <x:f>I11*'Capital_Boundary_Map'!$C$8</x:f>
        <x:v>5.644479793921634</x:v>
      </x:c>
      <x:c r="K11" s="1059" t="n">
        <x:f>I11*'Capital_Boundary_Map'!$D$8</x:f>
        <x:v>49.110813989290946</x:v>
      </x:c>
      <x:c r="L11" s="1060" t="n">
        <x:f>Assumptions!$B$26</x:f>
        <x:v>0.009091666666666665</x:v>
      </x:c>
      <x:c r="M11" s="1059" t="n">
        <x:f>K11*L11</x:f>
        <x:v>0.4464991505193034</x:v>
      </x:c>
      <x:c r="N11" s="178" t="str">
        <x:v>Provisional industry control</x:v>
      </x:c>
      <x:c r="O11" s="178" t="str">
        <x:v>NRCan/Statistics Canada tangible CAPEX</x:v>
      </x:c>
    </x:row>
    <x:row r="12" ht="20" customHeight="1">
      <x:c r="A12" s="178" t="str">
        <x:v>Jul</x:v>
      </x:c>
      <x:c r="B12" s="1057" t="n">
        <x:v>0.0309</x:v>
      </x:c>
      <x:c r="C12" s="178" t="str">
        <x:v>Bank of Canada V122540</x:v>
      </x:c>
      <x:c r="D12" s="178" t="str">
        <x:v>Official monthly observation</x:v>
      </x:c>
      <x:c r="E12" s="178"/>
      <x:c r="F12" s="178" t="str">
        <x:v>Coal, diamond and other non-metal mining</x:v>
      </x:c>
      <x:c r="G12" s="178" t="str">
        <x:v>Combined suppressed/non-separated non-metal boundary</x:v>
      </x:c>
      <x:c r="H12" s="1058" t="n">
        <x:v>1.5423</x:v>
      </x:c>
      <x:c r="I12" s="1052" t="n">
        <x:f>H12/$H$13</x:f>
        <x:v>0.052069899189055975</x:v>
      </x:c>
      <x:c r="J12" s="1059" t="n">
        <x:f>I12*'Capital_Boundary_Map'!$C$8</x:f>
        <x:v>1.9441858959209721</x:v>
      </x:c>
      <x:c r="K12" s="1059" t="n">
        <x:f>I12*'Capital_Boundary_Map'!$D$8</x:f>
        <x:v>16.915739869951857</x:v>
      </x:c>
      <x:c r="L12" s="1060" t="n">
        <x:f>Assumptions!$B$26</x:f>
        <x:v>0.009091666666666665</x:v>
      </x:c>
      <x:c r="M12" s="1059" t="n">
        <x:f>K12*L12</x:f>
        <x:v>0.1537922683176456</x:v>
      </x:c>
      <x:c r="N12" s="178" t="str">
        <x:v>No — combined boundary</x:v>
      </x:c>
      <x:c r="O12" s="178" t="str">
        <x:v>Coal and other non-metals residual; cannot split coal or diamonds</x:v>
      </x:c>
    </x:row>
    <x:row r="13" ht="20" customHeight="1">
      <x:c r="A13" s="178" t="str">
        <x:v>Aug</x:v>
      </x:c>
      <x:c r="B13" s="1057" t="n">
        <x:v>0.0297</x:v>
      </x:c>
      <x:c r="C13" s="178" t="str">
        <x:v>Bank of Canada V122540</x:v>
      </x:c>
      <x:c r="D13" s="178" t="str">
        <x:v>Official monthly observation</x:v>
      </x:c>
      <x:c r="E13" s="178"/>
      <x:c r="F13" s="1061" t="str">
        <x:v>Allocation total</x:v>
      </x:c>
      <x:c r="G13" s="1061"/>
      <x:c r="H13" s="1062" t="n">
        <x:f>SUM(H6:H12)</x:f>
        <x:v>29.619799999999998</x:v>
      </x:c>
      <x:c r="I13" s="1063" t="n">
        <x:f>SUM(I6:I12)</x:f>
        <x:v>1</x:v>
      </x:c>
      <x:c r="J13" s="1062" t="n">
        <x:f>SUM(J6:J12)</x:f>
        <x:v>37.33800000000001</x:v>
      </x:c>
      <x:c r="K13" s="1062" t="n">
        <x:f>SUM(K6:K12)</x:f>
        <x:v>324.866</x:v>
      </x:c>
      <x:c r="L13" s="1063" t="n">
        <x:f>Assumptions!$B$26</x:f>
        <x:v>0.009091666666666665</x:v>
      </x:c>
      <x:c r="M13" s="1062" t="n">
        <x:f>SUM(M6:M12)</x:f>
        <x:v>2.9535733833333326</x:v>
      </x:c>
      <x:c r="N13" s="1061" t="str">
        <x:v>CONTROL</x:v>
      </x:c>
      <x:c r="O13" s="1061" t="str">
        <x:v>Must reconcile exactly to the official residual</x:v>
      </x:c>
    </x:row>
    <x:row r="14" ht="20" customHeight="1">
      <x:c r="A14" s="178" t="str">
        <x:v>Sep</x:v>
      </x:c>
      <x:c r="B14" s="1057" t="n">
        <x:v>0.0279</x:v>
      </x:c>
      <x:c r="C14" s="178" t="str">
        <x:v>Bank of Canada V122540</x:v>
      </x:c>
      <x:c r="D14" s="178" t="str">
        <x:v>Official monthly observation</x:v>
      </x:c>
      <x:c r="E14" s="178"/>
      <x:c r="F14" s="1064" t="str">
        <x:v>Reconciliation difference</x:v>
      </x:c>
      <x:c r="G14" s="1064"/>
      <x:c r="H14" s="1064"/>
      <x:c r="I14" s="1064"/>
      <x:c r="J14" s="1065" t="n">
        <x:f>J13-'Capital_Boundary_Map'!$C$8</x:f>
        <x:v>7.105427357601002e-15</x:v>
      </x:c>
      <x:c r="K14" s="1065" t="n">
        <x:f>K13-'Capital_Boundary_Map'!$D$8</x:f>
        <x:v>0</x:v>
      </x:c>
      <x:c r="L14" s="1064"/>
      <x:c r="M14" s="1065" t="n">
        <x:f>M13-('Capital_Boundary_Map'!$D$8*Assumptions!$B$26)</x:f>
        <x:v>0</x:v>
      </x:c>
      <x:c r="N14" s="1064"/>
      <x:c r="O14" s="1064" t="str">
        <x:v>Zero required</x:v>
      </x:c>
    </x:row>
    <x:row r="15" ht="20" customHeight="1">
      <x:c r="A15" s="178" t="str">
        <x:v>Oct</x:v>
      </x:c>
      <x:c r="B15" s="1057" t="n">
        <x:v>0.0305</x:v>
      </x:c>
      <x:c r="C15" s="178" t="str">
        <x:v>Bank of Canada V122540</x:v>
      </x:c>
      <x:c r="D15" s="178" t="str">
        <x:v>Official monthly observation</x:v>
      </x:c>
      <x:c r="E15" s="178"/>
      <x:c r="F15" s="178"/>
      <x:c r="G15" s="178"/>
      <x:c r="H15" s="178"/>
      <x:c r="I15" s="178"/>
      <x:c r="J15" s="178"/>
      <x:c r="K15" s="178"/>
      <x:c r="L15" s="178"/>
      <x:c r="M15" s="178"/>
      <x:c r="N15" s="178"/>
      <x:c r="O15" s="178"/>
    </x:row>
    <x:row r="16" ht="20" customHeight="1">
      <x:c r="A16" s="178" t="str">
        <x:v>Nov</x:v>
      </x:c>
      <x:c r="B16" s="1057" t="n">
        <x:v>0.0309</x:v>
      </x:c>
      <x:c r="C16" s="178" t="str">
        <x:v>Bank of Canada V122540</x:v>
      </x:c>
      <x:c r="D16" s="178" t="str">
        <x:v>Official monthly observation</x:v>
      </x:c>
      <x:c r="E16" s="178"/>
      <x:c r="F16" s="178"/>
      <x:c r="G16" s="178"/>
      <x:c r="H16" s="178"/>
      <x:c r="I16" s="178"/>
      <x:c r="J16" s="178"/>
      <x:c r="K16" s="178"/>
      <x:c r="L16" s="178"/>
      <x:c r="M16" s="178"/>
      <x:c r="N16" s="178"/>
      <x:c r="O16" s="178"/>
    </x:row>
    <x:row r="17" ht="20" customHeight="1">
      <x:c r="A17" s="178" t="str">
        <x:v>Dec</x:v>
      </x:c>
      <x:c r="B17" s="1057" t="n">
        <x:v>0.0305</x:v>
      </x:c>
      <x:c r="C17" s="178" t="str">
        <x:v>Bank of Canada V122540</x:v>
      </x:c>
      <x:c r="D17" s="178" t="str">
        <x:v>Official monthly observation</x:v>
      </x:c>
      <x:c r="E17" s="178"/>
      <x:c r="F17" s="178"/>
      <x:c r="G17" s="178"/>
      <x:c r="H17" s="178"/>
      <x:c r="I17" s="178"/>
      <x:c r="J17" s="178"/>
      <x:c r="K17" s="178"/>
      <x:c r="L17" s="178"/>
      <x:c r="M17" s="178"/>
      <x:c r="N17" s="178"/>
      <x:c r="O17" s="178"/>
    </x:row>
    <x:row r="18" ht="30" customHeight="1">
      <x:c r="A18" s="1061" t="str">
        <x:v>12-month average</x:v>
      </x:c>
      <x:c r="B18" s="1066" t="n">
        <x:f>AVERAGE(B6:B17)</x:f>
        <x:v>0.033091666666666665</x:v>
      </x:c>
      <x:c r="C18" s="1061" t="str">
        <x:v>Calculated from official monthly series</x:v>
      </x:c>
      <x:c r="D18" s="1061" t="str">
        <x:v>Benchmark input</x:v>
      </x:c>
      <x:c r="E18" s="178"/>
      <x:c r="F18" s="178"/>
      <x:c r="G18" s="178"/>
      <x:c r="H18" s="178"/>
      <x:c r="I18" s="178"/>
      <x:c r="J18" s="178"/>
      <x:c r="K18" s="178"/>
      <x:c r="L18" s="178"/>
      <x:c r="M18" s="178"/>
      <x:c r="N18" s="178"/>
      <x:c r="O18" s="178"/>
    </x:row>
    <x:row r="19" ht="30" customHeight="1">
      <x:c r="A19" s="178" t="str">
        <x:v>2024 annual-average CPI</x:v>
      </x:c>
      <x:c r="B19" s="1057" t="n">
        <x:v>0.024</x:v>
      </x:c>
      <x:c r="C19" s="178" t="str">
        <x:v>Statistics Canada 18-10-0005-01</x:v>
      </x:c>
      <x:c r="D19" s="178" t="str">
        <x:v>Official annual average</x:v>
      </x:c>
      <x:c r="E19" s="178"/>
      <x:c r="F19" s="178"/>
      <x:c r="G19" s="178"/>
      <x:c r="H19" s="178"/>
      <x:c r="I19" s="178"/>
      <x:c r="J19" s="178"/>
      <x:c r="K19" s="178"/>
      <x:c r="L19" s="178"/>
      <x:c r="M19" s="178"/>
      <x:c r="N19" s="178"/>
      <x:c r="O19" s="178"/>
    </x:row>
    <x:row r="20" ht="30" customHeight="1">
      <x:c r="A20" s="1064" t="str">
        <x:v>Real normal-return rate</x:v>
      </x:c>
      <x:c r="B20" s="1067" t="n">
        <x:f>B18-B19</x:f>
        <x:v>0.009091666666666665</x:v>
      </x:c>
      <x:c r="C20" s="1064" t="str">
        <x:v>Five-year nominal bond yield less CPI</x:v>
      </x:c>
      <x:c r="D20" s="1064" t="str">
        <x:v>Statistics Canada resource-wealth method</x:v>
      </x:c>
      <x:c r="E20" s="178"/>
      <x:c r="F20" s="178"/>
      <x:c r="G20" s="178"/>
      <x:c r="H20" s="178"/>
      <x:c r="I20" s="178"/>
      <x:c r="J20" s="178"/>
      <x:c r="K20" s="178"/>
      <x:c r="L20" s="178"/>
      <x:c r="M20" s="178"/>
      <x:c r="N20" s="178"/>
      <x:c r="O20" s="178"/>
    </x:row>
    <x:row r="21" ht="30" customHeight="1">
      <x:c r="A21" s="178"/>
      <x:c r="B21" s="178"/>
      <x:c r="C21" s="178"/>
      <x:c r="D21" s="178"/>
      <x:c r="E21" s="178"/>
      <x:c r="F21" s="178"/>
      <x:c r="G21" s="178"/>
      <x:c r="H21" s="178"/>
      <x:c r="I21" s="178"/>
      <x:c r="J21" s="178"/>
      <x:c r="K21" s="178"/>
      <x:c r="L21" s="178"/>
      <x:c r="M21" s="178"/>
      <x:c r="N21" s="178"/>
      <x:c r="O21" s="178"/>
    </x:row>
    <x:row r="22" ht="30" customHeight="1">
      <x:c r="A22" s="178"/>
      <x:c r="B22" s="178"/>
      <x:c r="C22" s="178"/>
      <x:c r="D22" s="178"/>
      <x:c r="E22" s="178"/>
      <x:c r="F22" s="178"/>
      <x:c r="G22" s="178"/>
      <x:c r="H22" s="178"/>
      <x:c r="I22" s="178"/>
      <x:c r="J22" s="178"/>
      <x:c r="K22" s="178"/>
      <x:c r="L22" s="178"/>
      <x:c r="M22" s="178"/>
      <x:c r="N22" s="178"/>
      <x:c r="O22" s="178"/>
    </x:row>
    <x:row r="23" ht="30" customHeight="1">
      <x:c r="A23" s="1056" t="str">
        <x:v>Boundary-compatible aggregation controls</x:v>
      </x:c>
      <x:c r="B23" s="1056"/>
      <x:c r="C23" s="1056"/>
      <x:c r="D23" s="1056"/>
      <x:c r="E23" s="1056"/>
      <x:c r="F23" s="1056"/>
      <x:c r="G23" s="1056"/>
      <x:c r="H23" s="1056"/>
      <x:c r="I23" s="1056"/>
      <x:c r="J23" s="1056"/>
      <x:c r="K23" s="178"/>
      <x:c r="L23" s="178"/>
      <x:c r="M23" s="178"/>
      <x:c r="N23" s="178"/>
      <x:c r="O23" s="178"/>
    </x:row>
    <x:row r="24" ht="30" customHeight="1">
      <x:c r="A24" s="1033" t="str">
        <x:v>Commodity / control</x:v>
      </x:c>
      <x:c r="B24" s="1033" t="str">
        <x:v>Included allocation</x:v>
      </x:c>
      <x:c r="C24" s="1033" t="str">
        <x:v>CFC ($B)</x:v>
      </x:c>
      <x:c r="D24" s="1033" t="str">
        <x:v>Net stock ($B)</x:v>
      </x:c>
      <x:c r="E24" s="1033" t="str">
        <x:v>Normal-return rate</x:v>
      </x:c>
      <x:c r="F24" s="1033" t="str">
        <x:v>Normal return ($B)</x:v>
      </x:c>
      <x:c r="G24" s="1033" t="str">
        <x:v>Boundary compatibility</x:v>
      </x:c>
      <x:c r="H24" s="1033" t="str">
        <x:v>Workbook staging</x:v>
      </x:c>
      <x:c r="I24" s="1033" t="str">
        <x:v>Publication authorization</x:v>
      </x:c>
      <x:c r="J24" s="1033" t="str">
        <x:v>Ruling</x:v>
      </x:c>
      <x:c r="K24" s="178"/>
      <x:c r="L24" s="178"/>
      <x:c r="M24" s="178"/>
      <x:c r="N24" s="178"/>
      <x:c r="O24" s="178"/>
    </x:row>
    <x:row r="25" ht="30" customHeight="1">
      <x:c r="A25" s="178" t="str">
        <x:v>Oil sands extraction industry</x:v>
      </x:c>
      <x:c r="B25" s="178" t="str">
        <x:v>Oil sands row</x:v>
      </x:c>
      <x:c r="C25" s="1059" t="n">
        <x:f>J6</x:f>
        <x:v>16.765656756629014</x:v>
      </x:c>
      <x:c r="D25" s="1059" t="n">
        <x:f>K6</x:f>
        <x:v>145.87261899135038</x:v>
      </x:c>
      <x:c r="E25" s="1060" t="n">
        <x:f>Assumptions!$B$26</x:f>
        <x:v>0.009091666666666665</x:v>
      </x:c>
      <x:c r="F25" s="1059" t="n">
        <x:f>D25*E25</x:f>
        <x:v>1.3262252276630269</x:v>
      </x:c>
      <x:c r="G25" s="178" t="str">
        <x:v>No — extraction/upgrading mixture</x:v>
      </x:c>
      <x:c r="H25" s="178" t="str">
        <x:v>Control only</x:v>
      </x:c>
      <x:c r="I25" s="1068" t="str">
        <x:v>NO</x:v>
      </x:c>
      <x:c r="J25" s="178" t="str">
        <x:v>Cannot be assigned directly to crude bitumen.</x:v>
      </x:c>
      <x:c r="K25" s="178"/>
      <x:c r="L25" s="178"/>
      <x:c r="M25" s="178"/>
      <x:c r="N25" s="178"/>
      <x:c r="O25" s="178"/>
    </x:row>
    <x:row r="26" ht="30" customHeight="1">
      <x:c r="A26" s="178" t="str">
        <x:v>Metallic minerals aggregate</x:v>
      </x:c>
      <x:c r="B26" s="178" t="str">
        <x:v>Gold/silver + iron + base metals + other metals</x:v>
      </x:c>
      <x:c r="C26" s="1059" t="n">
        <x:f>SUM(J7:J10)</x:f>
        <x:v>12.983677553528382</x:v>
      </x:c>
      <x:c r="D26" s="1059" t="n">
        <x:f>SUM(K7:K10)</x:f>
        <x:v>112.96682714940681</x:v>
      </x:c>
      <x:c r="E26" s="1060" t="n">
        <x:f>Assumptions!$B$26</x:f>
        <x:v>0.009091666666666665</x:v>
      </x:c>
      <x:c r="F26" s="1059" t="n">
        <x:f>D26*E26</x:f>
        <x:v>1.0270567368333567</x:v>
      </x:c>
      <x:c r="G26" s="178" t="str">
        <x:v>Approximate compatible aggregate</x:v>
      </x:c>
      <x:c r="H26" s="178" t="str">
        <x:v>Capital proxy staged</x:v>
      </x:c>
      <x:c r="I26" s="1068" t="str">
        <x:v>NO</x:v>
      </x:c>
      <x:c r="J26" s="178" t="str">
        <x:v>Usable only as a broad metallic-minerals control.</x:v>
      </x:c>
      <x:c r="K26" s="178"/>
      <x:c r="L26" s="178"/>
      <x:c r="M26" s="178"/>
      <x:c r="N26" s="178"/>
      <x:c r="O26" s="178"/>
    </x:row>
    <x:row r="27" ht="30" customHeight="1">
      <x:c r="A27" s="178" t="str">
        <x:v>Potash mining industry</x:v>
      </x:c>
      <x:c r="B27" s="178" t="str">
        <x:v>Potash row</x:v>
      </x:c>
      <x:c r="C27" s="1059" t="n">
        <x:f>J11</x:f>
        <x:v>5.644479793921634</x:v>
      </x:c>
      <x:c r="D27" s="1059" t="n">
        <x:f>K11</x:f>
        <x:v>49.110813989290946</x:v>
      </x:c>
      <x:c r="E27" s="1060" t="n">
        <x:f>Assumptions!$B$26</x:f>
        <x:v>0.009091666666666665</x:v>
      </x:c>
      <x:c r="F27" s="1059" t="n">
        <x:f>D27*E27</x:f>
        <x:v>0.4464991505193034</x:v>
      </x:c>
      <x:c r="G27" s="178" t="str">
        <x:v>Industry boundary; commodity output still missing</x:v>
      </x:c>
      <x:c r="H27" s="178" t="str">
        <x:v>Capital proxy staged</x:v>
      </x:c>
      <x:c r="I27" s="1068" t="str">
        <x:v>NO</x:v>
      </x:c>
      <x:c r="J27" s="178" t="str">
        <x:v>Normal return can be calculated; rent cannot.</x:v>
      </x:c>
      <x:c r="K27" s="178"/>
      <x:c r="L27" s="178"/>
      <x:c r="M27" s="178"/>
      <x:c r="N27" s="178"/>
      <x:c r="O27" s="178"/>
    </x:row>
    <x:row r="28" ht="30" customHeight="1">
      <x:c r="A28" s="178" t="str">
        <x:v>Coal, diamonds and other non-metals</x:v>
      </x:c>
      <x:c r="B28" s="178" t="str">
        <x:v>Combined residual row</x:v>
      </x:c>
      <x:c r="C28" s="1059" t="n">
        <x:f>J12</x:f>
        <x:v>1.9441858959209721</x:v>
      </x:c>
      <x:c r="D28" s="1059" t="n">
        <x:f>K12</x:f>
        <x:v>16.915739869951857</x:v>
      </x:c>
      <x:c r="E28" s="1060" t="n">
        <x:f>Assumptions!$B$26</x:f>
        <x:v>0.009091666666666665</x:v>
      </x:c>
      <x:c r="F28" s="1059" t="n">
        <x:f>D28*E28</x:f>
        <x:v>0.1537922683176456</x:v>
      </x:c>
      <x:c r="G28" s="178" t="str">
        <x:v>No — commodities not separated</x:v>
      </x:c>
      <x:c r="H28" s="178" t="str">
        <x:v>Control only</x:v>
      </x:c>
      <x:c r="I28" s="1068" t="str">
        <x:v>NO</x:v>
      </x:c>
      <x:c r="J28" s="178" t="str">
        <x:v>Do not split suppressed categories.</x:v>
      </x:c>
      <x:c r="K28" s="178"/>
      <x:c r="L28" s="178"/>
      <x:c r="M28" s="178"/>
      <x:c r="N28" s="178"/>
      <x:c r="O28" s="178"/>
    </x:row>
    <x:row r="29" ht="30" customHeight="1">
      <x:c r="A29" s="1061" t="str">
        <x:v>Residual official control</x:v>
      </x:c>
      <x:c r="B29" s="1061" t="str">
        <x:v>All allocation rows</x:v>
      </x:c>
      <x:c r="C29" s="1069" t="n">
        <x:f>J13</x:f>
        <x:v>37.33800000000001</x:v>
      </x:c>
      <x:c r="D29" s="1069" t="n">
        <x:f>K13</x:f>
        <x:v>324.866</x:v>
      </x:c>
      <x:c r="E29" s="1070" t="n">
        <x:f>Assumptions!$B$26</x:f>
        <x:v>0.009091666666666665</x:v>
      </x:c>
      <x:c r="F29" s="1069" t="n">
        <x:f>D29*E29</x:f>
        <x:v>2.9535733833333326</x:v>
      </x:c>
      <x:c r="G29" s="1061" t="str">
        <x:v>Aggregate reconciliation</x:v>
      </x:c>
      <x:c r="H29" s="1061" t="str">
        <x:v>Control only</x:v>
      </x:c>
      <x:c r="I29" s="1071" t="str">
        <x:v>NO</x:v>
      </x:c>
      <x:c r="J29" s="1061" t="str">
        <x:v>Must equal official aggregate less conventional oil/gas.</x:v>
      </x:c>
      <x:c r="K29" s="178"/>
      <x:c r="L29" s="178"/>
      <x:c r="M29" s="178"/>
      <x:c r="N29" s="178"/>
      <x:c r="O29" s="178"/>
    </x:row>
    <x:row r="30" ht="30" customHeight="1">
      <x:c r="A30" s="178" t="str">
        <x:v>Conventional oil and gas industry</x:v>
      </x:c>
      <x:c r="B30" s="178" t="str">
        <x:v>Official direct control</x:v>
      </x:c>
      <x:c r="C30" s="1059" t="n">
        <x:f>'Capital_Boundary_Map'!$C$6</x:f>
        <x:v>34.663</x:v>
      </x:c>
      <x:c r="D30" s="1059" t="n">
        <x:f>'Capital_Boundary_Map'!$D$6</x:f>
        <x:v>442.975</x:v>
      </x:c>
      <x:c r="E30" s="1060" t="n">
        <x:f>Assumptions!$B$26</x:f>
        <x:v>0.009091666666666665</x:v>
      </x:c>
      <x:c r="F30" s="1059" t="n">
        <x:f>D30*E30</x:f>
        <x:v>4.027381041666666</x:v>
      </x:c>
      <x:c r="G30" s="178" t="str">
        <x:v>No — crude/gas combined</x:v>
      </x:c>
      <x:c r="H30" s="178" t="str">
        <x:v>Control only</x:v>
      </x:c>
      <x:c r="I30" s="1068" t="str">
        <x:v>NO</x:v>
      </x:c>
      <x:c r="J30" s="178" t="str">
        <x:v>Commodity split remains unresolved.</x:v>
      </x:c>
      <x:c r="K30" s="178"/>
      <x:c r="L30" s="178"/>
      <x:c r="M30" s="178"/>
      <x:c r="N30" s="178"/>
      <x:c r="O30" s="178"/>
    </x:row>
    <x:row r="31" ht="30" customHeight="1">
      <x:c r="A31" s="178" t="str">
        <x:v>Forestry and logging industry</x:v>
      </x:c>
      <x:c r="B31" s="178" t="str">
        <x:v>Official direct control</x:v>
      </x:c>
      <x:c r="C31" s="1059" t="n">
        <x:f>'Capital_Boundary_Map'!$C$5</x:f>
        <x:v>0.651</x:v>
      </x:c>
      <x:c r="D31" s="1059" t="n">
        <x:f>'Capital_Boundary_Map'!$D$5</x:f>
        <x:v>3.92</x:v>
      </x:c>
      <x:c r="E31" s="1060" t="n">
        <x:f>Assumptions!$B$26</x:f>
        <x:v>0.009091666666666665</x:v>
      </x:c>
      <x:c r="F31" s="1059" t="n">
        <x:f>D31*E31</x:f>
        <x:v>0.03563933333333332</x:v>
      </x:c>
      <x:c r="G31" s="178" t="str">
        <x:v>No — broader than standing timber</x:v>
      </x:c>
      <x:c r="H31" s="178" t="str">
        <x:v>Control only</x:v>
      </x:c>
      <x:c r="I31" s="1068" t="str">
        <x:v>NO</x:v>
      </x:c>
      <x:c r="J31" s="178" t="str">
        <x:v>Do not assign all logging capital to timber.</x:v>
      </x:c>
      <x:c r="K31" s="178"/>
      <x:c r="L31" s="178"/>
      <x:c r="M31" s="178"/>
      <x:c r="N31" s="178"/>
      <x:c r="O31" s="178"/>
    </x:row>
    <x:row r="32" ht="30" customHeight="1">
      <x:c r="A32" s="178" t="str">
        <x:v>Support activities</x:v>
      </x:c>
      <x:c r="B32" s="178" t="str">
        <x:v>Official separate control</x:v>
      </x:c>
      <x:c r="C32" s="1059" t="n">
        <x:f>'Capital_Boundary_Map'!$C$9</x:f>
        <x:v>4.467</x:v>
      </x:c>
      <x:c r="D32" s="1059" t="n">
        <x:f>'Capital_Boundary_Map'!$D$9</x:f>
        <x:v>39.616</x:v>
      </x:c>
      <x:c r="E32" s="1060" t="n">
        <x:f>Assumptions!$B$26</x:f>
        <x:v>0.009091666666666665</x:v>
      </x:c>
      <x:c r="F32" s="1059" t="n">
        <x:f>D32*E32</x:f>
        <x:v>0.36017546666666655</x:v>
      </x:c>
      <x:c r="G32" s="178" t="str">
        <x:v>No — separate industry</x:v>
      </x:c>
      <x:c r="H32" s="178" t="str">
        <x:v>Excluded</x:v>
      </x:c>
      <x:c r="I32" s="1068" t="str">
        <x:v>NO</x:v>
      </x:c>
      <x:c r="J32" s="178" t="str">
        <x:v>Do not silently distribute support capital.</x:v>
      </x:c>
      <x:c r="K32" s="178"/>
      <x:c r="L32" s="178"/>
      <x:c r="M32" s="178"/>
      <x:c r="N32" s="178"/>
      <x:c r="O32" s="178"/>
    </x:row>
    <x:row r="33" ht="30" customHeight="1">
      <x:c r="A33" s="178"/>
      <x:c r="B33" s="178"/>
      <x:c r="C33" s="178"/>
      <x:c r="D33" s="178"/>
      <x:c r="E33" s="178"/>
      <x:c r="F33" s="178"/>
      <x:c r="G33" s="178"/>
      <x:c r="H33" s="178"/>
      <x:c r="I33" s="178"/>
      <x:c r="J33" s="178"/>
      <x:c r="K33" s="178"/>
      <x:c r="L33" s="178"/>
      <x:c r="M33" s="178"/>
      <x:c r="N33" s="178"/>
      <x:c r="O33" s="178"/>
    </x:row>
    <x:row r="34" ht="30" customHeight="1">
      <x:c r="A34" s="178"/>
      <x:c r="B34" s="178"/>
      <x:c r="C34" s="178"/>
      <x:c r="D34" s="178"/>
      <x:c r="E34" s="178"/>
      <x:c r="F34" s="178"/>
      <x:c r="G34" s="178"/>
      <x:c r="H34" s="178"/>
      <x:c r="I34" s="178"/>
      <x:c r="J34" s="178"/>
      <x:c r="K34" s="178"/>
      <x:c r="L34" s="178"/>
      <x:c r="M34" s="178"/>
      <x:c r="N34" s="178"/>
      <x:c r="O34" s="178"/>
    </x:row>
    <x:row r="35" ht="30" customHeight="1">
      <x:c r="A35" s="1056" t="str">
        <x:v>Terminal ruling for this stage</x:v>
      </x:c>
      <x:c r="B35" s="1056"/>
      <x:c r="C35" s="1056"/>
      <x:c r="D35" s="1056"/>
      <x:c r="E35" s="1056"/>
      <x:c r="F35" s="1056"/>
      <x:c r="G35" s="1056"/>
      <x:c r="H35" s="1056"/>
      <x:c r="I35" s="1056"/>
      <x:c r="J35" s="1056"/>
      <x:c r="K35" s="178"/>
      <x:c r="L35" s="178"/>
      <x:c r="M35" s="178"/>
      <x:c r="N35" s="178"/>
      <x:c r="O35" s="178"/>
    </x:row>
    <x:row r="36" ht="30" customHeight="1">
      <x:c r="A36" s="178" t="str">
        <x:v>Allocation method</x:v>
      </x:c>
      <x:c r="B36" s="178" t="str">
        <x:v>2024 non-residential tangible-CAPEX proxy shares</x:v>
      </x:c>
      <x:c r="C36" s="178" t="str">
        <x:v>Status</x:v>
      </x:c>
      <x:c r="D36" s="1374" t="str">
        <x:v>SENSITIVITY CONTROL — NOT POINT ESTIMATE</x:v>
      </x:c>
      <x:c r="E36" s="178"/>
      <x:c r="F36" s="178"/>
      <x:c r="G36" s="178"/>
      <x:c r="H36" s="178"/>
      <x:c r="I36" s="178"/>
      <x:c r="J36" s="178"/>
      <x:c r="K36" s="178"/>
      <x:c r="L36" s="178"/>
      <x:c r="M36" s="178"/>
      <x:c r="N36" s="178"/>
      <x:c r="O36" s="178"/>
    </x:row>
    <x:row r="37" ht="30" customHeight="1">
      <x:c r="A37" s="178" t="str">
        <x:v>Official residual CFC</x:v>
      </x:c>
      <x:c r="B37" s="1051" t="n">
        <x:f>'Capital_Boundary_Map'!$C$8</x:f>
        <x:v>37.338</x:v>
      </x:c>
      <x:c r="C37" s="1051" t="str">
        <x:v>Official residual net stock</x:v>
      </x:c>
      <x:c r="D37" s="1051" t="n">
        <x:f>'Capital_Boundary_Map'!$D$8</x:f>
        <x:v>324.866</x:v>
      </x:c>
      <x:c r="E37" s="178" t="str">
        <x:v>Normal-return rate</x:v>
      </x:c>
      <x:c r="F37" s="1052" t="n">
        <x:f>Assumptions!$B$26</x:f>
        <x:v>0.009091666666666665</x:v>
      </x:c>
      <x:c r="G37" s="178" t="str">
        <x:v>Publication authorized</x:v>
      </x:c>
      <x:c r="H37" s="1053" t="str">
        <x:v>NO</x:v>
      </x:c>
      <x:c r="I37" s="178"/>
      <x:c r="J37" s="178"/>
      <x:c r="K37" s="178"/>
      <x:c r="L37" s="178"/>
      <x:c r="M37" s="178"/>
      <x:c r="N37" s="178"/>
      <x:c r="O37" s="178"/>
    </x:row>
    <x:row r="38" ht="30" customHeight="1">
      <x:c r="A38" s="178" t="str">
        <x:v>What is now resolved</x:v>
      </x:c>
      <x:c r="B38" s="178" t="str">
        <x:v>A reproducible sensitivity allocation that reconciles official controls. The v0.15 potash stress test rejects one-year CAPEX shares as detailed capital point estimates.</x:v>
      </x:c>
      <x:c r="C38" s="178"/>
      <x:c r="D38" s="178"/>
      <x:c r="E38" s="178"/>
      <x:c r="F38" s="178"/>
      <x:c r="G38" s="178"/>
      <x:c r="H38" s="178"/>
      <x:c r="I38" s="178"/>
      <x:c r="J38" s="178"/>
      <x:c r="K38" s="178"/>
      <x:c r="L38" s="178"/>
      <x:c r="M38" s="178"/>
      <x:c r="N38" s="178"/>
      <x:c r="O38" s="178"/>
    </x:row>
    <x:row r="39" ht="30" customHeight="1">
      <x:c r="A39" s="178" t="str">
        <x:v>What remains unresolved</x:v>
      </x:c>
      <x:c r="B39" s="178" t="str">
        <x:v>Observed detailed stock/CFC, validated multi-year perpetual-inventory allocations, crude-versus-gas split, oil-sands upgrading split, coal/diamond/non-metal split, timber boundary, and full commodity operating costs.</x:v>
      </x:c>
      <x:c r="C39" s="178"/>
      <x:c r="D39" s="178"/>
      <x:c r="E39" s="178"/>
      <x:c r="F39" s="178"/>
      <x:c r="G39" s="178"/>
      <x:c r="H39" s="178"/>
      <x:c r="I39" s="178"/>
      <x:c r="J39" s="178"/>
      <x:c r="K39" s="178"/>
      <x:c r="L39" s="178"/>
      <x:c r="M39" s="178"/>
      <x:c r="N39" s="178"/>
      <x:c r="O39" s="178"/>
    </x:row>
    <x:row r="40" ht="30" customHeight="1">
      <x:c r="A40" s="178" t="str">
        <x:v>Decisive replacement evidence</x:v>
      </x:c>
      <x:c r="B40" s="178" t="str">
        <x:v>Detailed official produced-capital stocks/CFC or a validated perpetual-inventory allocation using multi-year investment and retirement profiles.</x:v>
      </x:c>
      <x:c r="C40" s="178"/>
      <x:c r="D40" s="178"/>
      <x:c r="E40" s="178"/>
      <x:c r="F40" s="178"/>
      <x:c r="G40" s="178"/>
      <x:c r="H40" s="178"/>
      <x:c r="I40" s="178"/>
      <x:c r="J40" s="178"/>
      <x:c r="K40" s="178"/>
      <x:c r="L40" s="178"/>
      <x:c r="M40" s="178"/>
      <x:c r="N40" s="178"/>
      <x:c r="O40" s="178"/>
    </x:row>
    <x:row r="41" ht="30" customHeight="1">
      <x:c r="A41" s="178"/>
      <x:c r="B41" s="178"/>
      <x:c r="C41" s="178"/>
      <x:c r="D41" s="178"/>
      <x:c r="E41" s="178"/>
      <x:c r="F41" s="178"/>
      <x:c r="G41" s="178"/>
      <x:c r="H41" s="178"/>
      <x:c r="I41" s="178"/>
      <x:c r="J41" s="178"/>
      <x:c r="K41" s="178"/>
      <x:c r="L41" s="178"/>
      <x:c r="M41" s="178"/>
      <x:c r="N41" s="178"/>
      <x:c r="O41" s="178"/>
    </x:row>
    <x:row r="42" ht="30" customHeight="1">
      <x:c r="A42" s="1072" t="str">
        <x:v>Source</x:v>
      </x:c>
      <x:c r="B42" s="1072" t="str">
        <x:v>URL</x:v>
      </x:c>
      <x:c r="C42" s="1072" t="str">
        <x:v>Use</x:v>
      </x:c>
      <x:c r="D42" s="178"/>
      <x:c r="E42" s="178"/>
      <x:c r="F42" s="178"/>
      <x:c r="G42" s="178"/>
      <x:c r="H42" s="178"/>
      <x:c r="I42" s="178"/>
      <x:c r="J42" s="178"/>
      <x:c r="K42" s="178"/>
      <x:c r="L42" s="178"/>
      <x:c r="M42" s="178"/>
      <x:c r="N42" s="178"/>
      <x:c r="O42" s="178"/>
    </x:row>
    <x:row r="43" ht="30" customHeight="1">
      <x:c r="A43" s="178" t="str">
        <x:v>Statistics Canada resource-wealth method</x:v>
      </x:c>
      <x:c r="B43" s="180" t="str">
        <x:v>https://www150.statcan.gc.ca/n1/pub/16-509-x/2016001/v95645810-eng.htm</x:v>
      </x:c>
      <x:c r="C43" s="178" t="str">
        <x:v>Normal return = net capital stock × (5-year bond yield − CPI)</x:v>
      </x:c>
      <x:c r="D43" s="178"/>
      <x:c r="E43" s="178"/>
      <x:c r="F43" s="178"/>
      <x:c r="G43" s="178"/>
      <x:c r="H43" s="178"/>
      <x:c r="I43" s="178"/>
      <x:c r="J43" s="178"/>
      <x:c r="K43" s="178"/>
      <x:c r="L43" s="178"/>
      <x:c r="M43" s="178"/>
      <x:c r="N43" s="178"/>
      <x:c r="O43" s="178"/>
    </x:row>
    <x:row r="44" ht="30" customHeight="1">
      <x:c r="A44" s="178" t="str">
        <x:v>Bank of Canada selected bond yields</x:v>
      </x:c>
      <x:c r="B44" s="180" t="str">
        <x:v>https://www.bankofcanada.ca/rates/interest-rates/canadian-bonds/</x:v>
      </x:c>
      <x:c r="C44" s="178" t="str">
        <x:v>Monthly 5-year Government of Canada benchmark yield</x:v>
      </x:c>
      <x:c r="D44" s="178"/>
      <x:c r="E44" s="178"/>
      <x:c r="F44" s="178"/>
      <x:c r="G44" s="178"/>
      <x:c r="H44" s="178"/>
      <x:c r="I44" s="178"/>
      <x:c r="J44" s="178"/>
      <x:c r="K44" s="178"/>
      <x:c r="L44" s="178"/>
      <x:c r="M44" s="178"/>
      <x:c r="N44" s="178"/>
      <x:c r="O44" s="178"/>
    </x:row>
    <x:row r="45" ht="30" customHeight="1">
      <x:c r="A45" s="178" t="str">
        <x:v>Statistics Canada CPI annual review 2024</x:v>
      </x:c>
      <x:c r="B45" s="180" t="str">
        <x:v>https://www150.statcan.gc.ca/n1/daily-quotidien/250121/dq250121b-eng.htm</x:v>
      </x:c>
      <x:c r="C45" s="178" t="str">
        <x:v>2024 annual-average CPI inflation = 2.4%</x:v>
      </x:c>
      <x:c r="D45" s="178"/>
      <x:c r="E45" s="178"/>
      <x:c r="F45" s="178"/>
      <x:c r="G45" s="178"/>
      <x:c r="H45" s="178"/>
      <x:c r="I45" s="178"/>
      <x:c r="J45" s="178"/>
      <x:c r="K45" s="178"/>
      <x:c r="L45" s="178"/>
      <x:c r="M45" s="178"/>
      <x:c r="N45" s="178"/>
      <x:c r="O45" s="178"/>
    </x:row>
    <x:row r="46" ht="30" customHeight="1">
      <x:c r="A46" s="178" t="str">
        <x:v>Natural Resources Canada capital expenditures</x:v>
      </x:c>
      <x:c r="B46" s="180" t="str">
        <x:v>https://prod-natural-resources.azure.cloud.nrcan-rncan.gc.ca/minerals-mining/mining-data-statistics-analysis/minerals-mining-publications/capital-expenditures</x:v>
      </x:c>
      <x:c r="C46" s="178" t="str">
        <x:v>2024 detailed mining tangible-CAPEX proxy</x:v>
      </x:c>
      <x:c r="D46" s="178"/>
      <x:c r="E46" s="178"/>
      <x:c r="F46" s="178"/>
      <x:c r="G46" s="178"/>
      <x:c r="H46" s="178"/>
      <x:c r="I46" s="178"/>
      <x:c r="J46" s="178"/>
      <x:c r="K46" s="178"/>
      <x:c r="L46" s="178"/>
      <x:c r="M46" s="178"/>
      <x:c r="N46" s="178"/>
      <x:c r="O46" s="178"/>
    </x:row>
    <x:row r="47" ht="30" customHeight="1">
      <x:c r="A47" s="178" t="str">
        <x:v>Alberta Energy Regulator capital expenditures</x:v>
      </x:c>
      <x:c r="B47" s="180" t="str">
        <x:v>https://www.aer.ca/data-and-performance-reports/statistical-reports/alberta-energy-outlook-st98/prices-and-capital-expenditure/capital-expenditures</x:v>
      </x:c>
      <x:c r="C47" s="178" t="str">
        <x:v>2024 oil-sands CAPEX proxy</x:v>
      </x:c>
      <x:c r="D47" s="178"/>
      <x:c r="E47" s="178"/>
      <x:c r="F47" s="178"/>
      <x:c r="G47" s="178"/>
      <x:c r="H47" s="178"/>
      <x:c r="I47" s="178"/>
      <x:c r="J47" s="178"/>
      <x:c r="K47" s="178"/>
      <x:c r="L47" s="178"/>
      <x:c r="M47" s="178"/>
      <x:c r="N47" s="178"/>
      <x:c r="O47" s="178"/>
    </x:row>
    <x:row r="48" ht="30" customHeight="1">
      <x:c r="A48" s="178" t="str">
        <x:v>Statistics Canada capital stocks</x:v>
      </x:c>
      <x:c r="B48" s="180" t="str">
        <x:v>https://www150.statcan.gc.ca/n1/en/catalogue/3610009601</x:v>
      </x:c>
      <x:c r="C48" s="178" t="str">
        <x:v>Official geometric CFC and net-stock controls</x:v>
      </x:c>
      <x:c r="D48" s="178"/>
      <x:c r="E48" s="178"/>
      <x:c r="F48" s="178"/>
      <x:c r="G48" s="178"/>
      <x:c r="H48" s="178"/>
      <x:c r="I48" s="178"/>
      <x:c r="J48" s="178"/>
      <x:c r="K48" s="178"/>
      <x:c r="L48" s="178"/>
      <x:c r="M48" s="178"/>
      <x:c r="N48" s="178"/>
      <x:c r="O48" s="178"/>
    </x:row>
  </x:sheetData>
  <x:mergeCells>
    <x:mergeCell ref="A1:O1"/>
    <x:mergeCell ref="A2:O2"/>
    <x:mergeCell ref="A4:D4"/>
    <x:mergeCell ref="F4:O4"/>
    <x:mergeCell ref="A23:J23"/>
    <x:mergeCell ref="A35:J35"/>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18" hidden="0" customWidth="1"/>
    <x:col min="3" max="3" width="28" hidden="0" customWidth="1"/>
    <x:col min="4" max="4" width="25" hidden="0" customWidth="1"/>
    <x:col min="5" max="5" width="28" hidden="0" customWidth="1"/>
    <x:col min="6" max="6" width="28" hidden="0" customWidth="1"/>
    <x:col min="7" max="7" width="3" hidden="0" customWidth="1"/>
    <x:col min="8" max="8" width="30" hidden="0" customWidth="1"/>
    <x:col min="9" max="9" width="19" hidden="0" customWidth="1"/>
    <x:col min="10" max="10" width="16" hidden="0" customWidth="1"/>
    <x:col min="11" max="11" width="25" hidden="0" customWidth="1"/>
    <x:col min="12" max="12" width="28" hidden="0" customWidth="1"/>
    <x:col min="13" max="13" width="18" hidden="0" customWidth="1"/>
    <x:col min="14" max="14" width="34" hidden="0" customWidth="1"/>
  </x:cols>
  <x:sheetData>
    <x:row r="1" ht="28" customHeight="1">
      <x:c r="A1" s="1146" t="str">
        <x:v>2024 Oil-Sands Industry Bridge and Commodity-Boundary Gate</x:v>
      </x:c>
      <x:c r="B1" s="1146"/>
      <x:c r="C1" s="1146"/>
      <x:c r="D1" s="1146"/>
      <x:c r="E1" s="1146"/>
      <x:c r="F1" s="1146"/>
      <x:c r="G1" s="1146"/>
      <x:c r="H1" s="1146"/>
      <x:c r="I1" s="1146"/>
      <x:c r="J1" s="1146"/>
      <x:c r="K1" s="1146"/>
      <x:c r="L1" s="1146"/>
      <x:c r="M1" s="1146"/>
      <x:c r="N1" s="1146"/>
    </x:row>
    <x:row r="2" ht="40" customHeight="1">
      <x:c r="A2" s="1150" t="str">
        <x:v>The oil-sands industry production account reconciles independently. NAICS 21114 includes both bitumen and synthetic-crude production, so the combined industry boundary is potentially compatible. Product-level bitumen/SCO decomposition and direct capital evidence remain unresolved.</x:v>
      </x:c>
      <x:c r="B2" s="1150"/>
      <x:c r="C2" s="1150"/>
      <x:c r="D2" s="1150"/>
      <x:c r="E2" s="1150"/>
      <x:c r="F2" s="1150"/>
      <x:c r="G2" s="1150"/>
      <x:c r="H2" s="1150"/>
      <x:c r="I2" s="1150"/>
      <x:c r="J2" s="1150"/>
      <x:c r="K2" s="1150"/>
      <x:c r="L2" s="1150"/>
      <x:c r="M2" s="1150"/>
      <x:c r="N2" s="1150"/>
    </x:row>
    <x:row r="4" ht="20" customHeight="1">
      <x:c r="A4" s="1152" t="str">
        <x:v>Terminal state</x:v>
      </x:c>
      <x:c r="B4" s="1152"/>
      <x:c r="C4" s="1152"/>
      <x:c r="D4" s="1152"/>
      <x:c r="E4" s="1152"/>
      <x:c r="F4" s="1152"/>
      <x:c r="G4" s="1152"/>
      <x:c r="H4" s="1152"/>
      <x:c r="I4" s="1152"/>
      <x:c r="J4" s="1152"/>
      <x:c r="K4" s="1152"/>
      <x:c r="L4" s="1152"/>
      <x:c r="M4" s="1152"/>
      <x:c r="N4" s="1152"/>
    </x:row>
    <x:row r="5">
      <x:c r="A5" s="1209" t="str">
        <x:v>Industry production identity</x:v>
      </x:c>
      <x:c r="B5" s="1210" t="str">
        <x:f>B20</x:f>
        <x:v>PASS</x:v>
      </x:c>
      <x:c r="C5" s="1211"/>
      <x:c r="D5" s="1212" t="str">
        <x:v>Reference year</x:v>
      </x:c>
      <x:c r="E5" s="1213" t="n">
        <x:v>2024</x:v>
      </x:c>
    </x:row>
    <x:row r="6">
      <x:c r="A6" s="1214" t="str">
        <x:v>Capital and normal-return control</x:v>
      </x:c>
      <x:c r="B6" s="1215" t="str">
        <x:f>B33</x:f>
        <x:v>PARTIAL</x:v>
      </x:c>
      <x:c r="C6" s="162"/>
      <x:c r="D6" s="1216" t="str">
        <x:v>Industry boundary</x:v>
      </x:c>
      <x:c r="E6" s="1217" t="str">
        <x:v>Oil sands extraction [BS211140]</x:v>
      </x:c>
    </x:row>
    <x:row r="7">
      <x:c r="A7" s="1214" t="str">
        <x:v>Commodity boundary compatibility</x:v>
      </x:c>
      <x:c r="B7" s="1218" t="str">
        <x:v>PARTIAL</x:v>
      </x:c>
      <x:c r="C7" s="162"/>
      <x:c r="D7" s="1216" t="str">
        <x:v>Commodity target</x:v>
      </x:c>
      <x:c r="E7" s="1217" t="str">
        <x:v>Combined oil-sands extraction (bitumen + synthetic crude)</x:v>
      </x:c>
    </x:row>
    <x:row r="8">
      <x:c r="A8" s="1219" t="str">
        <x:v>Economic-rent publication</x:v>
      </x:c>
      <x:c r="B8" s="1220" t="str">
        <x:v>LOCKED</x:v>
      </x:c>
      <x:c r="C8" s="1221"/>
      <x:c r="D8" s="1222" t="str">
        <x:v>Receipt core SHA-256</x:v>
      </x:c>
      <x:c r="E8" s="1208" t="str">
        <x:v>67d5d27c2115c208771bad4d5a142898addfd6d1fb177d0b653fd2a49992871a</x:v>
      </x:c>
    </x:row>
    <x:row r="11">
      <x:c r="A11" s="1152" t="str">
        <x:v>Industry production-account reconciliation</x:v>
      </x:c>
      <x:c r="B11" s="1152"/>
      <x:c r="C11" s="1152"/>
      <x:c r="D11" s="1152"/>
      <x:c r="E11" s="1152"/>
      <x:c r="F11" s="1152"/>
      <x:c r="H11" s="1152" t="str">
        <x:v>Independent labour check</x:v>
      </x:c>
      <x:c r="I11" s="1152"/>
      <x:c r="J11" s="1152"/>
      <x:c r="K11" s="1152"/>
      <x:c r="L11" s="1152"/>
      <x:c r="M11" s="1152"/>
      <x:c r="N11" s="1152"/>
    </x:row>
    <x:row r="12" ht="30" customHeight="1">
      <x:c r="A12" s="1233" t="str">
        <x:v>Metric</x:v>
      </x:c>
      <x:c r="B12" s="1234" t="str">
        <x:v>Amount ($B)</x:v>
      </x:c>
      <x:c r="C12" s="1234" t="str">
        <x:v>Formula / role</x:v>
      </x:c>
      <x:c r="D12" s="1234" t="str">
        <x:v>Official source</x:v>
      </x:c>
      <x:c r="E12" s="1234" t="str">
        <x:v>Vector / key</x:v>
      </x:c>
      <x:c r="F12" s="1235" t="str">
        <x:v>Boundary ruling</x:v>
      </x:c>
      <x:c r="H12" s="1233" t="str">
        <x:v>Metric</x:v>
      </x:c>
      <x:c r="I12" s="1234" t="str">
        <x:v>Amount ($B)</x:v>
      </x:c>
      <x:c r="J12" s="1234" t="str">
        <x:v>Difference ($B)</x:v>
      </x:c>
      <x:c r="K12" s="1234" t="str">
        <x:v>Difference / IO</x:v>
      </x:c>
      <x:c r="L12" s="1234" t="str">
        <x:v>Status</x:v>
      </x:c>
      <x:c r="M12" s="1234" t="str">
        <x:v>Source</x:v>
      </x:c>
      <x:c r="N12" s="1235" t="str">
        <x:v>Vector / ruling</x:v>
      </x:c>
    </x:row>
    <x:row r="13">
      <x:c r="A13" s="1243" t="str">
        <x:v>Official industry output</x:v>
      </x:c>
      <x:c r="B13" s="233" t="n">
        <x:f>'Industry_Input_Summary'!C7</x:f>
        <x:v>134.491196</x:v>
      </x:c>
      <x:c r="C13" s="162" t="str">
        <x:v>Purchaser-price total supply</x:v>
      </x:c>
      <x:c r="D13" s="162" t="str">
        <x:v>Statistics Canada 36-10-0001-01</x:v>
      </x:c>
      <x:c r="E13" s="162" t="str">
        <x:v>v1234853589</x:v>
      </x:c>
      <x:c r="F13" s="1244" t="str">
        <x:v>Exact industry boundary</x:v>
      </x:c>
      <x:c r="H13" s="1243" t="str">
        <x:v>IO employee compensation</x:v>
      </x:c>
      <x:c r="I13" s="233" t="n">
        <x:f>'Labour_Benchmark_2024'!C7</x:f>
        <x:v>9.253668</x:v>
      </x:c>
      <x:c r="J13" s="162"/>
      <x:c r="K13" s="162"/>
      <x:c r="L13" s="162" t="str">
        <x:v>Production-account concept</x:v>
      </x:c>
      <x:c r="M13" s="162" t="str">
        <x:v>Statistics Canada 36-10-0001-01</x:v>
      </x:c>
      <x:c r="N13" s="1244" t="str">
        <x:v>v1234853566 + v1234853571</x:v>
      </x:c>
    </x:row>
    <x:row r="14">
      <x:c r="A14" s="1243" t="str">
        <x:v>Operating expenses / intermediate inputs</x:v>
      </x:c>
      <x:c r="B14" s="233" t="n">
        <x:f>'Industry_Input_Summary'!L7</x:f>
        <x:v>62.224942999999996</x:v>
      </x:c>
      <x:c r="C14" s="162" t="str">
        <x:v>All non-primary input rows at purchaser price</x:v>
      </x:c>
      <x:c r="D14" s="162" t="str">
        <x:v>Statistics Canada 36-10-0001-01</x:v>
      </x:c>
      <x:c r="E14" s="162" t="str">
        <x:v>Sum of purchaser-price non-primary rows</x:v>
      </x:c>
      <x:c r="F14" s="1244" t="str">
        <x:v>Exact industry boundary</x:v>
      </x:c>
      <x:c r="H14" s="1243" t="str">
        <x:v>SNA total compensation — all jobs</x:v>
      </x:c>
      <x:c r="I14" s="233" t="n">
        <x:f>'Labour_Benchmark_2024'!D7</x:f>
        <x:v>9.247617</x:v>
      </x:c>
      <x:c r="J14" s="162"/>
      <x:c r="K14" s="162"/>
      <x:c r="L14" s="162" t="str">
        <x:v>All-jobs compensation concept</x:v>
      </x:c>
      <x:c r="M14" s="162" t="str">
        <x:v>Statistics Canada 36-10-0489-04</x:v>
      </x:c>
      <x:c r="N14" s="1244" t="str">
        <x:v>v65524423</x:v>
      </x:c>
    </x:row>
    <x:row r="15">
      <x:c r="A15" s="1243" t="str">
        <x:v>Labour compensation</x:v>
      </x:c>
      <x:c r="B15" s="233" t="n">
        <x:f>'Industry_Input_Summary'!F7</x:f>
        <x:v>9.253668</x:v>
      </x:c>
      <x:c r="C15" s="162" t="str">
        <x:v>Wages plus employer social contributions</x:v>
      </x:c>
      <x:c r="D15" s="162" t="str">
        <x:v>Statistics Canada 36-10-0001-01</x:v>
      </x:c>
      <x:c r="E15" s="162" t="str">
        <x:v>v1234853566 + v1234853571</x:v>
      </x:c>
      <x:c r="F15" s="1244" t="str">
        <x:v>Exact industry boundary</x:v>
      </x:c>
      <x:c r="H15" s="1243" t="str">
        <x:v>Benchmark minus IO</x:v>
      </x:c>
      <x:c r="I15" s="321" t="n">
        <x:f>I14-I13</x:f>
        <x:v>-0.0060509999999993624</x:v>
      </x:c>
      <x:c r="J15" s="230" t="n">
        <x:f>I15</x:f>
        <x:v>-0.0060509999999993624</x:v>
      </x:c>
      <x:c r="K15" s="162"/>
      <x:c r="L15" s="162" t="str">
        <x:v>Calculated</x:v>
      </x:c>
      <x:c r="M15" s="162" t="str">
        <x:v>Calculated</x:v>
      </x:c>
      <x:c r="N15" s="1244" t="str">
        <x:v>Concept difference is not an adjustment</x:v>
      </x:c>
    </x:row>
    <x:row r="16">
      <x:c r="A16" s="1243" t="str">
        <x:v>Net production taxes</x:v>
      </x:c>
      <x:c r="B16" s="233" t="n">
        <x:f>'Industry_Input_Summary'!I7</x:f>
        <x:v>0.29314400000000007</x:v>
      </x:c>
      <x:c r="C16" s="162" t="str">
        <x:v>Taxes on production plus negative subsidy entry</x:v>
      </x:c>
      <x:c r="D16" s="162" t="str">
        <x:v>Statistics Canada 36-10-0001-01</x:v>
      </x:c>
      <x:c r="E16" s="162" t="str">
        <x:v>v1234853561 + v1234853551</x:v>
      </x:c>
      <x:c r="F16" s="1244" t="str">
        <x:v>Exact industry boundary</x:v>
      </x:c>
      <x:c r="H16" s="1243" t="str">
        <x:v>Absolute difference / IO</x:v>
      </x:c>
      <x:c r="I16" s="1257" t="n">
        <x:f>ABS(I15/I13)</x:f>
        <x:v>0.000653902863167272</x:v>
      </x:c>
      <x:c r="J16" s="162"/>
      <x:c r="K16" s="1080" t="n">
        <x:f>I16</x:f>
        <x:v>0.000653902863167272</x:v>
      </x:c>
      <x:c r="L16" s="162" t="str">
        <x:v>Calculated</x:v>
      </x:c>
      <x:c r="M16" s="162" t="str">
        <x:v>Calculated</x:v>
      </x:c>
      <x:c r="N16" s="1244" t="str">
        <x:v>Measures closeness only</x:v>
      </x:c>
    </x:row>
    <x:row r="17">
      <x:c r="A17" s="1243" t="str">
        <x:v>Gross operating surplus</x:v>
      </x:c>
      <x:c r="B17" s="233" t="n">
        <x:f>'Industry_Input_Summary'!K7</x:f>
        <x:v>62.719441</x:v>
      </x:c>
      <x:c r="C17" s="162" t="str">
        <x:v>Production-account residual before CFC and property income</x:v>
      </x:c>
      <x:c r="D17" s="162" t="str">
        <x:v>Statistics Canada 36-10-0001-01</x:v>
      </x:c>
      <x:c r="E17" s="162" t="str">
        <x:v>v1234853583</x:v>
      </x:c>
      <x:c r="F17" s="1244" t="str">
        <x:v>Exact industry boundary</x:v>
      </x:c>
      <x:c r="H17" s="1245" t="str">
        <x:v>Validation gate</x:v>
      </x:c>
      <x:c r="I17" s="1246" t="str">
        <x:f>IF(I16&lt;=Model_Parameters!$B$8,"PASS","REVIEW")</x:f>
        <x:v>PASS</x:v>
      </x:c>
      <x:c r="J17" s="1221"/>
      <x:c r="K17" s="1221"/>
      <x:c r="L17" s="1221" t="str">
        <x:v>1% validation threshold</x:v>
      </x:c>
      <x:c r="M17" s="1221" t="str">
        <x:v>Validation only</x:v>
      </x:c>
      <x:c r="N17" s="1247" t="str">
        <x:v>Do not replace IO labour automatically</x:v>
      </x:c>
    </x:row>
    <x:row r="18">
      <x:c r="A18" s="1243" t="str">
        <x:v>Reconstructed output</x:v>
      </x:c>
      <x:c r="B18" s="321" t="n">
        <x:f>SUM(B14:B17)</x:f>
        <x:v>134.491196</x:v>
      </x:c>
      <x:c r="C18" s="162" t="str">
        <x:v>Operating inputs + labour + net taxes + GOS</x:v>
      </x:c>
      <x:c r="D18" s="162" t="str">
        <x:v>Calculated</x:v>
      </x:c>
      <x:c r="E18" s="162" t="str">
        <x:v>B14:B17</x:v>
      </x:c>
      <x:c r="F18" s="1244" t="str">
        <x:v>Must equal official output</x:v>
      </x:c>
    </x:row>
    <x:row r="19">
      <x:c r="A19" s="1243" t="str">
        <x:v>Identity difference</x:v>
      </x:c>
      <x:c r="B19" s="321" t="n">
        <x:f>B13-B18</x:f>
        <x:v>0</x:v>
      </x:c>
      <x:c r="C19" s="162" t="str">
        <x:v>Official output less reconstructed output</x:v>
      </x:c>
      <x:c r="D19" s="162" t="str">
        <x:v>Calculated</x:v>
      </x:c>
      <x:c r="E19" s="162" t="str">
        <x:v>B13 - B18</x:v>
      </x:c>
      <x:c r="F19" s="1244" t="str">
        <x:v>Zero required</x:v>
      </x:c>
      <x:c r="H19" s="1176" t="str">
        <x:v>Excluded operating-cost diagnostic</x:v>
      </x:c>
      <x:c r="I19" s="1176"/>
      <x:c r="J19" s="1176"/>
      <x:c r="K19" s="1176"/>
      <x:c r="L19" s="1176"/>
      <x:c r="M19" s="1176"/>
      <x:c r="N19" s="1176"/>
    </x:row>
    <x:row r="20">
      <x:c r="A20" s="1245" t="str">
        <x:v>Identity test</x:v>
      </x:c>
      <x:c r="B20" s="1246" t="str">
        <x:f>IF(ABS(B19)&lt;=Model_Parameters!$B$9,"PASS","FAIL")</x:f>
        <x:v>PASS</x:v>
      </x:c>
      <x:c r="C20" s="1221" t="str">
        <x:v>Tolerance: ±$0.000001B</x:v>
      </x:c>
      <x:c r="D20" s="1221" t="str">
        <x:v>Calculated gate</x:v>
      </x:c>
      <x:c r="E20" s="1221" t="str">
        <x:v>ABS(B19) ≤ 0.000001</x:v>
      </x:c>
      <x:c r="F20" s="1247" t="str">
        <x:v>Industry reconciliation only</x:v>
      </x:c>
      <x:c r="H20" s="1283" t="str">
        <x:v>Whole Canadian oil-and-gas extraction operating costs</x:v>
      </x:c>
      <x:c r="I20" s="1287" t="n">
        <x:v>61.3569</x:v>
      </x:c>
      <x:c r="J20" s="1284" t="str">
        <x:v>$B</x:v>
      </x:c>
      <x:c r="K20" s="1284" t="str">
        <x:v>Statistics Canada 25-10-0065-01</x:v>
      </x:c>
      <x:c r="L20" s="1284" t="str">
        <x:v>v108786041</x:v>
      </x:c>
      <x:c r="M20" s="1290" t="str">
        <x:v>EXCLUDED</x:v>
      </x:c>
      <x:c r="N20" s="1285" t="str">
        <x:v>Boundary covers all oil and gas extraction; it is not used in the oil-sands production identity.</x:v>
      </x:c>
    </x:row>
    <x:row r="23">
      <x:c r="A23" s="1152" t="str">
        <x:v>Produced capital and normal return</x:v>
      </x:c>
      <x:c r="B23" s="1152"/>
      <x:c r="C23" s="1152"/>
      <x:c r="D23" s="1152"/>
      <x:c r="E23" s="1152"/>
      <x:c r="F23" s="1152"/>
      <x:c r="H23" s="1152" t="str">
        <x:v>Commodity-boundary bridge</x:v>
      </x:c>
      <x:c r="I23" s="1152"/>
      <x:c r="J23" s="1152"/>
      <x:c r="K23" s="1152"/>
      <x:c r="L23" s="1152"/>
      <x:c r="M23" s="1152"/>
      <x:c r="N23" s="1152"/>
    </x:row>
    <x:row r="24" ht="28" customHeight="1">
      <x:c r="A24" s="1233" t="str">
        <x:v>Metric</x:v>
      </x:c>
      <x:c r="B24" s="1234" t="str">
        <x:v>Amount / rate</x:v>
      </x:c>
      <x:c r="C24" s="1234" t="str">
        <x:v>Calculation</x:v>
      </x:c>
      <x:c r="D24" s="1234" t="str">
        <x:v>Source</x:v>
      </x:c>
      <x:c r="E24" s="1234" t="str">
        <x:v>Boundary</x:v>
      </x:c>
      <x:c r="F24" s="1235" t="str">
        <x:v>Status</x:v>
      </x:c>
      <x:c r="H24" s="1233" t="str">
        <x:v>Metric</x:v>
      </x:c>
      <x:c r="I24" s="1234" t="str">
        <x:v>Amount / result</x:v>
      </x:c>
      <x:c r="J24" s="1234" t="str">
        <x:v>Unit</x:v>
      </x:c>
      <x:c r="K24" s="1234" t="str">
        <x:v>Source</x:v>
      </x:c>
      <x:c r="L24" s="1234" t="str">
        <x:v>Vector / key</x:v>
      </x:c>
      <x:c r="M24" s="1234" t="str">
        <x:v>Test</x:v>
      </x:c>
      <x:c r="N24" s="1235" t="str">
        <x:v>Ruling</x:v>
      </x:c>
    </x:row>
    <x:row r="25">
      <x:c r="A25" s="1243" t="str">
        <x:v>Allocated consumption of fixed capital</x:v>
      </x:c>
      <x:c r="B25" s="233" t="n">
        <x:f>'Capital_Allocation_2024'!C25</x:f>
        <x:v>16.765656756629014</x:v>
      </x:c>
      <x:c r="C25" s="162" t="str">
        <x:v>CAPEX-proxy allocation of official residual CFC</x:v>
      </x:c>
      <x:c r="D25" s="162" t="str">
        <x:v>Capital_Allocation_2024</x:v>
      </x:c>
      <x:c r="E25" s="162" t="str">
        <x:v>Oil-sands industry proxy; upgrading remains mixed</x:v>
      </x:c>
      <x:c r="F25" s="1401" t="str">
        <x:v>SENSITIVITY ONLY</x:v>
      </x:c>
      <x:c r="H25" s="1243" t="str">
        <x:v>Oil-sands industry output</x:v>
      </x:c>
      <x:c r="I25" s="321" t="n">
        <x:f>B13</x:f>
        <x:v>134.491196</x:v>
      </x:c>
      <x:c r="J25" s="162" t="str">
        <x:v>$B</x:v>
      </x:c>
      <x:c r="K25" s="162" t="str">
        <x:v>Statistics Canada 36-10-0001-01</x:v>
      </x:c>
      <x:c r="L25" s="162" t="str">
        <x:v>v1234853589</x:v>
      </x:c>
      <x:c r="M25" s="162" t="str">
        <x:v>Official industry control</x:v>
      </x:c>
      <x:c r="N25" s="1244" t="str">
        <x:v>Exact industry boundary</x:v>
      </x:c>
    </x:row>
    <x:row r="26">
      <x:c r="A26" s="1243" t="str">
        <x:v>Allocated net produced-capital stock</x:v>
      </x:c>
      <x:c r="B26" s="233" t="n">
        <x:f>'Capital_Allocation_2024'!D25</x:f>
        <x:v>145.87261899135038</x:v>
      </x:c>
      <x:c r="C26" s="162" t="str">
        <x:v>CAPEX-proxy allocation of official residual net stock</x:v>
      </x:c>
      <x:c r="D26" s="162" t="str">
        <x:v>Capital_Allocation_2024</x:v>
      </x:c>
      <x:c r="E26" s="162" t="str">
        <x:v>Oil-sands industry proxy; upgrading remains mixed</x:v>
      </x:c>
      <x:c r="F26" s="1401" t="str">
        <x:v>SENSITIVITY ONLY</x:v>
      </x:c>
      <x:c r="H26" s="1243" t="str">
        <x:v>NRSA crude-bitumen output</x:v>
      </x:c>
      <x:c r="I26" s="233" t="n">
        <x:f>'Commodity_Input_Staging'!D6</x:f>
        <x:v>84.236</x:v>
      </x:c>
      <x:c r="J26" s="162" t="str">
        <x:v>$B</x:v>
      </x:c>
      <x:c r="K26" s="162" t="str">
        <x:v>Statistics Canada NRSA full-table CSV 36100624</x:v>
      </x:c>
      <x:c r="L26" s="162" t="str">
        <x:v>v1663835530</x:v>
      </x:c>
      <x:c r="M26" s="162" t="str">
        <x:v>Official commodity control</x:v>
      </x:c>
      <x:c r="N26" s="1244" t="str">
        <x:v>Narrower commodity boundary</x:v>
      </x:c>
    </x:row>
    <x:row r="27">
      <x:c r="A27" s="1243" t="str">
        <x:v>Real normal-return rate</x:v>
      </x:c>
      <x:c r="B27" s="1084" t="n">
        <x:f>'Capital_Allocation_2024'!E25</x:f>
        <x:v>0.009091666666666665</x:v>
      </x:c>
      <x:c r="C27" s="162" t="str">
        <x:v>5-year GoC yield less annual-average CPI</x:v>
      </x:c>
      <x:c r="D27" s="162" t="str">
        <x:v>Assumptions / Capital_Allocation_2024</x:v>
      </x:c>
      <x:c r="E27" s="162" t="str">
        <x:v>Industry-level rate</x:v>
      </x:c>
      <x:c r="F27" s="1244" t="str">
        <x:v>OBSERVED BENCHMARK</x:v>
      </x:c>
      <x:c r="H27" s="1243" t="str">
        <x:v>Industry less crude-bitumen-only output</x:v>
      </x:c>
      <x:c r="I27" s="321" t="n">
        <x:f>I25-I26</x:f>
        <x:v>50.255196</x:v>
      </x:c>
      <x:c r="J27" s="162" t="str">
        <x:v>$B</x:v>
      </x:c>
      <x:c r="K27" s="162" t="str">
        <x:v>Calculated</x:v>
      </x:c>
      <x:c r="L27" s="162" t="str">
        <x:v>I25 - I26</x:v>
      </x:c>
      <x:c r="M27" s="162" t="str">
        <x:v>Must be explainable before allocation</x:v>
      </x:c>
      <x:c r="N27" s="1244" t="str">
        <x:v>Not a combined-boundary failure; crude-bitumen output excludes synthetic crude and other industry output.</x:v>
      </x:c>
    </x:row>
    <x:row r="28">
      <x:c r="A28" s="1243" t="str">
        <x:v>Normal return</x:v>
      </x:c>
      <x:c r="B28" s="233" t="n">
        <x:f>'Capital_Allocation_2024'!F25</x:f>
        <x:v>1.3262252276630269</x:v>
      </x:c>
      <x:c r="C28" s="162" t="str">
        <x:v>Net stock × real normal-return rate</x:v>
      </x:c>
      <x:c r="D28" s="162" t="str">
        <x:v>Capital_Allocation_2024</x:v>
      </x:c>
      <x:c r="E28" s="162" t="str">
        <x:v>Industry-level return</x:v>
      </x:c>
      <x:c r="F28" s="1244" t="str">
        <x:v>CALCULATED</x:v>
      </x:c>
      <x:c r="H28" s="1243" t="str">
        <x:v>NRSA conventional and synthetic crude output</x:v>
      </x:c>
      <x:c r="I28" s="233" t="n">
        <x:f>'Commodity_Input_Staging'!D5</x:f>
        <x:v>87.276</x:v>
      </x:c>
      <x:c r="J28" s="162" t="str">
        <x:v>$B</x:v>
      </x:c>
      <x:c r="K28" s="162" t="str">
        <x:v>Statistics Canada NRSA full-table CSV 36100624</x:v>
      </x:c>
      <x:c r="L28" s="162" t="str">
        <x:v>v1663835418</x:v>
      </x:c>
      <x:c r="M28" s="162" t="str">
        <x:v>Official mixed commodity control</x:v>
      </x:c>
      <x:c r="N28" s="1244" t="str">
        <x:v>Cannot isolate synthetic crude from conventional crude</x:v>
      </x:c>
    </x:row>
    <x:row r="29">
      <x:c r="A29" s="1243" t="str">
        <x:v>Recalculated normal return</x:v>
      </x:c>
      <x:c r="B29" s="321" t="n">
        <x:f>B26*B27</x:f>
        <x:v>1.3262252276630269</x:v>
      </x:c>
      <x:c r="C29" s="162" t="str">
        <x:v>Independent recalculation</x:v>
      </x:c>
      <x:c r="D29" s="162" t="str">
        <x:v>Calculated</x:v>
      </x:c>
      <x:c r="E29" s="162" t="str">
        <x:v>Same boundary as B26/B27</x:v>
      </x:c>
      <x:c r="F29" s="1244" t="str">
        <x:v>CHECK</x:v>
      </x:c>
      <x:c r="H29" s="1243" t="str">
        <x:v>Synthetic-crude output isolated</x:v>
      </x:c>
      <x:c r="I29" s="162" t="n">
        <x:v>73.987102</x:v>
      </x:c>
      <x:c r="J29" s="162" t="str">
        <x:v>million m³</x:v>
      </x:c>
      <x:c r="K29" s="162" t="str">
        <x:v>Statistics Canada 25-10-0063-01</x:v>
      </x:c>
      <x:c r="L29" s="162" t="str">
        <x:v>2024 synthetic crude production volume</x:v>
      </x:c>
      <x:c r="M29" s="162" t="str">
        <x:v>Physical control only</x:v>
      </x:c>
      <x:c r="N29" s="1244" t="str">
        <x:v>Value and product-specific costs remain unavailable.</x:v>
      </x:c>
    </x:row>
    <x:row r="30">
      <x:c r="A30" s="1243" t="str">
        <x:v>Normal-return difference</x:v>
      </x:c>
      <x:c r="B30" s="321" t="n">
        <x:f>B28-B29</x:f>
        <x:v>0</x:v>
      </x:c>
      <x:c r="C30" s="162" t="str">
        <x:v>Reported less recalculated</x:v>
      </x:c>
      <x:c r="D30" s="162" t="str">
        <x:v>Calculated</x:v>
      </x:c>
      <x:c r="E30" s="162" t="str">
        <x:v>Zero required</x:v>
      </x:c>
      <x:c r="F30" s="1244" t="str">
        <x:v>CHECK</x:v>
      </x:c>
      <x:c r="H30" s="1243" t="str">
        <x:v>Compatible commodity operating expenses</x:v>
      </x:c>
      <x:c r="I30" s="162" t="str">
        <x:v>YES — combined industry</x:v>
      </x:c>
      <x:c r="J30" s="162" t="str">
        <x:v>gate</x:v>
      </x:c>
      <x:c r="K30" s="162" t="str">
        <x:v>Statistics Canada 36-10-0001-01</x:v>
      </x:c>
      <x:c r="L30" s="162" t="str">
        <x:v>NAICS 21114 includes synthetic crude production</x:v>
      </x:c>
      <x:c r="M30" s="162" t="str">
        <x:v>Combined boundary</x:v>
      </x:c>
      <x:c r="N30" s="1244" t="str">
        <x:v>Do not assign these costs to bitumen or SCO separately.</x:v>
      </x:c>
    </x:row>
    <x:row r="31">
      <x:c r="A31" s="1243" t="str">
        <x:v>CFC cross-sheet difference</x:v>
      </x:c>
      <x:c r="B31" s="321" t="n">
        <x:f>B25-'Industry_Input_Summary'!M7</x:f>
        <x:v>0</x:v>
      </x:c>
      <x:c r="C31" s="162" t="str">
        <x:v>Capital sheet less industry summary</x:v>
      </x:c>
      <x:c r="D31" s="162" t="str">
        <x:v>Cross-sheet check</x:v>
      </x:c>
      <x:c r="E31" s="162" t="str">
        <x:v>Zero required</x:v>
      </x:c>
      <x:c r="F31" s="1244" t="str">
        <x:v>CHECK</x:v>
      </x:c>
      <x:c r="H31" s="1243" t="str">
        <x:v>Compatible commodity CFC and net stock</x:v>
      </x:c>
      <x:c r="I31" s="162" t="str">
        <x:v>NO</x:v>
      </x:c>
      <x:c r="J31" s="162" t="str">
        <x:v>gate</x:v>
      </x:c>
      <x:c r="K31" s="162" t="str">
        <x:v>Industry capital cannot be assigned to crude bitumen</x:v>
      </x:c>
      <x:c r="L31" s="162" t="str">
        <x:v>CAPEX proxy is industry-level</x:v>
      </x:c>
      <x:c r="M31" s="162" t="str">
        <x:v>Required</x:v>
      </x:c>
      <x:c r="N31" s="1244" t="str">
        <x:v>Do not use industry capital as commodity capital</x:v>
      </x:c>
    </x:row>
    <x:row r="32">
      <x:c r="A32" s="1243" t="str">
        <x:v>Net-stock cross-sheet difference</x:v>
      </x:c>
      <x:c r="B32" s="321" t="n">
        <x:f>B26-'Industry_Input_Summary'!N7</x:f>
        <x:v>0</x:v>
      </x:c>
      <x:c r="C32" s="162" t="str">
        <x:v>Capital sheet less industry summary</x:v>
      </x:c>
      <x:c r="D32" s="162" t="str">
        <x:v>Cross-sheet check</x:v>
      </x:c>
      <x:c r="E32" s="162" t="str">
        <x:v>Zero required</x:v>
      </x:c>
      <x:c r="F32" s="1244" t="str">
        <x:v>CHECK</x:v>
      </x:c>
      <x:c r="H32" s="1243" t="str">
        <x:v>Boundary compatibility gate</x:v>
      </x:c>
      <x:c r="I32" s="1218" t="str">
        <x:v>PARTIAL</x:v>
      </x:c>
      <x:c r="J32" s="162" t="str">
        <x:v>gate</x:v>
      </x:c>
      <x:c r="K32" s="162" t="str">
        <x:v>Calculated evidence gate</x:v>
      </x:c>
      <x:c r="L32" s="162" t="str">
        <x:v>Same output/cost/capital boundary required</x:v>
      </x:c>
      <x:c r="M32" s="162" t="str">
        <x:v>FAIL</x:v>
      </x:c>
      <x:c r="N32" s="1244" t="str">
        <x:v>Combined industry output and costs align; direct capital and product decomposition remain open.</x:v>
      </x:c>
    </x:row>
    <x:row r="33">
      <x:c r="A33" s="1243" t="str">
        <x:v>Capital arithmetic / allocation gate</x:v>
      </x:c>
      <x:c r="B33" s="1405" t="str">
        <x:v>PARTIAL</x:v>
      </x:c>
      <x:c r="C33" s="162" t="str">
        <x:v>Cross-sheet arithmetic passes; detailed allocation proxy fails v0.15 stress test</x:v>
      </x:c>
      <x:c r="D33" s="162" t="str">
        <x:v>Capital_Proxy_Stress_Test</x:v>
      </x:c>
      <x:c r="E33" s="162" t="str">
        <x:v>Sensitivity only</x:v>
      </x:c>
      <x:c r="F33" s="1244" t="str">
        <x:v>GATED</x:v>
      </x:c>
      <x:c r="H33" s="1243" t="str">
        <x:v>Commodity-rent publication</x:v>
      </x:c>
      <x:c r="I33" s="1265" t="str">
        <x:v>LOCKED</x:v>
      </x:c>
      <x:c r="J33" s="162" t="str">
        <x:v>gate</x:v>
      </x:c>
      <x:c r="K33" s="162" t="str">
        <x:v>Governance lock</x:v>
      </x:c>
      <x:c r="L33" s="162" t="str">
        <x:v>No commodity rent may be emitted</x:v>
      </x:c>
      <x:c r="M33" s="162" t="str">
        <x:v>LOCKED</x:v>
      </x:c>
      <x:c r="N33" s="1244" t="str">
        <x:v>Calculated industry surplus remains diagnostic</x:v>
      </x:c>
    </x:row>
    <x:row r="34">
      <x:c r="A34" s="1245" t="str">
        <x:v>Industry surplus after CFC and normal return</x:v>
      </x:c>
      <x:c r="B34" s="1262" t="n">
        <x:f>B17-B25-B28</x:f>
        <x:v>44.627559015707966</x:v>
      </x:c>
      <x:c r="C34" s="1221" t="str">
        <x:v>GOS − CFC − normal return</x:v>
      </x:c>
      <x:c r="D34" s="1221" t="str">
        <x:v>Calculated diagnostic</x:v>
      </x:c>
      <x:c r="E34" s="1221" t="str">
        <x:v>Not commodity economic rent</x:v>
      </x:c>
      <x:c r="F34" s="1247" t="str">
        <x:v>DIAGNOSTIC ONLY</x:v>
      </x:c>
      <x:c r="H34" s="1245" t="str">
        <x:v>Required replacement evidence</x:v>
      </x:c>
      <x:c r="I34" s="1221" t="str">
        <x:v>Product-by-industry output and cost/capital split for crude bitumen versus synthetic crude/upgrading</x:v>
      </x:c>
      <x:c r="J34" s="1221" t="str">
        <x:v>evidence</x:v>
      </x:c>
      <x:c r="K34" s="1221" t="str">
        <x:v>Decisive evidence requirement</x:v>
      </x:c>
      <x:c r="L34" s="1221" t="str">
        <x:v>A compatible commodity supply-use or validated allocation bridge</x:v>
      </x:c>
      <x:c r="M34" s="1221" t="str">
        <x:v>OPEN</x:v>
      </x:c>
      <x:c r="N34" s="1247" t="str">
        <x:v>Next decisive work</x:v>
      </x:c>
    </x:row>
    <x:row r="38">
      <x:c r="A38" s="1152" t="str">
        <x:v>Publication gate and terminal ruling</x:v>
      </x:c>
      <x:c r="B38" s="1152"/>
      <x:c r="C38" s="1152"/>
      <x:c r="D38" s="1152"/>
      <x:c r="E38" s="1152"/>
      <x:c r="F38" s="1152"/>
      <x:c r="G38" s="1152"/>
      <x:c r="H38" s="1152"/>
      <x:c r="I38" s="1152"/>
      <x:c r="J38" s="1152"/>
      <x:c r="K38" s="1152"/>
      <x:c r="L38" s="1152"/>
      <x:c r="M38" s="1152"/>
      <x:c r="N38" s="1152"/>
    </x:row>
    <x:row r="39">
      <x:c r="A39" s="1233" t="str">
        <x:v>Requirement</x:v>
      </x:c>
      <x:c r="B39" s="1234" t="str">
        <x:v>Test</x:v>
      </x:c>
      <x:c r="C39" s="1234" t="str">
        <x:v>Result</x:v>
      </x:c>
      <x:c r="D39" s="1234" t="str">
        <x:v>Evidence / next action</x:v>
      </x:c>
      <x:c r="E39" s="1234"/>
      <x:c r="F39" s="1234"/>
      <x:c r="G39" s="1234"/>
      <x:c r="H39" s="1234"/>
      <x:c r="I39" s="1234"/>
      <x:c r="J39" s="1234"/>
      <x:c r="K39" s="1234"/>
      <x:c r="L39" s="1234"/>
      <x:c r="M39" s="1234"/>
      <x:c r="N39" s="1235"/>
    </x:row>
    <x:row r="40" ht="30" customHeight="1">
      <x:c r="A40" s="1243" t="str">
        <x:v>Same year and geography</x:v>
      </x:c>
      <x:c r="B40" s="162" t="str">
        <x:v>2024 / Canada</x:v>
      </x:c>
      <x:c r="C40" s="1215" t="str">
        <x:v>PASS</x:v>
      </x:c>
      <x:c r="D40" s="162" t="str">
        <x:v>All controls are national 2024 observations or disclosed 2024 proxy allocations.</x:v>
      </x:c>
      <x:c r="E40" s="162"/>
      <x:c r="F40" s="162"/>
      <x:c r="G40" s="162"/>
      <x:c r="H40" s="162"/>
      <x:c r="I40" s="162"/>
      <x:c r="J40" s="162"/>
      <x:c r="K40" s="162"/>
      <x:c r="L40" s="162"/>
      <x:c r="M40" s="162"/>
      <x:c r="N40" s="1244"/>
    </x:row>
    <x:row r="41" ht="30" customHeight="1">
      <x:c r="A41" s="1243" t="str">
        <x:v>Industry production identity</x:v>
      </x:c>
      <x:c r="B41" s="162" t="str">
        <x:v>B13 = SUM(B14:B17)</x:v>
      </x:c>
      <x:c r="C41" s="1215" t="str">
        <x:f>B20</x:f>
        <x:v>PASS</x:v>
      </x:c>
      <x:c r="D41" s="162" t="str">
        <x:v>Exact zero-difference reconciliation.</x:v>
      </x:c>
      <x:c r="E41" s="162"/>
      <x:c r="F41" s="162"/>
      <x:c r="G41" s="162"/>
      <x:c r="H41" s="162"/>
      <x:c r="I41" s="162"/>
      <x:c r="J41" s="162"/>
      <x:c r="K41" s="162"/>
      <x:c r="L41" s="162"/>
      <x:c r="M41" s="162"/>
      <x:c r="N41" s="1244"/>
    </x:row>
    <x:row r="42" ht="30" customHeight="1">
      <x:c r="A42" s="1243" t="str">
        <x:v>Independent labour cross-check</x:v>
      </x:c>
      <x:c r="B42" s="162" t="str">
        <x:v>Difference ≤ 1% of IO labour</x:v>
      </x:c>
      <x:c r="C42" s="1215" t="str">
        <x:v>PASS</x:v>
      </x:c>
      <x:c r="D42" s="162" t="str">
        <x:v>Benchmark validates scale; concepts remain distinct.</x:v>
      </x:c>
      <x:c r="E42" s="162"/>
      <x:c r="F42" s="162"/>
      <x:c r="G42" s="162"/>
      <x:c r="H42" s="162"/>
      <x:c r="I42" s="162"/>
      <x:c r="J42" s="162"/>
      <x:c r="K42" s="162"/>
      <x:c r="L42" s="162"/>
      <x:c r="M42" s="162"/>
      <x:c r="N42" s="1244"/>
    </x:row>
    <x:row r="43" ht="30" customHeight="1">
      <x:c r="A43" s="1243" t="str">
        <x:v>CFC, stock and normal return</x:v>
      </x:c>
      <x:c r="B43" s="162" t="str">
        <x:v>Arithmetic differences = 0</x:v>
      </x:c>
      <x:c r="C43" s="1405" t="str">
        <x:v>PARTIAL</x:v>
      </x:c>
      <x:c r="D43" s="162" t="str">
        <x:v>Cross-sheet arithmetic reconciles, but one-year CAPEX shares are sensitivity controls rather than point estimates.</x:v>
      </x:c>
      <x:c r="E43" s="162"/>
      <x:c r="F43" s="162"/>
      <x:c r="G43" s="162"/>
      <x:c r="H43" s="162"/>
      <x:c r="I43" s="162"/>
      <x:c r="J43" s="162"/>
      <x:c r="K43" s="162"/>
      <x:c r="L43" s="162"/>
      <x:c r="M43" s="162"/>
      <x:c r="N43" s="1244"/>
    </x:row>
    <x:row r="44" ht="30" customHeight="1">
      <x:c r="A44" s="1243" t="str">
        <x:v>Output and cost boundary match</x:v>
      </x:c>
      <x:c r="B44" s="162" t="str">
        <x:v>Industry = commodity</x:v>
      </x:c>
      <x:c r="C44" s="1218" t="str">
        <x:v>PARTIAL</x:v>
      </x:c>
      <x:c r="D44" s="162" t="str">
        <x:v>Combined NAICS 21114 industry output and costs align; crude-bitumen-only output is narrower and cannot be used alone.</x:v>
      </x:c>
      <x:c r="E44" s="162"/>
      <x:c r="F44" s="162"/>
      <x:c r="G44" s="162"/>
      <x:c r="H44" s="162"/>
      <x:c r="I44" s="162"/>
      <x:c r="J44" s="162"/>
      <x:c r="K44" s="162"/>
      <x:c r="L44" s="162"/>
      <x:c r="M44" s="162"/>
      <x:c r="N44" s="1244"/>
    </x:row>
    <x:row r="45" ht="30" customHeight="1">
      <x:c r="A45" s="1243" t="str">
        <x:v>Synthetic-crude/upgrading split</x:v>
      </x:c>
      <x:c r="B45" s="162" t="str">
        <x:v>Separate official output and cost/capital bridge</x:v>
      </x:c>
      <x:c r="C45" s="1218" t="str">
        <x:v>FAIL</x:v>
      </x:c>
      <x:c r="D45" s="162" t="str">
        <x:v>Not present in the current evidence package.</x:v>
      </x:c>
      <x:c r="E45" s="162"/>
      <x:c r="F45" s="162"/>
      <x:c r="G45" s="162"/>
      <x:c r="H45" s="162"/>
      <x:c r="I45" s="162"/>
      <x:c r="J45" s="162"/>
      <x:c r="K45" s="162"/>
      <x:c r="L45" s="162"/>
      <x:c r="M45" s="162"/>
      <x:c r="N45" s="1244"/>
    </x:row>
    <x:row r="46" ht="30" customHeight="1">
      <x:c r="A46" s="1243" t="str">
        <x:v>Commodity economic rent authorized</x:v>
      </x:c>
      <x:c r="B46" s="162" t="str">
        <x:v>Every mandatory gate passes</x:v>
      </x:c>
      <x:c r="C46" s="1265" t="str">
        <x:v>NO</x:v>
      </x:c>
      <x:c r="D46" s="162" t="str">
        <x:v>Direct compatible NAICS 21114 CFC/net stock remains missing; no economic-rent publication.</x:v>
      </x:c>
      <x:c r="E46" s="162"/>
      <x:c r="F46" s="162"/>
      <x:c r="G46" s="162"/>
      <x:c r="H46" s="162"/>
      <x:c r="I46" s="162"/>
      <x:c r="J46" s="162"/>
      <x:c r="K46" s="162"/>
      <x:c r="L46" s="162"/>
      <x:c r="M46" s="162"/>
      <x:c r="N46" s="1244"/>
    </x:row>
    <x:row r="47" ht="30" customHeight="1">
      <x:c r="A47" s="1243" t="str">
        <x:v>Terminal state</x:v>
      </x:c>
      <x:c r="B47" s="162" t="str">
        <x:v>Industry bridge complete; commodity boundary unresolved</x:v>
      </x:c>
      <x:c r="C47" s="1265" t="str">
        <x:v>PASS_WITH_DISCLOSED_LIMITS</x:v>
      </x:c>
      <x:c r="D47" s="162" t="str">
        <x:v>INDUSTRY_BRIDGE_PASS__COMMODITY_RENT_LOCKED</x:v>
      </x:c>
      <x:c r="E47" s="162"/>
      <x:c r="F47" s="162"/>
      <x:c r="G47" s="162"/>
      <x:c r="H47" s="162"/>
      <x:c r="I47" s="162"/>
      <x:c r="J47" s="162"/>
      <x:c r="K47" s="162"/>
      <x:c r="L47" s="162"/>
      <x:c r="M47" s="162"/>
      <x:c r="N47" s="1244"/>
    </x:row>
    <x:row r="48" ht="30" customHeight="1">
      <x:c r="A48" s="1243" t="str">
        <x:v>Next decisive evidence</x:v>
      </x:c>
      <x:c r="B48" s="162" t="str">
        <x:v>Direct combined-boundary capital evidence</x:v>
      </x:c>
      <x:c r="C48" s="1270" t="str">
        <x:v>OPEN</x:v>
      </x:c>
      <x:c r="D48" s="162" t="str">
        <x:v>Obtain direct NAICS 21114 CFC and net stock or a verified public reconstruction. Product decomposition is a secondary requirement for separate bitumen and SCO rents.</x:v>
      </x:c>
      <x:c r="E48" s="162"/>
      <x:c r="F48" s="162"/>
      <x:c r="G48" s="162"/>
      <x:c r="H48" s="162"/>
      <x:c r="I48" s="162"/>
      <x:c r="J48" s="162"/>
      <x:c r="K48" s="162"/>
      <x:c r="L48" s="162"/>
      <x:c r="M48" s="162"/>
      <x:c r="N48" s="1244"/>
    </x:row>
    <x:row r="49" ht="30" customHeight="1">
      <x:c r="A49" s="1245"/>
      <x:c r="B49" s="1221"/>
      <x:c r="C49" s="1271"/>
      <x:c r="D49" s="1221"/>
      <x:c r="E49" s="1221"/>
      <x:c r="F49" s="1221"/>
      <x:c r="G49" s="1221"/>
      <x:c r="H49" s="1221"/>
      <x:c r="I49" s="1221"/>
      <x:c r="J49" s="1221"/>
      <x:c r="K49" s="1221"/>
      <x:c r="L49" s="1221"/>
      <x:c r="M49" s="1221"/>
      <x:c r="N49" s="1247"/>
    </x:row>
    <x:row r="52">
      <x:c r="A52" s="1152" t="str">
        <x:v>Source map</x:v>
      </x:c>
      <x:c r="B52" s="1152"/>
      <x:c r="C52" s="1152"/>
      <x:c r="D52" s="1152"/>
      <x:c r="E52" s="1152"/>
      <x:c r="F52" s="1152"/>
      <x:c r="G52" s="1152"/>
      <x:c r="H52" s="1152"/>
      <x:c r="I52" s="1152"/>
      <x:c r="J52" s="1152"/>
      <x:c r="K52" s="1152"/>
      <x:c r="L52" s="1152"/>
      <x:c r="M52" s="1152"/>
      <x:c r="N52" s="1152"/>
    </x:row>
    <x:row r="53">
      <x:c r="A53" s="1233" t="str">
        <x:v>Source ID</x:v>
      </x:c>
      <x:c r="B53" s="1234" t="str">
        <x:v>Dataset</x:v>
      </x:c>
      <x:c r="C53" s="1234" t="str">
        <x:v>Reference year</x:v>
      </x:c>
      <x:c r="D53" s="1234" t="str">
        <x:v>Local artifact</x:v>
      </x:c>
      <x:c r="E53" s="1234" t="str">
        <x:v>Official URL</x:v>
      </x:c>
      <x:c r="F53" s="1234" t="str">
        <x:v>Use</x:v>
      </x:c>
      <x:c r="G53" s="1234" t="str">
        <x:v>Boundary ruling</x:v>
      </x:c>
      <x:c r="H53" s="1234"/>
      <x:c r="I53" s="1234"/>
      <x:c r="J53" s="1234"/>
      <x:c r="K53" s="1234"/>
      <x:c r="L53" s="1234"/>
      <x:c r="M53" s="1234"/>
      <x:c r="N53" s="1235"/>
    </x:row>
    <x:row r="54" ht="36" customHeight="1">
      <x:c r="A54" s="1243" t="str">
        <x:v>OS-001</x:v>
      </x:c>
      <x:c r="B54" s="162" t="str">
        <x:v>Statistics Canada input-output tables 36-10-0001-01</x:v>
      </x:c>
      <x:c r="C54" s="162" t="n">
        <x:v>2024</x:v>
      </x:c>
      <x:c r="D54" s="162" t="str">
        <x:v>io_target_rows_2024.csv</x:v>
      </x:c>
      <x:c r="E54" s="1276" t="str">
        <x:v>https://www150.statcan.gc.ca/n1/en/catalogue/3610000101</x:v>
      </x:c>
      <x:c r="F54" s="162" t="str">
        <x:v>Industry output, intermediate inputs, labour, production taxes and GOS</x:v>
      </x:c>
      <x:c r="G54" s="162" t="str">
        <x:v>Exact oil-sands industry boundary; not crude-bitumen commodity boundary</x:v>
      </x:c>
      <x:c r="H54" s="162"/>
      <x:c r="I54" s="162"/>
      <x:c r="J54" s="162"/>
      <x:c r="K54" s="162"/>
      <x:c r="L54" s="162"/>
      <x:c r="M54" s="162"/>
      <x:c r="N54" s="1244"/>
    </x:row>
    <x:row r="55" ht="36" customHeight="1">
      <x:c r="A55" s="1243" t="str">
        <x:v>OS-002</x:v>
      </x:c>
      <x:c r="B55" s="162" t="str">
        <x:v>Statistics Canada Natural Resources Satellite Account full-table CSV 36100624</x:v>
      </x:c>
      <x:c r="C55" s="162" t="n">
        <x:v>2024</x:v>
      </x:c>
      <x:c r="D55" s="162" t="str">
        <x:v>nrsa_target_rows_2024.csv</x:v>
      </x:c>
      <x:c r="E55" s="1276" t="str">
        <x:v>https://www150.statcan.gc.ca/n1/tbl/csv/36100624-eng.zip</x:v>
      </x:c>
      <x:c r="F55" s="162" t="str">
        <x:v>Crude-bitumen and conventional-plus-synthetic-crude output controls</x:v>
      </x:c>
      <x:c r="G55" s="162" t="str">
        <x:v>Official commodity controls; synthetic crude is not isolated</x:v>
      </x:c>
      <x:c r="H55" s="162"/>
      <x:c r="I55" s="162"/>
      <x:c r="J55" s="162"/>
      <x:c r="K55" s="162"/>
      <x:c r="L55" s="162"/>
      <x:c r="M55" s="162"/>
      <x:c r="N55" s="1244"/>
    </x:row>
    <x:row r="56" ht="36" customHeight="1">
      <x:c r="A56" s="1243" t="str">
        <x:v>OS-003</x:v>
      </x:c>
      <x:c r="B56" s="162" t="str">
        <x:v>Statistics Canada labour benchmark full-table CSV 36100489</x:v>
      </x:c>
      <x:c r="C56" s="162" t="n">
        <x:v>2024</x:v>
      </x:c>
      <x:c r="D56" s="162" t="str">
        <x:v>labour_target_rows_2024.csv</x:v>
      </x:c>
      <x:c r="E56" s="1276" t="str">
        <x:v>https://www150.statcan.gc.ca/n1/tbl/csv/36100489-eng.zip</x:v>
      </x:c>
      <x:c r="F56" s="162" t="str">
        <x:v>Independent all-jobs compensation check</x:v>
      </x:c>
      <x:c r="G56" s="162" t="str">
        <x:v>Validation only; raw thousands-of-dollars value converted correctly</x:v>
      </x:c>
      <x:c r="H56" s="162"/>
      <x:c r="I56" s="162"/>
      <x:c r="J56" s="162"/>
      <x:c r="K56" s="162"/>
      <x:c r="L56" s="162"/>
      <x:c r="M56" s="162"/>
      <x:c r="N56" s="1244"/>
    </x:row>
    <x:row r="57" ht="36" customHeight="1">
      <x:c r="A57" s="1243" t="str">
        <x:v>OS-004</x:v>
      </x:c>
      <x:c r="B57" s="162" t="str">
        <x:v>Statistics Canada capital stocks 36-10-0096-01</x:v>
      </x:c>
      <x:c r="C57" s="162" t="n">
        <x:v>2024</x:v>
      </x:c>
      <x:c r="D57" s="162" t="str">
        <x:v>capital_target_rows_2024.csv</x:v>
      </x:c>
      <x:c r="E57" s="1276" t="str">
        <x:v>https://www150.statcan.gc.ca/n1/en/catalogue/3610009601</x:v>
      </x:c>
      <x:c r="F57" s="162" t="str">
        <x:v>Official aggregate CFC and net-stock controls feeding the proxy allocation</x:v>
      </x:c>
      <x:c r="G57" s="162" t="str">
        <x:v>Oil-sands allocation remains provisional</x:v>
      </x:c>
      <x:c r="H57" s="162"/>
      <x:c r="I57" s="162"/>
      <x:c r="J57" s="162"/>
      <x:c r="K57" s="162"/>
      <x:c r="L57" s="162"/>
      <x:c r="M57" s="162"/>
      <x:c r="N57" s="1244"/>
    </x:row>
    <x:row r="58" ht="36" customHeight="1">
      <x:c r="A58" s="1243" t="str">
        <x:v>OS-005</x:v>
      </x:c>
      <x:c r="B58" s="162" t="str">
        <x:v>Statistics Canada supply and disposition of crude oil 25-10-0063-01</x:v>
      </x:c>
      <x:c r="C58" s="162" t="n">
        <x:v>2024</x:v>
      </x:c>
      <x:c r="D58" s="162" t="str">
        <x:v>deep-research verification</x:v>
      </x:c>
      <x:c r="E58" s="1276" t="str">
        <x:v>https://www.statcan.gc.ca/o1/en/plus/9188-canadian-crude-oil-reaches-new-heights-2025</x:v>
      </x:c>
      <x:c r="F58" s="162" t="str">
        <x:v>Non-upgraded bitumen and synthetic-crude physical volumes</x:v>
      </x:c>
      <x:c r="G58" s="162" t="str">
        <x:v>Physical control; not monetary output/cost</x:v>
      </x:c>
      <x:c r="H58" s="162"/>
      <x:c r="I58" s="162"/>
      <x:c r="J58" s="162"/>
      <x:c r="K58" s="162"/>
      <x:c r="L58" s="162"/>
      <x:c r="M58" s="162"/>
      <x:c r="N58" s="1244"/>
    </x:row>
    <x:row r="59" ht="36" customHeight="1">
      <x:c r="A59" s="1245" t="str">
        <x:v>OS-006</x:v>
      </x:c>
      <x:c r="B59" s="1221" t="str">
        <x:v>NAICS 2022 definitions for oil-sands extraction [21114]</x:v>
      </x:c>
      <x:c r="C59" s="1221" t="n">
        <x:v>2022</x:v>
      </x:c>
      <x:c r="D59" s="1221" t="str">
        <x:v>classification verification</x:v>
      </x:c>
      <x:c r="E59" s="1277" t="str">
        <x:v>https://www23.statcan.gc.ca/imdb/p3VD.pl?CLV=1&amp;CPV=21114&amp;CST=27012022&amp;CVD=1370274&amp;D=1&amp;Function=getVD&amp;MLV=5&amp;TVD=1369825&amp;wbdisable=true</x:v>
      </x:c>
      <x:c r="F59" s="1221" t="str">
        <x:v>Confirms synthetic crude production is included in oil-sands extraction</x:v>
      </x:c>
      <x:c r="G59" s="1221" t="str">
        <x:v>Corrects prior upgrading-boundary interpretation</x:v>
      </x:c>
      <x:c r="H59" s="1221"/>
      <x:c r="I59" s="1221"/>
      <x:c r="J59" s="1221"/>
      <x:c r="K59" s="1221"/>
      <x:c r="L59" s="1221"/>
      <x:c r="M59" s="1221"/>
      <x:c r="N59" s="1247"/>
    </x:row>
  </x:sheetData>
  <x:mergeCells>
    <x:mergeCell ref="A1:N1"/>
    <x:mergeCell ref="A2:N2"/>
    <x:mergeCell ref="A4:N4"/>
    <x:mergeCell ref="A11:F11"/>
    <x:mergeCell ref="H11:N11"/>
    <x:mergeCell ref="A23:F23"/>
    <x:mergeCell ref="H23:N23"/>
    <x:mergeCell ref="A38:N38"/>
    <x:mergeCell ref="D39:N39"/>
    <x:mergeCell ref="D40:N40"/>
    <x:mergeCell ref="D41:N41"/>
    <x:mergeCell ref="D42:N42"/>
    <x:mergeCell ref="D43:N43"/>
    <x:mergeCell ref="D44:N44"/>
    <x:mergeCell ref="D45:N45"/>
    <x:mergeCell ref="D46:N46"/>
    <x:mergeCell ref="D47:N47"/>
    <x:mergeCell ref="D48:N48"/>
    <x:mergeCell ref="A52:N52"/>
    <x:mergeCell ref="G53:N53"/>
    <x:mergeCell ref="G54:N54"/>
    <x:mergeCell ref="G55:N55"/>
    <x:mergeCell ref="G56:N56"/>
    <x:mergeCell ref="G57:N57"/>
    <x:mergeCell ref="G58:N58"/>
    <x:mergeCell ref="G59:N59"/>
    <x:mergeCell ref="H19:N19"/>
  </x:mergeCells>
  <x:pageMargins left="0.7" right="0.7" top="0.75" bottom="0.75" header="0.3" footer="0.3"/>
</x:worksheet>
</file>

<file path=xl/worksheets/sheet42.xml><?xml version="1.0" encoding="utf-8"?>
<x:worksheet xmlns:x="http://schemas.openxmlformats.org/spreadsheetml/2006/main">
  <x:sheetFormatPr defaultRowHeight="15"/>
  <x:cols>
    <x:col min="1" max="1" width="24" hidden="0" customWidth="1"/>
    <x:col min="2" max="2" width="15" hidden="0" customWidth="1"/>
    <x:col min="3" max="3" width="24" hidden="0" customWidth="1"/>
    <x:col min="4" max="4" width="15" hidden="0" customWidth="1"/>
    <x:col min="5" max="5" width="12" hidden="0" customWidth="1"/>
    <x:col min="6" max="6" width="12" hidden="0" customWidth="1"/>
    <x:col min="7" max="7" width="14" hidden="0" customWidth="1"/>
    <x:col min="8" max="8" width="14" hidden="0" customWidth="1"/>
    <x:col min="9" max="9" width="15" hidden="0" customWidth="1"/>
    <x:col min="10" max="10" width="15" hidden="0" customWidth="1"/>
    <x:col min="11" max="11" width="16" hidden="0" customWidth="1"/>
    <x:col min="12" max="12" width="15" hidden="0" customWidth="1"/>
    <x:col min="13" max="13" width="16" hidden="0" customWidth="1"/>
    <x:col min="14" max="14" width="14" hidden="0" customWidth="1"/>
    <x:col min="15" max="15" width="16" hidden="0" customWidth="1"/>
    <x:col min="16" max="16" width="17" hidden="0" customWidth="1"/>
    <x:col min="17" max="17" width="14" hidden="0" customWidth="1"/>
    <x:col min="18" max="18" width="24" hidden="0" customWidth="1"/>
  </x:cols>
  <x:sheetData>
    <x:row r="1" ht="24" customHeight="1">
      <x:c r="A1" s="1360" t="str">
        <x:v>2024 Produced-Capital Proxy Stress Test</x:v>
      </x:c>
      <x:c r="B1" s="1360"/>
      <x:c r="C1" s="1360"/>
      <x:c r="D1" s="1360"/>
      <x:c r="E1" s="1360"/>
      <x:c r="F1" s="1360"/>
      <x:c r="G1" s="1360"/>
      <x:c r="H1" s="1360"/>
      <x:c r="I1" s="1360"/>
      <x:c r="J1" s="1360"/>
      <x:c r="K1" s="1360"/>
      <x:c r="L1" s="1360"/>
      <x:c r="M1" s="1360"/>
      <x:c r="N1" s="1360"/>
      <x:c r="O1" s="1360"/>
      <x:c r="P1" s="1360"/>
      <x:c r="Q1" s="1360"/>
      <x:c r="R1" s="1360"/>
    </x:row>
    <x:row r="2" ht="34" customHeight="1">
      <x:c r="A2" s="1361" t="str">
        <x:v>The official residual CFC and net-stock totals reconcile under every allocation shown. This sheet tests whether one year of tangible CAPEX is a defensible point allocator for accumulated produced capital. It is not a commodity economic-rent table.</x:v>
      </x:c>
      <x:c r="B2" s="1361"/>
      <x:c r="C2" s="1361"/>
      <x:c r="D2" s="1361"/>
      <x:c r="E2" s="1361"/>
      <x:c r="F2" s="1361"/>
      <x:c r="G2" s="1361"/>
      <x:c r="H2" s="1361"/>
      <x:c r="I2" s="1361"/>
      <x:c r="J2" s="1361"/>
      <x:c r="K2" s="1361"/>
      <x:c r="L2" s="1361"/>
      <x:c r="M2" s="1361"/>
      <x:c r="N2" s="1361"/>
      <x:c r="O2" s="1361"/>
      <x:c r="P2" s="1361"/>
      <x:c r="Q2" s="1361"/>
      <x:c r="R2" s="1361"/>
    </x:row>
    <x:row r="3">
      <x:c r="A3" s="1031"/>
      <x:c r="B3" s="1031"/>
      <x:c r="C3" s="1031"/>
      <x:c r="D3" s="1031"/>
      <x:c r="E3" s="1031"/>
      <x:c r="F3" s="1031"/>
      <x:c r="G3" s="1031"/>
      <x:c r="H3" s="1031"/>
      <x:c r="I3" s="1031"/>
      <x:c r="J3" s="1031"/>
      <x:c r="K3" s="1031"/>
      <x:c r="L3" s="1031"/>
      <x:c r="M3" s="1031"/>
      <x:c r="N3" s="1031"/>
      <x:c r="O3" s="1031"/>
      <x:c r="P3" s="1031"/>
      <x:c r="Q3" s="1031"/>
      <x:c r="R3" s="1031"/>
    </x:row>
    <x:row r="4">
      <x:c r="A4" s="1362" t="str">
        <x:v>Residual allocation comparison</x:v>
      </x:c>
      <x:c r="B4" s="1362"/>
      <x:c r="C4" s="1362"/>
      <x:c r="D4" s="1362"/>
      <x:c r="E4" s="1362"/>
      <x:c r="F4" s="1362"/>
      <x:c r="G4" s="1362"/>
      <x:c r="H4" s="1362"/>
      <x:c r="I4" s="1362"/>
      <x:c r="J4" s="1362"/>
      <x:c r="K4" s="1362"/>
      <x:c r="L4" s="1362"/>
      <x:c r="M4" s="1362"/>
      <x:c r="N4" s="1362"/>
      <x:c r="O4" s="1362"/>
      <x:c r="P4" s="1362"/>
      <x:c r="Q4" s="1362"/>
      <x:c r="R4" s="1362"/>
    </x:row>
    <x:row r="5" ht="36" customHeight="1">
      <x:c r="A5" s="1363" t="str">
        <x:v>Allocation category</x:v>
      </x:c>
      <x:c r="B5" s="1363" t="str">
        <x:v>Industry output control ($B)</x:v>
      </x:c>
      <x:c r="C5" s="1363" t="str">
        <x:v>Output source / construction</x:v>
      </x:c>
      <x:c r="D5" s="1363" t="str">
        <x:v>2024 CAPEX proxy ($B)</x:v>
      </x:c>
      <x:c r="E5" s="1363" t="str">
        <x:v>CAPEX share</x:v>
      </x:c>
      <x:c r="F5" s="1363" t="str">
        <x:v>Output share</x:v>
      </x:c>
      <x:c r="G5" s="1363" t="str">
        <x:v>CAPEX share / output share</x:v>
      </x:c>
      <x:c r="H5" s="1363" t="str">
        <x:v>Current CFC ($B)</x:v>
      </x:c>
      <x:c r="I5" s="1363" t="str">
        <x:v>Output-share CFC ($B)</x:v>
      </x:c>
      <x:c r="J5" s="1363" t="str">
        <x:v>Current net stock ($B)</x:v>
      </x:c>
      <x:c r="K5" s="1363" t="str">
        <x:v>Output-share net stock ($B)</x:v>
      </x:c>
      <x:c r="L5" s="1363" t="str">
        <x:v>Current normal return ($B)</x:v>
      </x:c>
      <x:c r="M5" s="1363" t="str">
        <x:v>Output-share normal return ($B)</x:v>
      </x:c>
      <x:c r="N5" s="1363" t="str">
        <x:v>Industry GOS ($B)</x:v>
      </x:c>
      <x:c r="O5" s="1363" t="str">
        <x:v>Post-capital surplus — CAPEX share ($B)</x:v>
      </x:c>
      <x:c r="P5" s="1363" t="str">
        <x:v>Post-capital surplus — output share ($B)</x:v>
      </x:c>
      <x:c r="Q5" s="1363" t="str">
        <x:v>Scenario swing ($B)</x:v>
      </x:c>
      <x:c r="R5" s="1363" t="str">
        <x:v>Proxy diagnostic</x:v>
      </x:c>
    </x:row>
    <x:row r="6">
      <x:c r="A6" s="178" t="str">
        <x:v>Oil sands extraction</x:v>
      </x:c>
      <x:c r="B6" s="1364" t="n">
        <x:f>'Industry_Input_Summary'!C7</x:f>
        <x:v>134.491196</x:v>
      </x:c>
      <x:c r="C6" s="178" t="str">
        <x:v>Industry_Input_Summary!C7</x:v>
      </x:c>
      <x:c r="D6" s="1364" t="n">
        <x:f>'Capital_Allocation_2024'!H6</x:f>
        <x:v>13.3</x:v>
      </x:c>
      <x:c r="E6" s="1038" t="n">
        <x:f>'Capital_Allocation_2024'!I6</x:f>
        <x:v>0.4490239636999575</x:v>
      </x:c>
      <x:c r="F6" s="1365" t="n">
        <x:f>B6/$B$13</x:f>
        <x:v>0.654159975882534</x:v>
      </x:c>
      <x:c r="G6" s="1366" t="n">
        <x:f>E6/F6</x:f>
        <x:v>0.6864130797580127</x:v>
      </x:c>
      <x:c r="H6" s="1364" t="n">
        <x:f>'Capital_Allocation_2024'!J6</x:f>
        <x:v>16.765656756629014</x:v>
      </x:c>
      <x:c r="I6" s="1367" t="n">
        <x:f>F6*'Capital_Allocation_2024'!$J$13</x:f>
        <x:v>24.42502517950206</x:v>
      </x:c>
      <x:c r="J6" s="1364" t="n">
        <x:f>'Capital_Allocation_2024'!K6</x:f>
        <x:v>145.87261899135038</x:v>
      </x:c>
      <x:c r="K6" s="1367" t="n">
        <x:f>F6*'Capital_Allocation_2024'!$K$13</x:f>
        <x:v>212.5143347250553</x:v>
      </x:c>
      <x:c r="L6" s="1364" t="n">
        <x:f>'Capital_Allocation_2024'!M6</x:f>
        <x:v>1.3262252276630269</x:v>
      </x:c>
      <x:c r="M6" s="1367" t="n">
        <x:f>K6*'Capital_Allocation_2024'!$L$13</x:f>
        <x:v>1.9321094932086273</x:v>
      </x:c>
      <x:c r="N6" s="1364" t="n">
        <x:f>'Industry_Input_Summary'!K7</x:f>
        <x:v>62.719441</x:v>
      </x:c>
      <x:c r="O6" s="1367" t="n">
        <x:f>N6-H6-L6</x:f>
        <x:v>44.627559015707966</x:v>
      </x:c>
      <x:c r="P6" s="1367" t="n">
        <x:f>N6-I6-M6</x:f>
        <x:v>36.36230632728932</x:v>
      </x:c>
      <x:c r="Q6" s="1367" t="n">
        <x:f>P6-O6</x:f>
        <x:v>-8.265252688418649</x:v>
      </x:c>
      <x:c r="R6" s="178" t="str">
        <x:f>IF(OR(G6&gt;Model_Parameters!$B$10,G6&lt;Model_Parameters!$B$11),"HIGH DISTORTION",IF(OR(G6&gt;Model_Parameters!$B$12,G6&lt;Model_Parameters!$B$13),"MATERIAL","MODERATE"))</x:f>
        <x:v>MATERIAL</x:v>
      </x:c>
    </x:row>
    <x:row r="7">
      <x:c r="A7" s="178" t="str">
        <x:v>Gold and silver ore mining</x:v>
      </x:c>
      <x:c r="B7" s="1364" t="n">
        <x:f>'Industry_Input_Summary'!C10</x:f>
        <x:v>19.974277</x:v>
      </x:c>
      <x:c r="C7" s="178" t="str">
        <x:v>Industry_Input_Summary!C10</x:v>
      </x:c>
      <x:c r="D7" s="1364" t="n">
        <x:f>'Capital_Allocation_2024'!H7</x:f>
        <x:v>5.5519</x:v>
      </x:c>
      <x:c r="E7" s="1038" t="n">
        <x:f>'Capital_Allocation_2024'!I7</x:f>
        <x:v>0.1874388078244958</x:v>
      </x:c>
      <x:c r="F7" s="1365" t="n">
        <x:f>B7/$B$13</x:f>
        <x:v>0.09715411082068938</x:v>
      </x:c>
      <x:c r="G7" s="1366" t="n">
        <x:f>E7/F7</x:f>
        <x:v>1.9292936371003244</x:v>
      </x:c>
      <x:c r="H7" s="1364" t="n">
        <x:f>'Capital_Allocation_2024'!J7</x:f>
        <x:v>6.998590206551024</x:v>
      </x:c>
      <x:c r="I7" s="1367" t="n">
        <x:f>F7*'Capital_Allocation_2024'!$J$13</x:f>
        <x:v>3.6275401898229007</x:v>
      </x:c>
      <x:c r="J7" s="1364" t="n">
        <x:f>'Capital_Allocation_2024'!K7</x:f>
        <x:v>60.89249574271265</x:v>
      </x:c>
      <x:c r="K7" s="1367" t="n">
        <x:f>F7*'Capital_Allocation_2024'!$K$13</x:f>
        <x:v>31.562067365874075</x:v>
      </x:c>
      <x:c r="L7" s="1364" t="n">
        <x:f>'Capital_Allocation_2024'!M7</x:f>
        <x:v>0.5536142737941624</x:v>
      </x:c>
      <x:c r="M7" s="1367" t="n">
        <x:f>K7*'Capital_Allocation_2024'!$L$13</x:f>
        <x:v>0.28695179580140506</x:v>
      </x:c>
      <x:c r="N7" s="1364" t="n">
        <x:f>'Industry_Input_Summary'!K10</x:f>
        <x:v>7.306602</x:v>
      </x:c>
      <x:c r="O7" s="1367" t="n">
        <x:f>N7-H7-L7</x:f>
        <x:v>-0.24560248034518695</x:v>
      </x:c>
      <x:c r="P7" s="1367" t="n">
        <x:f>N7-I7-M7</x:f>
        <x:v>3.392110014375694</x:v>
      </x:c>
      <x:c r="Q7" s="1367" t="n">
        <x:f>P7-O7</x:f>
        <x:v>3.637712494720881</x:v>
      </x:c>
      <x:c r="R7" s="178" t="str">
        <x:f>IF(OR(G7&gt;Model_Parameters!$B$10,G7&lt;Model_Parameters!$B$11),"HIGH DISTORTION",IF(OR(G7&gt;Model_Parameters!$B$12,G7&lt;Model_Parameters!$B$13),"MATERIAL","MODERATE"))</x:f>
        <x:v>HIGH DISTORTION</x:v>
      </x:c>
    </x:row>
    <x:row r="8">
      <x:c r="A8" s="178" t="str">
        <x:v>Iron ore mining</x:v>
      </x:c>
      <x:c r="B8" s="1364" t="n">
        <x:f>'Industry_Input_Summary'!C9</x:f>
        <x:v>9.653907</x:v>
      </x:c>
      <x:c r="C8" s="178" t="str">
        <x:v>Industry_Input_Summary!C9</x:v>
      </x:c>
      <x:c r="D8" s="1364" t="n">
        <x:f>'Capital_Allocation_2024'!H8</x:f>
        <x:v>1.7073</x:v>
      </x:c>
      <x:c r="E8" s="1038" t="n">
        <x:f>'Capital_Allocation_2024'!I8</x:f>
        <x:v>0.057640497234957705</x:v>
      </x:c>
      <x:c r="F8" s="1365" t="n">
        <x:f>B8/$B$13</x:f>
        <x:v>0.04695623028210878</x:v>
      </x:c>
      <x:c r="G8" s="1366" t="n">
        <x:f>E8/F8</x:f>
        <x:v>1.2275367270468438</x:v>
      </x:c>
      <x:c r="H8" s="1364" t="n">
        <x:f>'Capital_Allocation_2024'!J8</x:f>
        <x:v>2.1521808857588507</x:v>
      </x:c>
      <x:c r="I8" s="1367" t="n">
        <x:f>F8*'Capital_Allocation_2024'!$J$13</x:f>
        <x:v>1.753251726273378</x:v>
      </x:c>
      <x:c r="J8" s="1364" t="n">
        <x:f>'Capital_Allocation_2024'!K8</x:f>
        <x:v>18.72543777473177</x:v>
      </x:c>
      <x:c r="K8" s="1367" t="n">
        <x:f>F8*'Capital_Allocation_2024'!$K$13</x:f>
        <x:v>15.25448270682755</x:v>
      </x:c>
      <x:c r="L8" s="1364" t="n">
        <x:f>'Capital_Allocation_2024'!M8</x:f>
        <x:v>0.17024543843526962</x:v>
      </x:c>
      <x:c r="M8" s="1367" t="n">
        <x:f>K8*'Capital_Allocation_2024'!$L$13</x:f>
        <x:v>0.13868867194290713</x:v>
      </x:c>
      <x:c r="N8" s="1364" t="n">
        <x:f>'Industry_Input_Summary'!K9</x:f>
        <x:v>4.929187</x:v>
      </x:c>
      <x:c r="O8" s="1367" t="n">
        <x:f>N8-H8-L8</x:f>
        <x:v>2.6067606758058792</x:v>
      </x:c>
      <x:c r="P8" s="1367" t="n">
        <x:f>N8-I8-M8</x:f>
        <x:v>3.0372466017837145</x:v>
      </x:c>
      <x:c r="Q8" s="1367" t="n">
        <x:f>P8-O8</x:f>
        <x:v>0.4304859259778353</x:v>
      </x:c>
      <x:c r="R8" s="178" t="str">
        <x:f>IF(OR(G8&gt;Model_Parameters!$B$10,G8&lt;Model_Parameters!$B$11),"HIGH DISTORTION",IF(OR(G8&gt;Model_Parameters!$B$12,G8&lt;Model_Parameters!$B$13),"MATERIAL","MODERATE"))</x:f>
        <x:v>MODERATE</x:v>
      </x:c>
    </x:row>
    <x:row r="9">
      <x:c r="A9" s="178" t="str">
        <x:v>Copper, nickel, lead and zinc ore mining</x:v>
      </x:c>
      <x:c r="B9" s="1364" t="n">
        <x:f>'Industry_Input_Summary'!C11</x:f>
        <x:v>12.249406</x:v>
      </x:c>
      <x:c r="C9" s="178" t="str">
        <x:v>Industry_Input_Summary!C11</x:v>
      </x:c>
      <x:c r="D9" s="1364" t="n">
        <x:f>'Capital_Allocation_2024'!H9</x:f>
        <x:v>2.4562</x:v>
      </x:c>
      <x:c r="E9" s="1038" t="n">
        <x:f>'Capital_Allocation_2024'!I9</x:f>
        <x:v>0.0829242601232959</x:v>
      </x:c>
      <x:c r="F9" s="1365" t="n">
        <x:f>B9/$B$13</x:f>
        <x:v>0.05958063703690589</x:v>
      </x:c>
      <x:c r="G9" s="1366" t="n">
        <x:f>E9/F9</x:f>
        <x:v>1.3917988166512945</x:v>
      </x:c>
      <x:c r="H9" s="1364" t="n">
        <x:f>'Capital_Allocation_2024'!J9</x:f>
        <x:v>3.0962260244836224</x:v>
      </x:c>
      <x:c r="I9" s="1367" t="n">
        <x:f>F9*'Capital_Allocation_2024'!$J$13</x:f>
        <x:v>2.2246218256839927</x:v>
      </x:c>
      <x:c r="J9" s="1364" t="n">
        <x:f>'Capital_Allocation_2024'!K9</x:f>
        <x:v>26.939272689214643</x:v>
      </x:c>
      <x:c r="K9" s="1367" t="n">
        <x:f>F9*'Capital_Allocation_2024'!$K$13</x:f>
        <x:v>19.355723231631465</x:v>
      </x:c>
      <x:c r="L9" s="1364" t="n">
        <x:f>'Capital_Allocation_2024'!M9</x:f>
        <x:v>0.2449228875327764</x:v>
      </x:c>
      <x:c r="M9" s="1367" t="n">
        <x:f>K9*'Capital_Allocation_2024'!$L$13</x:f>
        <x:v>0.17597578371424938</x:v>
      </x:c>
      <x:c r="N9" s="1364" t="n">
        <x:f>'Industry_Input_Summary'!K11</x:f>
        <x:v>5.887093</x:v>
      </x:c>
      <x:c r="O9" s="1367" t="n">
        <x:f>N9-H9-L9</x:f>
        <x:v>2.5459440879836013</x:v>
      </x:c>
      <x:c r="P9" s="1367" t="n">
        <x:f>N9-I9-M9</x:f>
        <x:v>3.486495390601758</x:v>
      </x:c>
      <x:c r="Q9" s="1367" t="n">
        <x:f>P9-O9</x:f>
        <x:v>0.9405513026181569</x:v>
      </x:c>
      <x:c r="R9" s="178" t="str">
        <x:f>IF(OR(G9&gt;Model_Parameters!$B$10,G9&lt;Model_Parameters!$B$11),"HIGH DISTORTION",IF(OR(G9&gt;Model_Parameters!$B$12,G9&lt;Model_Parameters!$B$13),"MATERIAL","MODERATE"))</x:f>
        <x:v>MATERIAL</x:v>
      </x:c>
    </x:row>
    <x:row r="10">
      <x:c r="A10" s="178" t="str">
        <x:v>Other metal ore mining</x:v>
      </x:c>
      <x:c r="B10" s="1364" t="n">
        <x:f>'Industry_Input_Summary'!C12</x:f>
        <x:v>4.786269</x:v>
      </x:c>
      <x:c r="C10" s="178" t="str">
        <x:v>Industry_Input_Summary!C12</x:v>
      </x:c>
      <x:c r="D10" s="1364" t="n">
        <x:f>'Capital_Allocation_2024'!H10</x:f>
        <x:v>0.5844</x:v>
      </x:c>
      <x:c r="E10" s="1038" t="n">
        <x:f>'Capital_Allocation_2024'!I10</x:f>
        <x:v>0.01973004544257558</x:v>
      </x:c>
      <x:c r="F10" s="1365" t="n">
        <x:f>B10/$B$13</x:f>
        <x:v>0.0232802273065318</x:v>
      </x:c>
      <x:c r="G10" s="1366" t="n">
        <x:f>E10/F10</x:f>
        <x:v>0.8475022680315438</x:v>
      </x:c>
      <x:c r="H10" s="1364" t="n">
        <x:f>'Capital_Allocation_2024'!J10</x:f>
        <x:v>0.7366804367348869</x:v>
      </x:c>
      <x:c r="I10" s="1367" t="n">
        <x:f>F10*'Capital_Allocation_2024'!$J$13</x:f>
        <x:v>0.8692371271712845</x:v>
      </x:c>
      <x:c r="J10" s="1364" t="n">
        <x:f>'Capital_Allocation_2024'!K10</x:f>
        <x:v>6.4096209427477575</x:v>
      </x:c>
      <x:c r="K10" s="1367" t="n">
        <x:f>F10*'Capital_Allocation_2024'!$K$13</x:f>
        <x:v>7.562954324163759</x:v>
      </x:c>
      <x:c r="L10" s="1364" t="n">
        <x:f>'Capital_Allocation_2024'!M10</x:f>
        <x:v>0.05827413707114835</x:v>
      </x:c>
      <x:c r="M10" s="1367" t="n">
        <x:f>K10*'Capital_Allocation_2024'!$L$13</x:f>
        <x:v>0.06875985973052216</x:v>
      </x:c>
      <x:c r="N10" s="1364" t="n">
        <x:f>'Industry_Input_Summary'!K12</x:f>
        <x:v>1.587602</x:v>
      </x:c>
      <x:c r="O10" s="1367" t="n">
        <x:f>N10-H10-L10</x:f>
        <x:v>0.7926474261939647</x:v>
      </x:c>
      <x:c r="P10" s="1367" t="n">
        <x:f>N10-I10-M10</x:f>
        <x:v>0.6496050130981933</x:v>
      </x:c>
      <x:c r="Q10" s="1367" t="n">
        <x:f>P10-O10</x:f>
        <x:v>-0.14304241309577137</x:v>
      </x:c>
      <x:c r="R10" s="178" t="str">
        <x:f>IF(OR(G10&gt;Model_Parameters!$B$10,G10&lt;Model_Parameters!$B$11),"HIGH DISTORTION",IF(OR(G10&gt;Model_Parameters!$B$12,G10&lt;Model_Parameters!$B$13),"MATERIAL","MODERATE"))</x:f>
        <x:v>MODERATE</x:v>
      </x:c>
    </x:row>
    <x:row r="11">
      <x:c r="A11" s="178" t="str">
        <x:v>Potash mining</x:v>
      </x:c>
      <x:c r="B11" s="1364" t="n">
        <x:f>'Industry_Input_Summary'!C14</x:f>
        <x:v>8.492848</x:v>
      </x:c>
      <x:c r="C11" s="178" t="str">
        <x:v>Industry_Input_Summary!C14</x:v>
      </x:c>
      <x:c r="D11" s="1364" t="n">
        <x:f>'Capital_Allocation_2024'!H11</x:f>
        <x:v>4.4777</x:v>
      </x:c>
      <x:c r="E11" s="1038" t="n">
        <x:f>'Capital_Allocation_2024'!I11</x:f>
        <x:v>0.15117252648566162</x:v>
      </x:c>
      <x:c r="F11" s="1365" t="n">
        <x:f>B11/$B$13</x:f>
        <x:v>0.041308884210190445</x:v>
      </x:c>
      <x:c r="G11" s="1366" t="n">
        <x:f>E11/F11</x:f>
        <x:v>3.659564507151927</x:v>
      </x:c>
      <x:c r="H11" s="1364" t="n">
        <x:f>'Capital_Allocation_2024'!J11</x:f>
        <x:v>5.644479793921634</x:v>
      </x:c>
      <x:c r="I11" s="1367" t="n">
        <x:f>F11*'Capital_Allocation_2024'!$J$13</x:f>
        <x:v>1.5423911186400912</x:v>
      </x:c>
      <x:c r="J11" s="1364" t="n">
        <x:f>'Capital_Allocation_2024'!K11</x:f>
        <x:v>49.110813989290946</x:v>
      </x:c>
      <x:c r="K11" s="1367" t="n">
        <x:f>F11*'Capital_Allocation_2024'!$K$13</x:f>
        <x:v>13.41985197782773</x:v>
      </x:c>
      <x:c r="L11" s="1364" t="n">
        <x:f>'Capital_Allocation_2024'!M11</x:f>
        <x:v>0.4464991505193034</x:v>
      </x:c>
      <x:c r="M11" s="1367" t="n">
        <x:f>K11*'Capital_Allocation_2024'!$L$13</x:f>
        <x:v>0.12200882089841708</x:v>
      </x:c>
      <x:c r="N11" s="1364" t="n">
        <x:f>'Industry_Input_Summary'!K14</x:f>
        <x:v>3.347454</x:v>
      </x:c>
      <x:c r="O11" s="1367" t="n">
        <x:f>N11-H11-L11</x:f>
        <x:v>-2.7435249444409373</x:v>
      </x:c>
      <x:c r="P11" s="1367" t="n">
        <x:f>N11-I11-M11</x:f>
        <x:v>1.6830540604614916</x:v>
      </x:c>
      <x:c r="Q11" s="1367" t="n">
        <x:f>P11-O11</x:f>
        <x:v>4.426579004902429</x:v>
      </x:c>
      <x:c r="R11" s="178" t="str">
        <x:f>IF(OR(G11&gt;Model_Parameters!$B$10,G11&lt;Model_Parameters!$B$11),"HIGH DISTORTION",IF(OR(G11&gt;Model_Parameters!$B$12,G11&lt;Model_Parameters!$B$13),"MATERIAL","MODERATE"))</x:f>
        <x:v>HIGH DISTORTION</x:v>
      </x:c>
    </x:row>
    <x:row r="12">
      <x:c r="A12" s="178" t="str">
        <x:v>Coal, diamonds and other non-metals</x:v>
      </x:c>
      <x:c r="B12" s="1364" t="n">
        <x:f>'Commodity_Output_Crosswalk'!G8+'Commodity_Output_Crosswalk'!G16-'Commodity_Output_Crosswalk'!G14</x:f>
        <x:v>15.945837</x:v>
      </x:c>
      <x:c r="C12" s="178" t="str">
        <x:v>Coal industry + non-metal control less potash</x:v>
      </x:c>
      <x:c r="D12" s="1364" t="n">
        <x:f>'Capital_Allocation_2024'!H12</x:f>
        <x:v>1.5423</x:v>
      </x:c>
      <x:c r="E12" s="1038" t="n">
        <x:f>'Capital_Allocation_2024'!I12</x:f>
        <x:v>0.052069899189055975</x:v>
      </x:c>
      <x:c r="F12" s="1365" t="n">
        <x:f>B12/$B$13</x:f>
        <x:v>0.07755993446103951</x:v>
      </x:c>
      <x:c r="G12" s="1366" t="n">
        <x:f>E12/F12</x:f>
        <x:v>0.6713504794825751</x:v>
      </x:c>
      <x:c r="H12" s="1364" t="n">
        <x:f>'Capital_Allocation_2024'!J12</x:f>
        <x:v>1.9441858959209721</x:v>
      </x:c>
      <x:c r="I12" s="1367" t="n">
        <x:f>F12*'Capital_Allocation_2024'!$J$13</x:f>
        <x:v>2.895932832906294</x:v>
      </x:c>
      <x:c r="J12" s="1364" t="n">
        <x:f>'Capital_Allocation_2024'!K12</x:f>
        <x:v>16.915739869951857</x:v>
      </x:c>
      <x:c r="K12" s="1367" t="n">
        <x:f>F12*'Capital_Allocation_2024'!$K$13</x:f>
        <x:v>25.19658566862006</x:v>
      </x:c>
      <x:c r="L12" s="1364" t="n">
        <x:f>'Capital_Allocation_2024'!M12</x:f>
        <x:v>0.1537922683176456</x:v>
      </x:c>
      <x:c r="M12" s="1367" t="n">
        <x:f>K12*'Capital_Allocation_2024'!$L$13</x:f>
        <x:v>0.229078958037204</x:v>
      </x:c>
      <x:c r="N12" s="1364" t="str">
        <x:v>Not available</x:v>
      </x:c>
      <x:c r="O12" s="1367"/>
      <x:c r="P12" s="1367"/>
      <x:c r="Q12" s="1367"/>
      <x:c r="R12" s="178" t="str">
        <x:f>IF(OR(G12&gt;Model_Parameters!$B$10,G12&lt;Model_Parameters!$B$11),"HIGH DISTORTION",IF(OR(G12&gt;Model_Parameters!$B$12,G12&lt;Model_Parameters!$B$13),"MATERIAL","MODERATE"))</x:f>
        <x:v>MATERIAL</x:v>
      </x:c>
    </x:row>
    <x:row r="13">
      <x:c r="A13" s="1368" t="str">
        <x:v>Allocation total</x:v>
      </x:c>
      <x:c r="B13" s="1369" t="n">
        <x:f>SUM(B6:B12)</x:f>
        <x:v>205.59374000000003</x:v>
      </x:c>
      <x:c r="C13" s="1368" t="str">
        <x:v>All rows</x:v>
      </x:c>
      <x:c r="D13" s="1369" t="n">
        <x:f>SUM(D6:D12)</x:f>
        <x:v>29.619799999999998</x:v>
      </x:c>
      <x:c r="E13" s="1370" t="n">
        <x:f>SUM(E6:E12)</x:f>
        <x:v>1</x:v>
      </x:c>
      <x:c r="F13" s="1371" t="n">
        <x:f>SUM(F6:F12)</x:f>
        <x:v>0.9999999999999998</x:v>
      </x:c>
      <x:c r="G13" s="1372"/>
      <x:c r="H13" s="1369" t="n">
        <x:f>SUM(H6:H12)</x:f>
        <x:v>37.33800000000001</x:v>
      </x:c>
      <x:c r="I13" s="1373" t="n">
        <x:f>SUM(I6:I12)</x:f>
        <x:v>37.338</x:v>
      </x:c>
      <x:c r="J13" s="1369" t="n">
        <x:f>SUM(J6:J12)</x:f>
        <x:v>324.866</x:v>
      </x:c>
      <x:c r="K13" s="1373" t="n">
        <x:f>SUM(K6:K12)</x:f>
        <x:v>324.86599999999993</x:v>
      </x:c>
      <x:c r="L13" s="1369" t="n">
        <x:f>SUM(L6:L12)</x:f>
        <x:v>2.9535733833333326</x:v>
      </x:c>
      <x:c r="M13" s="1373" t="n">
        <x:f>SUM(M6:M12)</x:f>
        <x:v>2.953573383333332</x:v>
      </x:c>
      <x:c r="N13" s="1406" t="str">
        <x:v>Known-category subtotal only</x:v>
      </x:c>
      <x:c r="O13" s="1407"/>
      <x:c r="P13" s="1407"/>
      <x:c r="Q13" s="1407"/>
      <x:c r="R13" s="1368" t="str">
        <x:v>Both methods reconcile official residual totals</x:v>
      </x:c>
    </x:row>
    <x:row r="14">
      <x:c r="A14" s="1031"/>
      <x:c r="B14" s="1031"/>
      <x:c r="C14" s="1031"/>
      <x:c r="D14" s="1031"/>
      <x:c r="E14" s="1031"/>
      <x:c r="F14" s="1031"/>
      <x:c r="G14" s="1031"/>
      <x:c r="H14" s="1031"/>
      <x:c r="I14" s="1031"/>
      <x:c r="J14" s="1031"/>
      <x:c r="K14" s="1031"/>
      <x:c r="L14" s="1031"/>
      <x:c r="M14" s="1031"/>
      <x:c r="N14" s="1031"/>
      <x:c r="O14" s="1031"/>
      <x:c r="P14" s="1031"/>
      <x:c r="Q14" s="1031"/>
      <x:c r="R14" s="1031"/>
    </x:row>
    <x:row r="15">
      <x:c r="A15" s="1031"/>
      <x:c r="B15" s="1031"/>
      <x:c r="C15" s="1031"/>
      <x:c r="D15" s="1031"/>
      <x:c r="E15" s="1031"/>
      <x:c r="F15" s="1031"/>
      <x:c r="G15" s="1031"/>
      <x:c r="H15" s="1031"/>
      <x:c r="I15" s="1031"/>
      <x:c r="J15" s="1031"/>
      <x:c r="K15" s="1031"/>
      <x:c r="L15" s="1031"/>
      <x:c r="M15" s="1031"/>
      <x:c r="N15" s="1031"/>
      <x:c r="O15" s="1031"/>
      <x:c r="P15" s="1031"/>
      <x:c r="Q15" s="1031"/>
      <x:c r="R15" s="1031"/>
    </x:row>
    <x:row r="16">
      <x:c r="A16" s="1362" t="str">
        <x:v>Decisive findings</x:v>
      </x:c>
      <x:c r="B16" s="1362"/>
      <x:c r="C16" s="1362"/>
      <x:c r="D16" s="1362"/>
      <x:c r="E16" s="1362"/>
      <x:c r="F16" s="1362"/>
      <x:c r="G16" s="1362"/>
      <x:c r="H16" s="1362"/>
      <x:c r="I16" s="1362"/>
      <x:c r="J16" s="1362"/>
      <x:c r="K16" s="1362"/>
      <x:c r="L16" s="1362"/>
      <x:c r="M16" s="1362"/>
      <x:c r="N16" s="1362"/>
      <x:c r="O16" s="1362"/>
      <x:c r="P16" s="1362"/>
      <x:c r="Q16" s="1362"/>
      <x:c r="R16" s="1362"/>
    </x:row>
    <x:row r="17">
      <x:c r="A17" s="1363" t="str">
        <x:v>Metric</x:v>
      </x:c>
      <x:c r="B17" s="1363" t="str">
        <x:v>Potash result</x:v>
      </x:c>
      <x:c r="C17" s="1031"/>
      <x:c r="D17" s="1363" t="str">
        <x:v>Finding</x:v>
      </x:c>
      <x:c r="E17" s="1363" t="str">
        <x:v>Evidence</x:v>
      </x:c>
      <x:c r="F17" s="1363" t="str">
        <x:v>Interpretation</x:v>
      </x:c>
      <x:c r="G17" s="1363" t="str">
        <x:v>Model consequence</x:v>
      </x:c>
      <x:c r="H17" s="1031"/>
      <x:c r="I17" s="1031"/>
      <x:c r="J17" s="1031"/>
      <x:c r="K17" s="1031"/>
      <x:c r="L17" s="1031"/>
      <x:c r="M17" s="1031"/>
      <x:c r="N17" s="1031"/>
      <x:c r="O17" s="1031"/>
      <x:c r="P17" s="1031"/>
      <x:c r="Q17" s="1031"/>
      <x:c r="R17" s="1031"/>
    </x:row>
    <x:row r="18">
      <x:c r="A18" s="1031" t="str">
        <x:v>Current one-year CAPEX share</x:v>
      </x:c>
      <x:c r="B18" s="1038" t="n">
        <x:f>E11</x:f>
        <x:v>0.15117252648566162</x:v>
      </x:c>
      <x:c r="C18" s="1031"/>
      <x:c r="D18" s="178" t="str">
        <x:v>One-year CAPEX is not accumulated capital</x:v>
      </x:c>
      <x:c r="E18" s="178" t="str">
        <x:v>Potash receives 15.12% of residual capital under CAPEX share but only 4.13% under output share.</x:v>
      </x:c>
      <x:c r="F18" s="178" t="str">
        <x:v>A stock should reflect many years of investment, retirements and price changes.</x:v>
      </x:c>
      <x:c r="G18" s="178" t="str">
        <x:v>Do not report the CAPEX allocation as an observed capital stock.</x:v>
      </x:c>
      <x:c r="H18" s="1031"/>
      <x:c r="I18" s="1031"/>
      <x:c r="J18" s="1031"/>
      <x:c r="K18" s="1031"/>
      <x:c r="L18" s="1031"/>
      <x:c r="M18" s="1031"/>
      <x:c r="N18" s="1031"/>
      <x:c r="O18" s="1031"/>
      <x:c r="P18" s="1031"/>
      <x:c r="Q18" s="1031"/>
      <x:c r="R18" s="1031"/>
    </x:row>
    <x:row r="19">
      <x:c r="A19" s="1031" t="str">
        <x:v>Comparable output share</x:v>
      </x:c>
      <x:c r="B19" s="1038" t="n">
        <x:f>F11</x:f>
        <x:v>0.041308884210190445</x:v>
      </x:c>
      <x:c r="C19" s="1031"/>
      <x:c r="D19" s="178" t="str">
        <x:v>The allocation changes the sign</x:v>
      </x:c>
      <x:c r="E19" s="178" t="str">
        <x:v>Potash post-capital surplus is negative under CAPEX share and positive under output share.</x:v>
      </x:c>
      <x:c r="F19" s="178" t="str">
        <x:v>The economic conclusion is method-driven.</x:v>
      </x:c>
      <x:c r="G19" s="178" t="str">
        <x:v>Commodity rent remains locked; report a sensitivity range only.</x:v>
      </x:c>
      <x:c r="H19" s="1031"/>
      <x:c r="I19" s="1031"/>
      <x:c r="J19" s="1031"/>
      <x:c r="K19" s="1031"/>
      <x:c r="L19" s="1031"/>
      <x:c r="M19" s="1031"/>
      <x:c r="N19" s="1031"/>
      <x:c r="O19" s="1031"/>
      <x:c r="P19" s="1031"/>
      <x:c r="Q19" s="1031"/>
      <x:c r="R19" s="1031"/>
    </x:row>
    <x:row r="20">
      <x:c r="A20" s="1031" t="str">
        <x:v>CAPEX-share multiple</x:v>
      </x:c>
      <x:c r="B20" s="1366" t="n">
        <x:f>G11</x:f>
        <x:v>3.659564507151927</x:v>
      </x:c>
      <x:c r="C20" s="1031"/>
      <x:c r="D20" s="178" t="str">
        <x:v>Distortion is not isolated to potash</x:v>
      </x:c>
      <x:c r="E20" s="178" t="str">
        <x:v>Gold/silver is also over-weighted while oil sands is under-weighted relative to current output.</x:v>
      </x:c>
      <x:c r="F20" s="178" t="str">
        <x:v>The error reallocates capital charges among industries rather than changing the aggregate total.</x:v>
      </x:c>
      <x:c r="G20" s="178" t="str">
        <x:v>All residual-category point estimates are provisional.</x:v>
      </x:c>
      <x:c r="H20" s="1031"/>
      <x:c r="I20" s="1031"/>
      <x:c r="J20" s="1031"/>
      <x:c r="K20" s="1031"/>
      <x:c r="L20" s="1031"/>
      <x:c r="M20" s="1031"/>
      <x:c r="N20" s="1031"/>
      <x:c r="O20" s="1031"/>
      <x:c r="P20" s="1031"/>
      <x:c r="Q20" s="1031"/>
      <x:c r="R20" s="1031"/>
    </x:row>
    <x:row r="21">
      <x:c r="A21" s="1031" t="str">
        <x:v>Current capital charge / GOS</x:v>
      </x:c>
      <x:c r="B21" s="1365" t="n">
        <x:f>(H11+L11)/N11</x:f>
        <x:v>1.8195855550041724</x:v>
      </x:c>
      <x:c r="C21" s="1031"/>
      <x:c r="D21" s="178" t="str">
        <x:v>Replacement evidence is identifiable</x:v>
      </x:c>
      <x:c r="E21" s="178" t="str">
        <x:v>Observed detailed CFC/net stock or a multi-year perpetual-inventory method can replace the proxy.</x:v>
      </x:c>
      <x:c r="F21" s="178" t="str">
        <x:v>The blocker is empirical, not conceptual.</x:v>
      </x:c>
      <x:c r="G21" s="178" t="str">
        <x:v>Next extractor version should ingest multi-year detailed investment, asset lives and retirement profiles.</x:v>
      </x:c>
      <x:c r="H21" s="1031"/>
      <x:c r="I21" s="1031"/>
      <x:c r="J21" s="1031"/>
      <x:c r="K21" s="1031"/>
      <x:c r="L21" s="1031"/>
      <x:c r="M21" s="1031"/>
      <x:c r="N21" s="1031"/>
      <x:c r="O21" s="1031"/>
      <x:c r="P21" s="1031"/>
      <x:c r="Q21" s="1031"/>
      <x:c r="R21" s="1031"/>
    </x:row>
    <x:row r="22">
      <x:c r="A22" s="1031" t="str">
        <x:v>Output-share capital charge / GOS</x:v>
      </x:c>
      <x:c r="B22" s="1365" t="n">
        <x:f>(I11+M11)/N11</x:f>
        <x:v>0.4972136852481045</x:v>
      </x:c>
      <x:c r="C22" s="1031"/>
      <x:c r="D22" s="1031"/>
      <x:c r="E22" s="1031"/>
      <x:c r="F22" s="1031"/>
      <x:c r="G22" s="1031"/>
      <x:c r="H22" s="1031"/>
      <x:c r="I22" s="1031"/>
      <x:c r="J22" s="1031"/>
      <x:c r="K22" s="1031"/>
      <x:c r="L22" s="1031"/>
      <x:c r="M22" s="1031"/>
      <x:c r="N22" s="1031"/>
      <x:c r="O22" s="1031"/>
      <x:c r="P22" s="1031"/>
      <x:c r="Q22" s="1031"/>
      <x:c r="R22" s="1031"/>
    </x:row>
    <x:row r="23">
      <x:c r="A23" s="1031" t="str">
        <x:v>Maximum residual-capital share before negative post-capital surplus</x:v>
      </x:c>
      <x:c r="B23" s="1365" t="n">
        <x:f>N11/('Capital_Allocation_2024'!$J$13+'Capital_Allocation_2024'!$M$13)</x:f>
        <x:v>0.08308074664030564</x:v>
      </x:c>
      <x:c r="C23" s="1031"/>
      <x:c r="D23" s="1031"/>
      <x:c r="E23" s="1031"/>
      <x:c r="F23" s="1031"/>
      <x:c r="G23" s="1031"/>
      <x:c r="H23" s="1031"/>
      <x:c r="I23" s="1031"/>
      <x:c r="J23" s="1031"/>
      <x:c r="K23" s="1031"/>
      <x:c r="L23" s="1031"/>
      <x:c r="M23" s="1031"/>
      <x:c r="N23" s="1031"/>
      <x:c r="O23" s="1031"/>
      <x:c r="P23" s="1031"/>
      <x:c r="Q23" s="1031"/>
      <x:c r="R23" s="1031"/>
    </x:row>
    <x:row r="24">
      <x:c r="A24" s="1031" t="str">
        <x:v>Implied maximum 2024 CAPEX proxy at that threshold ($B)</x:v>
      </x:c>
      <x:c r="B24" s="1367" t="n">
        <x:f>B23*'Capital_Allocation_2024'!$H$13</x:f>
        <x:v>2.4608350993365247</x:v>
      </x:c>
      <x:c r="C24" s="1031"/>
      <x:c r="D24" s="1031"/>
      <x:c r="E24" s="1031"/>
      <x:c r="F24" s="1031"/>
      <x:c r="G24" s="1031"/>
      <x:c r="H24" s="1031"/>
      <x:c r="I24" s="1031"/>
      <x:c r="J24" s="1031"/>
      <x:c r="K24" s="1031"/>
      <x:c r="L24" s="1031"/>
      <x:c r="M24" s="1031"/>
      <x:c r="N24" s="1031"/>
      <x:c r="O24" s="1031"/>
      <x:c r="P24" s="1031"/>
      <x:c r="Q24" s="1031"/>
      <x:c r="R24" s="1031"/>
    </x:row>
    <x:row r="25">
      <x:c r="A25" s="1031" t="str">
        <x:v>Point-estimate ruling</x:v>
      </x:c>
      <x:c r="B25" s="1374" t="str">
        <x:v>REJECT — allocation method determines the sign of the result</x:v>
      </x:c>
      <x:c r="C25" s="1031"/>
      <x:c r="D25" s="1031"/>
      <x:c r="E25" s="1031"/>
      <x:c r="F25" s="1031"/>
      <x:c r="G25" s="1031"/>
      <x:c r="H25" s="1031"/>
      <x:c r="I25" s="1031"/>
      <x:c r="J25" s="1031"/>
      <x:c r="K25" s="1031"/>
      <x:c r="L25" s="1031"/>
      <x:c r="M25" s="1031"/>
      <x:c r="N25" s="1031"/>
      <x:c r="O25" s="1031"/>
      <x:c r="P25" s="1031"/>
      <x:c r="Q25" s="1031"/>
      <x:c r="R25" s="1031"/>
    </x:row>
    <x:row r="26">
      <x:c r="A26" s="1031"/>
      <x:c r="B26" s="1031"/>
      <x:c r="C26" s="1031"/>
      <x:c r="D26" s="1031"/>
      <x:c r="E26" s="1031"/>
      <x:c r="F26" s="1031"/>
      <x:c r="G26" s="1031"/>
      <x:c r="H26" s="1031"/>
      <x:c r="I26" s="1031"/>
      <x:c r="J26" s="1031"/>
      <x:c r="K26" s="1031"/>
      <x:c r="L26" s="1031"/>
      <x:c r="M26" s="1031"/>
      <x:c r="N26" s="1031"/>
      <x:c r="O26" s="1031"/>
      <x:c r="P26" s="1031"/>
      <x:c r="Q26" s="1031"/>
      <x:c r="R26" s="1031"/>
    </x:row>
    <x:row r="27">
      <x:c r="A27" s="1031"/>
      <x:c r="B27" s="1031"/>
      <x:c r="C27" s="1031"/>
      <x:c r="D27" s="1031"/>
      <x:c r="E27" s="1031"/>
      <x:c r="F27" s="1031"/>
      <x:c r="G27" s="1031"/>
      <x:c r="H27" s="1031"/>
      <x:c r="I27" s="1031"/>
      <x:c r="J27" s="1031"/>
      <x:c r="K27" s="1031"/>
      <x:c r="L27" s="1031"/>
      <x:c r="M27" s="1031"/>
      <x:c r="N27" s="1031"/>
      <x:c r="O27" s="1031"/>
      <x:c r="P27" s="1031"/>
      <x:c r="Q27" s="1031"/>
      <x:c r="R27" s="1031"/>
    </x:row>
    <x:row r="28">
      <x:c r="A28" s="1362" t="str">
        <x:v>Source and method map</x:v>
      </x:c>
      <x:c r="B28" s="1362"/>
      <x:c r="C28" s="1362"/>
      <x:c r="D28" s="1362"/>
      <x:c r="E28" s="1362"/>
      <x:c r="F28" s="1362"/>
      <x:c r="G28" s="1362"/>
      <x:c r="H28" s="1362"/>
      <x:c r="I28" s="1362"/>
      <x:c r="J28" s="1362"/>
      <x:c r="K28" s="1362"/>
      <x:c r="L28" s="1362"/>
      <x:c r="M28" s="1362"/>
      <x:c r="N28" s="1362"/>
      <x:c r="O28" s="1362"/>
      <x:c r="P28" s="1362"/>
      <x:c r="Q28" s="1362"/>
      <x:c r="R28" s="1362"/>
    </x:row>
    <x:row r="29">
      <x:c r="A29" s="1363" t="str">
        <x:v>Source ID</x:v>
      </x:c>
      <x:c r="B29" s="1363" t="str">
        <x:v>Dataset / method</x:v>
      </x:c>
      <x:c r="C29" s="1363" t="str">
        <x:v>Reference year</x:v>
      </x:c>
      <x:c r="D29" s="1363" t="str">
        <x:v>Official URL</x:v>
      </x:c>
      <x:c r="E29" s="1363" t="str">
        <x:v>Use</x:v>
      </x:c>
      <x:c r="F29" s="1363" t="str">
        <x:v>Boundary ruling</x:v>
      </x:c>
      <x:c r="G29" s="1031"/>
      <x:c r="H29" s="1031"/>
      <x:c r="I29" s="1031"/>
      <x:c r="J29" s="1031"/>
      <x:c r="K29" s="1031"/>
      <x:c r="L29" s="1031"/>
      <x:c r="M29" s="1031"/>
      <x:c r="N29" s="1031"/>
      <x:c r="O29" s="1031"/>
      <x:c r="P29" s="1031"/>
      <x:c r="Q29" s="1031"/>
      <x:c r="R29" s="1031"/>
    </x:row>
    <x:row r="30">
      <x:c r="A30" s="178" t="str">
        <x:v>CAPS-001</x:v>
      </x:c>
      <x:c r="B30" s="178" t="str">
        <x:v>Statistics Canada input-output tables 36-10-0001-01</x:v>
      </x:c>
      <x:c r="C30" s="178" t="n">
        <x:v>2024</x:v>
      </x:c>
      <x:c r="D30" s="178" t="str">
        <x:v>https://www150.statcan.gc.ca/n1/en/catalogue/3610000101</x:v>
      </x:c>
      <x:c r="E30" s="178" t="str">
        <x:v>Industry output and GOS controls</x:v>
      </x:c>
      <x:c r="F30" s="178" t="str">
        <x:v>Exact industry controls</x:v>
      </x:c>
      <x:c r="G30" s="1031"/>
      <x:c r="H30" s="1031"/>
      <x:c r="I30" s="1031"/>
      <x:c r="J30" s="1031"/>
      <x:c r="K30" s="1031"/>
      <x:c r="L30" s="1031"/>
      <x:c r="M30" s="1031"/>
      <x:c r="N30" s="1031"/>
      <x:c r="O30" s="1031"/>
      <x:c r="P30" s="1031"/>
      <x:c r="Q30" s="1031"/>
      <x:c r="R30" s="1031"/>
    </x:row>
    <x:row r="31">
      <x:c r="A31" s="178" t="str">
        <x:v>CAPS-002</x:v>
      </x:c>
      <x:c r="B31" s="178" t="str">
        <x:v>Statistics Canada capital stocks 36-10-0096-01</x:v>
      </x:c>
      <x:c r="C31" s="178" t="n">
        <x:v>2024</x:v>
      </x:c>
      <x:c r="D31" s="178" t="str">
        <x:v>https://www150.statcan.gc.ca/n1/en/catalogue/3610009601</x:v>
      </x:c>
      <x:c r="E31" s="178" t="str">
        <x:v>Official residual CFC and net-stock totals</x:v>
      </x:c>
      <x:c r="F31" s="178" t="str">
        <x:v>Aggregate only</x:v>
      </x:c>
      <x:c r="G31" s="1031"/>
      <x:c r="H31" s="1031"/>
      <x:c r="I31" s="1031"/>
      <x:c r="J31" s="1031"/>
      <x:c r="K31" s="1031"/>
      <x:c r="L31" s="1031"/>
      <x:c r="M31" s="1031"/>
      <x:c r="N31" s="1031"/>
      <x:c r="O31" s="1031"/>
      <x:c r="P31" s="1031"/>
      <x:c r="Q31" s="1031"/>
      <x:c r="R31" s="1031"/>
    </x:row>
    <x:row r="32">
      <x:c r="A32" s="178" t="str">
        <x:v>CAPS-003</x:v>
      </x:c>
      <x:c r="B32" s="178" t="str">
        <x:v>Natural Resources Canada / Statistics Canada tangible CAPEX</x:v>
      </x:c>
      <x:c r="C32" s="178" t="n">
        <x:v>2024</x:v>
      </x:c>
      <x:c r="D32" s="178" t="str">
        <x:v>https://prod-natural-resources.azure.cloud.nrcan-rncan.gc.ca/minerals-mining/mining-data-statistics-analysis/minerals-mining-publications/capital-expenditures</x:v>
      </x:c>
      <x:c r="E32" s="178" t="str">
        <x:v>Current one-year allocation proxy</x:v>
      </x:c>
      <x:c r="F32" s="178" t="str">
        <x:v>Sensitivity only</x:v>
      </x:c>
      <x:c r="G32" s="1031"/>
      <x:c r="H32" s="1031"/>
      <x:c r="I32" s="1031"/>
      <x:c r="J32" s="1031"/>
      <x:c r="K32" s="1031"/>
      <x:c r="L32" s="1031"/>
      <x:c r="M32" s="1031"/>
      <x:c r="N32" s="1031"/>
      <x:c r="O32" s="1031"/>
      <x:c r="P32" s="1031"/>
      <x:c r="Q32" s="1031"/>
      <x:c r="R32" s="1031"/>
    </x:row>
    <x:row r="33">
      <x:c r="A33" s="178" t="str">
        <x:v>CAPS-004</x:v>
      </x:c>
      <x:c r="B33" s="178" t="str">
        <x:v>Output-share stress scenario</x:v>
      </x:c>
      <x:c r="C33" s="178" t="n">
        <x:v>2024</x:v>
      </x:c>
      <x:c r="D33" s="178" t="str">
        <x:v>Local deterministic calculation</x:v>
      </x:c>
      <x:c r="E33" s="178" t="str">
        <x:v>Alternative allocation using comparable industry output controls</x:v>
      </x:c>
      <x:c r="F33" s="178" t="str">
        <x:v>Not a preferred estimate; falsification test</x:v>
      </x:c>
      <x:c r="G33" s="1031"/>
      <x:c r="H33" s="1031"/>
      <x:c r="I33" s="1031"/>
      <x:c r="J33" s="1031"/>
      <x:c r="K33" s="1031"/>
      <x:c r="L33" s="1031"/>
      <x:c r="M33" s="1031"/>
      <x:c r="N33" s="1031"/>
      <x:c r="O33" s="1031"/>
      <x:c r="P33" s="1031"/>
      <x:c r="Q33" s="1031"/>
      <x:c r="R33" s="1031"/>
    </x:row>
    <x:row r="34">
      <x:c r="A34" s="178" t="str">
        <x:v>CAPS-005</x:v>
      </x:c>
      <x:c r="B34" s="178" t="str">
        <x:v>Resource-wealth normal-return method</x:v>
      </x:c>
      <x:c r="C34" s="178" t="n">
        <x:v>2024</x:v>
      </x:c>
      <x:c r="D34" s="178" t="str">
        <x:v>https://www150.statcan.gc.ca/n1/pub/16-509-x/2016001/v95645810-eng.htm</x:v>
      </x:c>
      <x:c r="E34" s="178" t="str">
        <x:v>Normal return = net stock × real bond rate</x:v>
      </x:c>
      <x:c r="F34" s="178" t="str">
        <x:v>Rate method retained; capital allocator remains unresolved</x:v>
      </x:c>
      <x:c r="G34" s="1031"/>
      <x:c r="H34" s="1031"/>
      <x:c r="I34" s="1031"/>
      <x:c r="J34" s="1031"/>
      <x:c r="K34" s="1031"/>
      <x:c r="L34" s="1031"/>
      <x:c r="M34" s="1031"/>
      <x:c r="N34" s="1031"/>
      <x:c r="O34" s="1031"/>
      <x:c r="P34" s="1031"/>
      <x:c r="Q34" s="1031"/>
      <x:c r="R34" s="1031"/>
    </x:row>
    <x:row r="35">
      <x:c r="A35" s="1031"/>
      <x:c r="B35" s="1031"/>
      <x:c r="C35" s="1031"/>
      <x:c r="D35" s="1031"/>
      <x:c r="E35" s="1031"/>
      <x:c r="F35" s="1031"/>
      <x:c r="G35" s="1031"/>
      <x:c r="H35" s="1031"/>
      <x:c r="I35" s="1031"/>
      <x:c r="J35" s="1031"/>
      <x:c r="K35" s="1031"/>
      <x:c r="L35" s="1031"/>
      <x:c r="M35" s="1031"/>
      <x:c r="N35" s="1031"/>
      <x:c r="O35" s="1031"/>
      <x:c r="P35" s="1031"/>
      <x:c r="Q35" s="1031"/>
      <x:c r="R35" s="1031"/>
    </x:row>
    <x:row r="36">
      <x:c r="A36" s="1031"/>
      <x:c r="B36" s="1031"/>
      <x:c r="C36" s="1031"/>
      <x:c r="D36" s="1031"/>
      <x:c r="E36" s="1031"/>
      <x:c r="F36" s="1031"/>
      <x:c r="G36" s="1031"/>
      <x:c r="H36" s="1031"/>
      <x:c r="I36" s="1031"/>
      <x:c r="J36" s="1031"/>
      <x:c r="K36" s="1031"/>
      <x:c r="L36" s="1031"/>
      <x:c r="M36" s="1031"/>
      <x:c r="N36" s="1031"/>
      <x:c r="O36" s="1031"/>
      <x:c r="P36" s="1031"/>
      <x:c r="Q36" s="1031"/>
      <x:c r="R36" s="1031"/>
    </x:row>
    <x:row r="37">
      <x:c r="A37" s="1031"/>
      <x:c r="B37" s="1031"/>
      <x:c r="C37" s="1031"/>
      <x:c r="D37" s="1031"/>
      <x:c r="E37" s="1031"/>
      <x:c r="F37" s="1031"/>
      <x:c r="G37" s="1031"/>
      <x:c r="H37" s="1031"/>
      <x:c r="I37" s="1031"/>
      <x:c r="J37" s="1031"/>
      <x:c r="K37" s="1031"/>
      <x:c r="L37" s="1031"/>
      <x:c r="M37" s="1031"/>
      <x:c r="N37" s="1031"/>
      <x:c r="O37" s="1031"/>
      <x:c r="P37" s="1031"/>
      <x:c r="Q37" s="1031"/>
      <x:c r="R37" s="1031"/>
    </x:row>
    <x:row r="38">
      <x:c r="A38" s="1031"/>
      <x:c r="B38" s="1031"/>
      <x:c r="C38" s="1031"/>
      <x:c r="D38" s="1031"/>
      <x:c r="E38" s="1031"/>
      <x:c r="F38" s="1031"/>
      <x:c r="G38" s="1031"/>
      <x:c r="H38" s="1031"/>
      <x:c r="I38" s="1031"/>
      <x:c r="J38" s="1031"/>
      <x:c r="K38" s="1031"/>
      <x:c r="L38" s="1031"/>
      <x:c r="M38" s="1031"/>
      <x:c r="N38" s="1031"/>
      <x:c r="O38" s="1031"/>
      <x:c r="P38" s="1031"/>
      <x:c r="Q38" s="1031"/>
      <x:c r="R38" s="1031"/>
    </x:row>
    <x:row r="39">
      <x:c r="A39" s="1031"/>
      <x:c r="B39" s="1031"/>
      <x:c r="C39" s="1031"/>
      <x:c r="D39" s="1031"/>
      <x:c r="E39" s="1031"/>
      <x:c r="F39" s="1031"/>
      <x:c r="G39" s="1031"/>
      <x:c r="H39" s="1031"/>
      <x:c r="I39" s="1031"/>
      <x:c r="J39" s="1031"/>
      <x:c r="K39" s="1031"/>
      <x:c r="L39" s="1031"/>
      <x:c r="M39" s="1031"/>
      <x:c r="N39" s="1031"/>
      <x:c r="O39" s="1031"/>
      <x:c r="P39" s="1031"/>
      <x:c r="Q39" s="1031"/>
      <x:c r="R39" s="1031"/>
    </x:row>
    <x:row r="40">
      <x:c r="A40" s="1031"/>
      <x:c r="B40" s="1031"/>
      <x:c r="C40" s="1031"/>
      <x:c r="D40" s="1031"/>
      <x:c r="E40" s="1031"/>
      <x:c r="F40" s="1031"/>
      <x:c r="G40" s="1031"/>
      <x:c r="H40" s="1031"/>
      <x:c r="I40" s="1031"/>
      <x:c r="J40" s="1031"/>
      <x:c r="K40" s="1031"/>
      <x:c r="L40" s="1031"/>
      <x:c r="M40" s="1031"/>
      <x:c r="N40" s="1031"/>
      <x:c r="O40" s="1031"/>
      <x:c r="P40" s="1031"/>
      <x:c r="Q40" s="1031"/>
      <x:c r="R40" s="1031"/>
    </x:row>
  </x:sheetData>
  <x:mergeCells>
    <x:mergeCell ref="A1:R1"/>
    <x:mergeCell ref="A2:R2"/>
    <x:mergeCell ref="A4:R4"/>
    <x:mergeCell ref="A16:R16"/>
    <x:mergeCell ref="A28:R28"/>
  </x:mergeCells>
  <x:conditionalFormatting sqref="R6:R12">
    <x:cfRule type="expression" dxfId="16" priority="1">
      <x:formula>R6="HIGH DISTORTION"</x:formula>
    </x:cfRule>
    <x:cfRule type="expression" dxfId="17" priority="2">
      <x:formula>R6="MATERIAL"</x:formula>
    </x:cfRule>
  </x:conditionalFormatting>
  <x:conditionalFormatting sqref="O6:Q13">
    <x:cfRule type="cellIs" dxfId="18" priority="3" operator="lessThan">
      <x:formula>0</x:formula>
    </x:cfRule>
  </x:conditionalFormatting>
  <x:pageMargins left="0.7" right="0.7" top="0.75" bottom="0.75" header="0.3" footer="0.3"/>
</x:worksheet>
</file>

<file path=xl/worksheets/sheet43.xml><?xml version="1.0" encoding="utf-8"?>
<x:worksheet xmlns:x="http://schemas.openxmlformats.org/spreadsheetml/2006/main">
  <x:sheetFormatPr defaultRowHeight="15"/>
  <x:cols>
    <x:col min="1" max="1" width="25" hidden="0" customWidth="1"/>
    <x:col min="2" max="2" width="20" hidden="0" customWidth="1"/>
    <x:col min="3" max="3" width="30" hidden="0" customWidth="1"/>
    <x:col min="4" max="4" width="23" hidden="0" customWidth="1"/>
    <x:col min="5" max="5" width="38" hidden="0" customWidth="1"/>
    <x:col min="6" max="6" width="30" hidden="0" customWidth="1"/>
    <x:col min="7" max="7" width="3" hidden="0" customWidth="1"/>
    <x:col min="8" max="8" width="25" hidden="0" customWidth="1"/>
    <x:col min="9" max="9" width="16" hidden="0" customWidth="1"/>
    <x:col min="10" max="10" width="15" hidden="0" customWidth="1"/>
    <x:col min="11" max="11" width="22" hidden="0" customWidth="1"/>
    <x:col min="12" max="12" width="18" hidden="0" customWidth="1"/>
    <x:col min="13" max="13" width="22" hidden="0" customWidth="1"/>
    <x:col min="14" max="14" width="25" hidden="0" customWidth="1"/>
  </x:cols>
  <x:sheetData>
    <x:row r="1" ht="24" customHeight="1">
      <x:c r="A1" s="1360" t="str">
        <x:v>2024 Potash Industry Bridge and Capital-Proxy Gate</x:v>
      </x:c>
      <x:c r="B1" s="1360"/>
      <x:c r="C1" s="1360"/>
      <x:c r="D1" s="1360"/>
      <x:c r="E1" s="1360"/>
      <x:c r="F1" s="1360"/>
      <x:c r="G1" s="1360"/>
      <x:c r="H1" s="1360"/>
      <x:c r="I1" s="1360"/>
      <x:c r="J1" s="1360"/>
      <x:c r="K1" s="1360"/>
      <x:c r="L1" s="1360"/>
      <x:c r="M1" s="1360"/>
      <x:c r="N1" s="1360"/>
    </x:row>
    <x:row r="2" ht="32" customHeight="1">
      <x:c r="A2" s="1483" t="str">
        <x:v>The potash production account closes on the Statistics Canada industry boundary. Historical detailed investment from 2006 onward is now identified, but a direct opening stock, detailed potash CFC, exact asset parameters and work-in-progress treatment remain missing. Commodity economic rent therefore remains locked.</x:v>
      </x:c>
      <x:c r="B2" s="1483"/>
      <x:c r="C2" s="1483"/>
      <x:c r="D2" s="1483"/>
      <x:c r="E2" s="1483"/>
      <x:c r="F2" s="1483"/>
      <x:c r="G2" s="1483"/>
      <x:c r="H2" s="1483"/>
      <x:c r="I2" s="1483"/>
      <x:c r="J2" s="1483"/>
      <x:c r="K2" s="1483"/>
      <x:c r="L2" s="1483"/>
      <x:c r="M2" s="1483"/>
      <x:c r="N2" s="1483"/>
    </x:row>
    <x:row r="3">
      <x:c r="A3" s="1031"/>
      <x:c r="B3" s="1031"/>
      <x:c r="C3" s="1031"/>
      <x:c r="D3" s="1031"/>
      <x:c r="E3" s="1031"/>
      <x:c r="F3" s="1031"/>
      <x:c r="G3" s="1031"/>
      <x:c r="H3" s="1031"/>
      <x:c r="I3" s="1031"/>
      <x:c r="J3" s="1031"/>
      <x:c r="K3" s="1031"/>
      <x:c r="L3" s="1031"/>
      <x:c r="M3" s="1031"/>
      <x:c r="N3" s="1031"/>
    </x:row>
    <x:row r="4">
      <x:c r="A4" s="1362" t="str">
        <x:v>Terminal state</x:v>
      </x:c>
      <x:c r="B4" s="1362"/>
      <x:c r="C4" s="1362"/>
      <x:c r="D4" s="1362"/>
      <x:c r="E4" s="1362"/>
      <x:c r="F4" s="1362"/>
      <x:c r="G4" s="1362"/>
      <x:c r="H4" s="1362"/>
      <x:c r="I4" s="1362"/>
      <x:c r="J4" s="1362"/>
      <x:c r="K4" s="1362"/>
      <x:c r="L4" s="1362"/>
      <x:c r="M4" s="1362"/>
      <x:c r="N4" s="1362"/>
    </x:row>
    <x:row r="5">
      <x:c r="A5" s="1390" t="str">
        <x:v>Industry production identity</x:v>
      </x:c>
      <x:c r="B5" s="1391" t="str">
        <x:v>PASS</x:v>
      </x:c>
      <x:c r="C5" s="1031"/>
      <x:c r="D5" s="1390" t="str">
        <x:v>Reference year</x:v>
      </x:c>
      <x:c r="E5" s="1392" t="n">
        <x:f>'Industry_Input_Summary'!B14</x:f>
        <x:v>2024</x:v>
      </x:c>
      <x:c r="F5" s="1031"/>
      <x:c r="G5" s="1031"/>
      <x:c r="H5" s="1031"/>
      <x:c r="I5" s="1031"/>
      <x:c r="J5" s="1031"/>
      <x:c r="K5" s="1031"/>
      <x:c r="L5" s="1031"/>
      <x:c r="M5" s="1031"/>
      <x:c r="N5" s="1031"/>
    </x:row>
    <x:row r="6">
      <x:c r="A6" s="1390" t="str">
        <x:v>Industry boundary specificity</x:v>
      </x:c>
      <x:c r="B6" s="1391" t="str">
        <x:v>PASS</x:v>
      </x:c>
      <x:c r="C6" s="1031"/>
      <x:c r="D6" s="1390" t="str">
        <x:v>Industry boundary</x:v>
      </x:c>
      <x:c r="E6" s="178" t="str">
        <x:v>Potash mining [BS212396 / NAICS 212396]</x:v>
      </x:c>
      <x:c r="F6" s="1031"/>
      <x:c r="G6" s="1031"/>
      <x:c r="H6" s="1031"/>
      <x:c r="I6" s="1031"/>
      <x:c r="J6" s="1031"/>
      <x:c r="K6" s="1031"/>
      <x:c r="L6" s="1031"/>
      <x:c r="M6" s="1031"/>
      <x:c r="N6" s="1031"/>
    </x:row>
    <x:row r="7">
      <x:c r="A7" s="1390" t="str">
        <x:v>Capital proxy point estimate</x:v>
      </x:c>
      <x:c r="B7" s="1393" t="str">
        <x:v>REJECTED</x:v>
      </x:c>
      <x:c r="C7" s="1031"/>
      <x:c r="D7" s="1390" t="str">
        <x:v>Product-value control</x:v>
      </x:c>
      <x:c r="E7" s="178" t="str">
        <x:v>Official 2024 table exists; not imported</x:v>
      </x:c>
      <x:c r="F7" s="1031"/>
      <x:c r="G7" s="1031"/>
      <x:c r="H7" s="1031"/>
      <x:c r="I7" s="1031"/>
      <x:c r="J7" s="1031"/>
      <x:c r="K7" s="1031"/>
      <x:c r="L7" s="1031"/>
      <x:c r="M7" s="1031"/>
      <x:c r="N7" s="1031"/>
    </x:row>
    <x:row r="8">
      <x:c r="A8" s="1390" t="str">
        <x:v>Commodity boundary compatibility</x:v>
      </x:c>
      <x:c r="B8" s="1393" t="str">
        <x:v>FAIL</x:v>
      </x:c>
      <x:c r="C8" s="1031"/>
      <x:c r="D8" s="1390" t="str">
        <x:v>Economic-rent publication</x:v>
      </x:c>
      <x:c r="E8" s="178" t="str">
        <x:v>LOCKED</x:v>
      </x:c>
      <x:c r="F8" s="1031"/>
      <x:c r="G8" s="1031"/>
      <x:c r="H8" s="1031"/>
      <x:c r="I8" s="1031"/>
      <x:c r="J8" s="1031"/>
      <x:c r="K8" s="1031"/>
      <x:c r="L8" s="1031"/>
      <x:c r="M8" s="1031"/>
      <x:c r="N8" s="1031"/>
    </x:row>
    <x:row r="9">
      <x:c r="A9" s="1390" t="str">
        <x:v>Terminal ruling</x:v>
      </x:c>
      <x:c r="B9" s="1394" t="str">
        <x:v>PASS_WITH_DISCLOSED_LIMITS</x:v>
      </x:c>
      <x:c r="C9" s="1031"/>
      <x:c r="D9" s="1390" t="str">
        <x:v>Receipt core SHA-256</x:v>
      </x:c>
      <x:c r="E9" s="178" t="str">
        <x:v>0972dc5b6ee811352815814392b26c21ea0986dd1801f17018e072d022684199</x:v>
      </x:c>
      <x:c r="F9" s="1031"/>
      <x:c r="G9" s="1031"/>
      <x:c r="H9" s="1031"/>
      <x:c r="I9" s="1031"/>
      <x:c r="J9" s="1031"/>
      <x:c r="K9" s="1031"/>
      <x:c r="L9" s="1031"/>
      <x:c r="M9" s="1031"/>
      <x:c r="N9" s="1031"/>
    </x:row>
    <x:row r="10">
      <x:c r="A10" s="1031"/>
      <x:c r="B10" s="1031"/>
      <x:c r="C10" s="1031"/>
      <x:c r="D10" s="1031"/>
      <x:c r="E10" s="1031"/>
      <x:c r="F10" s="1031"/>
      <x:c r="G10" s="1031"/>
      <x:c r="H10" s="1031"/>
      <x:c r="I10" s="1031"/>
      <x:c r="J10" s="1031"/>
      <x:c r="K10" s="1031"/>
      <x:c r="L10" s="1031"/>
      <x:c r="M10" s="1031"/>
      <x:c r="N10" s="1031"/>
    </x:row>
    <x:row r="11">
      <x:c r="A11" s="1362" t="str">
        <x:v>Industry production-account reconciliation</x:v>
      </x:c>
      <x:c r="B11" s="1362"/>
      <x:c r="C11" s="1362"/>
      <x:c r="D11" s="1362"/>
      <x:c r="E11" s="1362"/>
      <x:c r="F11" s="1362"/>
      <x:c r="G11" s="1031"/>
      <x:c r="H11" s="1362" t="str">
        <x:v>Independent labour and boundary checks</x:v>
      </x:c>
      <x:c r="I11" s="1362"/>
      <x:c r="J11" s="1362"/>
      <x:c r="K11" s="1362"/>
      <x:c r="L11" s="1362"/>
      <x:c r="M11" s="1362"/>
      <x:c r="N11" s="1362"/>
    </x:row>
    <x:row r="12">
      <x:c r="A12" s="1363" t="str">
        <x:v>Metric</x:v>
      </x:c>
      <x:c r="B12" s="1363" t="str">
        <x:v>Amount ($B)</x:v>
      </x:c>
      <x:c r="C12" s="1363" t="str">
        <x:v>Formula / role</x:v>
      </x:c>
      <x:c r="D12" s="1363" t="str">
        <x:v>Official source</x:v>
      </x:c>
      <x:c r="E12" s="1363" t="str">
        <x:v>Boundary ruling</x:v>
      </x:c>
      <x:c r="F12" s="1363" t="str">
        <x:v>Status</x:v>
      </x:c>
      <x:c r="G12" s="1031"/>
      <x:c r="H12" s="1363" t="str">
        <x:v>Metric</x:v>
      </x:c>
      <x:c r="I12" s="1363" t="str">
        <x:v>Amount / result</x:v>
      </x:c>
      <x:c r="J12" s="1363" t="str">
        <x:v>Difference ($B)</x:v>
      </x:c>
      <x:c r="K12" s="1363" t="str">
        <x:v>Difference / IO</x:v>
      </x:c>
      <x:c r="L12" s="1363" t="str">
        <x:v>Status</x:v>
      </x:c>
      <x:c r="M12" s="1363" t="str">
        <x:v>Source</x:v>
      </x:c>
      <x:c r="N12" s="1363" t="str">
        <x:v>Ruling</x:v>
      </x:c>
    </x:row>
    <x:row r="13">
      <x:c r="A13" s="178" t="str">
        <x:v>Official industry output</x:v>
      </x:c>
      <x:c r="B13" s="1395" t="n">
        <x:f>'Industry_Input_Summary'!C14</x:f>
        <x:v>8.492848</x:v>
      </x:c>
      <x:c r="C13" s="178" t="str">
        <x:v>Purchaser-price total supply</x:v>
      </x:c>
      <x:c r="D13" s="178" t="str">
        <x:v>Statistics Canada 36-10-0001-01</x:v>
      </x:c>
      <x:c r="E13" s="178" t="str">
        <x:v>Exact potash-mining industry boundary</x:v>
      </x:c>
      <x:c r="F13" s="178" t="str">
        <x:v>OBSERVED</x:v>
      </x:c>
      <x:c r="G13" s="1031"/>
      <x:c r="H13" s="178" t="str">
        <x:v>IO employee compensation</x:v>
      </x:c>
      <x:c r="I13" s="1395" t="n">
        <x:f>'Industry_Input_Summary'!F14</x:f>
        <x:v>1.426298</x:v>
      </x:c>
      <x:c r="J13" s="178"/>
      <x:c r="K13" s="178"/>
      <x:c r="L13" s="178" t="str">
        <x:v>Production-account concept</x:v>
      </x:c>
      <x:c r="M13" s="178" t="str">
        <x:v>Statistics Canada 36-10-0001-01</x:v>
      </x:c>
      <x:c r="N13" s="178" t="str">
        <x:v>Use in industry identity</x:v>
      </x:c>
    </x:row>
    <x:row r="14">
      <x:c r="A14" s="178" t="str">
        <x:v>Operating expenses / intermediate inputs</x:v>
      </x:c>
      <x:c r="B14" s="1395" t="n">
        <x:f>'Industry_Input_Summary'!L14</x:f>
        <x:v>3.503634000000001</x:v>
      </x:c>
      <x:c r="C14" s="178" t="str">
        <x:v>All non-primary input rows at purchaser price</x:v>
      </x:c>
      <x:c r="D14" s="178" t="str">
        <x:v>Statistics Canada 36-10-0001-01</x:v>
      </x:c>
      <x:c r="E14" s="178" t="str">
        <x:v>Exact industry boundary</x:v>
      </x:c>
      <x:c r="F14" s="178" t="str">
        <x:v>DERIVED</x:v>
      </x:c>
      <x:c r="G14" s="1031"/>
      <x:c r="H14" s="178" t="str">
        <x:v>SNA total compensation — all jobs</x:v>
      </x:c>
      <x:c r="I14" s="1395" t="n">
        <x:f>'Labour_Benchmark_2024'!D14</x:f>
        <x:v>1.189629</x:v>
      </x:c>
      <x:c r="J14" s="178"/>
      <x:c r="K14" s="178"/>
      <x:c r="L14" s="178" t="str">
        <x:v>All-jobs compensation concept</x:v>
      </x:c>
      <x:c r="M14" s="178" t="str">
        <x:v>Statistics Canada 36-10-0489-04</x:v>
      </x:c>
      <x:c r="N14" s="178" t="str">
        <x:v>Validation only</x:v>
      </x:c>
    </x:row>
    <x:row r="15">
      <x:c r="A15" s="178" t="str">
        <x:v>Labour compensation</x:v>
      </x:c>
      <x:c r="B15" s="1395" t="n">
        <x:f>'Industry_Input_Summary'!F14</x:f>
        <x:v>1.426298</x:v>
      </x:c>
      <x:c r="C15" s="178" t="str">
        <x:v>Wages plus employer social contributions</x:v>
      </x:c>
      <x:c r="D15" s="178" t="str">
        <x:v>Statistics Canada 36-10-0001-01</x:v>
      </x:c>
      <x:c r="E15" s="178" t="str">
        <x:v>Exact industry boundary</x:v>
      </x:c>
      <x:c r="F15" s="178" t="str">
        <x:v>OBSERVED</x:v>
      </x:c>
      <x:c r="G15" s="1031"/>
      <x:c r="H15" s="178" t="str">
        <x:v>Benchmark minus IO</x:v>
      </x:c>
      <x:c r="I15" s="1395" t="n">
        <x:f>I14-I13</x:f>
        <x:v>-0.23666900000000002</x:v>
      </x:c>
      <x:c r="J15" s="1396" t="n">
        <x:f>I15</x:f>
        <x:v>-0.23666900000000002</x:v>
      </x:c>
      <x:c r="K15" s="1397" t="n">
        <x:f>I15/I13</x:f>
        <x:v>-0.16593236476528747</x:v>
      </x:c>
      <x:c r="L15" s="178" t="str">
        <x:v>CHECK</x:v>
      </x:c>
      <x:c r="M15" s="178" t="str">
        <x:v>Calculated</x:v>
      </x:c>
      <x:c r="N15" s="178" t="str">
        <x:v>Concept difference is not an adjustment</x:v>
      </x:c>
    </x:row>
    <x:row r="16">
      <x:c r="A16" s="178" t="str">
        <x:v>Net production taxes</x:v>
      </x:c>
      <x:c r="B16" s="1395" t="n">
        <x:f>'Industry_Input_Summary'!I14</x:f>
        <x:v>0.21546200000000001</x:v>
      </x:c>
      <x:c r="C16" s="178" t="str">
        <x:v>Taxes less subsidies on production</x:v>
      </x:c>
      <x:c r="D16" s="178" t="str">
        <x:v>Statistics Canada 36-10-0001-01</x:v>
      </x:c>
      <x:c r="E16" s="178" t="str">
        <x:v>Exact industry boundary</x:v>
      </x:c>
      <x:c r="F16" s="178" t="str">
        <x:v>OBSERVED</x:v>
      </x:c>
      <x:c r="G16" s="1031"/>
      <x:c r="H16" s="178" t="str">
        <x:v>Absolute difference / IO</x:v>
      </x:c>
      <x:c r="I16" s="1397" t="n">
        <x:f>ABS(I15/I13)</x:f>
        <x:v>0.16593236476528747</x:v>
      </x:c>
      <x:c r="J16" s="178"/>
      <x:c r="K16" s="178"/>
      <x:c r="L16" s="178" t="str">
        <x:v>CHECK</x:v>
      </x:c>
      <x:c r="M16" s="178" t="str">
        <x:v>Calculated</x:v>
      </x:c>
      <x:c r="N16" s="178" t="str">
        <x:v>Measures closeness only</x:v>
      </x:c>
    </x:row>
    <x:row r="17">
      <x:c r="A17" s="178" t="str">
        <x:v>Gross mixed income</x:v>
      </x:c>
      <x:c r="B17" s="1395" t="n">
        <x:f>'Industry_Input_Summary'!J14</x:f>
        <x:v>0</x:v>
      </x:c>
      <x:c r="C17" s="178" t="str">
        <x:v>Production-account primary input</x:v>
      </x:c>
      <x:c r="D17" s="178" t="str">
        <x:v>Statistics Canada 36-10-0001-01</x:v>
      </x:c>
      <x:c r="E17" s="178" t="str">
        <x:v>Exact industry boundary</x:v>
      </x:c>
      <x:c r="F17" s="178" t="str">
        <x:v>OBSERVED</x:v>
      </x:c>
      <x:c r="G17" s="1031"/>
      <x:c r="H17" s="178" t="str">
        <x:v>Validation gate</x:v>
      </x:c>
      <x:c r="I17" s="178" t="str">
        <x:f>IF(I16&lt;=Model_Parameters!$B$8,"PASS","REVIEW")</x:f>
        <x:v>REVIEW</x:v>
      </x:c>
      <x:c r="J17" s="178"/>
      <x:c r="K17" s="178"/>
      <x:c r="L17" s="178" t="str">
        <x:v>GATED</x:v>
      </x:c>
      <x:c r="M17" s="178" t="str">
        <x:v>1% threshold</x:v>
      </x:c>
      <x:c r="N17" s="178" t="str">
        <x:v>Scale does not validate boundary equivalence</x:v>
      </x:c>
    </x:row>
    <x:row r="18">
      <x:c r="A18" s="178" t="str">
        <x:v>Gross operating surplus</x:v>
      </x:c>
      <x:c r="B18" s="1395" t="n">
        <x:f>'Industry_Input_Summary'!K14</x:f>
        <x:v>3.347454</x:v>
      </x:c>
      <x:c r="C18" s="178" t="str">
        <x:v>Production-account residual before CFC and property income</x:v>
      </x:c>
      <x:c r="D18" s="178" t="str">
        <x:v>Statistics Canada 36-10-0001-01</x:v>
      </x:c>
      <x:c r="E18" s="178" t="str">
        <x:v>Exact industry boundary</x:v>
      </x:c>
      <x:c r="F18" s="178" t="str">
        <x:v>OBSERVED</x:v>
      </x:c>
      <x:c r="G18" s="1031"/>
      <x:c r="H18" s="178" t="str">
        <x:v>NAICS 212396 boundary</x:v>
      </x:c>
      <x:c r="I18" s="178" t="str">
        <x:v>YES</x:v>
      </x:c>
      <x:c r="J18" s="178"/>
      <x:c r="K18" s="178"/>
      <x:c r="L18" s="178" t="str">
        <x:v>PASS</x:v>
      </x:c>
      <x:c r="M18" s="178" t="str">
        <x:v>Statistics Canada NAICS 2022</x:v>
      </x:c>
      <x:c r="N18" s="178" t="str">
        <x:v>Mining, beneficiating or otherwise preparing potash</x:v>
      </x:c>
    </x:row>
    <x:row r="19">
      <x:c r="A19" s="178" t="str">
        <x:v>Reconstructed output</x:v>
      </x:c>
      <x:c r="B19" s="1396" t="n">
        <x:f>SUM(B14:B18)</x:f>
        <x:v>8.492848</x:v>
      </x:c>
      <x:c r="C19" s="178" t="str">
        <x:v>Intermediate inputs + labour + net taxes + GMI + GOS</x:v>
      </x:c>
      <x:c r="D19" s="178" t="str">
        <x:v>Calculated</x:v>
      </x:c>
      <x:c r="E19" s="178" t="str">
        <x:v>Must equal official output</x:v>
      </x:c>
      <x:c r="F19" s="178" t="str">
        <x:v>CHECK</x:v>
      </x:c>
      <x:c r="G19" s="1031"/>
      <x:c r="H19" s="178" t="str">
        <x:v>Official 2024 product-value table available</x:v>
      </x:c>
      <x:c r="I19" s="178" t="str">
        <x:v>YES</x:v>
      </x:c>
      <x:c r="J19" s="178"/>
      <x:c r="K19" s="178"/>
      <x:c r="L19" s="178" t="str">
        <x:v>OPEN</x:v>
      </x:c>
      <x:c r="M19" s="178" t="str">
        <x:v>Statistics Canada 16-10-0022-02</x:v>
      </x:c>
      <x:c r="N19" s="178" t="str">
        <x:v>Import exact potash shipment value</x:v>
      </x:c>
    </x:row>
    <x:row r="20">
      <x:c r="A20" s="178" t="str">
        <x:v>Identity difference</x:v>
      </x:c>
      <x:c r="B20" s="1396" t="n">
        <x:f>B13-B19</x:f>
        <x:v>0</x:v>
      </x:c>
      <x:c r="C20" s="178" t="str">
        <x:v>Official output less reconstructed output</x:v>
      </x:c>
      <x:c r="D20" s="178" t="str">
        <x:v>Calculated</x:v>
      </x:c>
      <x:c r="E20" s="178" t="str">
        <x:v>Zero required</x:v>
      </x:c>
      <x:c r="F20" s="178" t="str">
        <x:v>CHECK</x:v>
      </x:c>
      <x:c r="G20" s="1031"/>
      <x:c r="H20" s="178" t="str">
        <x:v>Official 2024 principal-statistics table available</x:v>
      </x:c>
      <x:c r="I20" s="178" t="str">
        <x:v>YES</x:v>
      </x:c>
      <x:c r="J20" s="178"/>
      <x:c r="K20" s="178"/>
      <x:c r="L20" s="178" t="str">
        <x:v>OPEN</x:v>
      </x:c>
      <x:c r="M20" s="178" t="str">
        <x:v>Statistics Canada 16-10-0031-01</x:v>
      </x:c>
      <x:c r="N20" s="178" t="str">
        <x:v>Import revenue and expense controls</x:v>
      </x:c>
    </x:row>
    <x:row r="21">
      <x:c r="A21" s="178" t="str">
        <x:v>Identity gate</x:v>
      </x:c>
      <x:c r="B21" s="1398" t="str">
        <x:f>IF(ABS(B20)&lt;=Model_Parameters!$B$9,"PASS","FAIL")</x:f>
        <x:v>PASS</x:v>
      </x:c>
      <x:c r="C21" s="178" t="str">
        <x:v>ABS(difference) ≤ $0.000001B</x:v>
      </x:c>
      <x:c r="D21" s="178" t="str">
        <x:v>Calculated gate</x:v>
      </x:c>
      <x:c r="E21" s="178" t="str">
        <x:v>Industry reconciliation only</x:v>
      </x:c>
      <x:c r="F21" s="178" t="str">
        <x:v>GATED</x:v>
      </x:c>
      <x:c r="G21" s="1031"/>
      <x:c r="H21" s="178" t="str">
        <x:v>Product/industry reconciliation complete</x:v>
      </x:c>
      <x:c r="I21" s="178" t="str">
        <x:v>NO</x:v>
      </x:c>
      <x:c r="J21" s="178"/>
      <x:c r="K21" s="178"/>
      <x:c r="L21" s="178" t="str">
        <x:v>FAIL</x:v>
      </x:c>
      <x:c r="M21" s="178" t="str">
        <x:v>Current evidence package</x:v>
      </x:c>
      <x:c r="N21" s="178" t="str">
        <x:v>Commodity output cannot be authorized yet</x:v>
      </x:c>
    </x:row>
    <x:row r="22">
      <x:c r="A22" s="1031"/>
      <x:c r="B22" s="1031"/>
      <x:c r="C22" s="1031"/>
      <x:c r="D22" s="1031"/>
      <x:c r="E22" s="1031"/>
      <x:c r="F22" s="1031"/>
      <x:c r="G22" s="1031"/>
      <x:c r="H22" s="1031"/>
      <x:c r="I22" s="1031"/>
      <x:c r="J22" s="1031"/>
      <x:c r="K22" s="1031"/>
      <x:c r="L22" s="1031"/>
      <x:c r="M22" s="1031"/>
      <x:c r="N22" s="1031"/>
    </x:row>
    <x:row r="23">
      <x:c r="A23" s="1362" t="str">
        <x:v>Produced-capital allocation stress test</x:v>
      </x:c>
      <x:c r="B23" s="1362"/>
      <x:c r="C23" s="1362"/>
      <x:c r="D23" s="1362"/>
      <x:c r="E23" s="1362"/>
      <x:c r="F23" s="1362"/>
      <x:c r="G23" s="1031"/>
      <x:c r="H23" s="1362" t="str">
        <x:v>Commodity-boundary and publication gate</x:v>
      </x:c>
      <x:c r="I23" s="1362"/>
      <x:c r="J23" s="1362"/>
      <x:c r="K23" s="1362"/>
      <x:c r="L23" s="1362"/>
      <x:c r="M23" s="1362"/>
      <x:c r="N23" s="1362"/>
    </x:row>
    <x:row r="24">
      <x:c r="A24" s="1363" t="str">
        <x:v>Metric</x:v>
      </x:c>
      <x:c r="B24" s="1363" t="str">
        <x:v>CAPEX-share scenario</x:v>
      </x:c>
      <x:c r="C24" s="1363" t="str">
        <x:v>Output-share scenario</x:v>
      </x:c>
      <x:c r="D24" s="1363" t="str">
        <x:v>Difference</x:v>
      </x:c>
      <x:c r="E24" s="1363" t="str">
        <x:v>Interpretation</x:v>
      </x:c>
      <x:c r="F24" s="1363" t="str">
        <x:v>Point-estimate ruling</x:v>
      </x:c>
      <x:c r="G24" s="1031"/>
      <x:c r="H24" s="1363" t="str">
        <x:v>Requirement</x:v>
      </x:c>
      <x:c r="I24" s="1363" t="str">
        <x:v>Result</x:v>
      </x:c>
      <x:c r="J24" s="1363" t="str">
        <x:v>Unit / test</x:v>
      </x:c>
      <x:c r="K24" s="1363" t="str">
        <x:v>Source</x:v>
      </x:c>
      <x:c r="L24" s="1363" t="str">
        <x:v>Evidence status</x:v>
      </x:c>
      <x:c r="M24" s="1363" t="str">
        <x:v>Ruling</x:v>
      </x:c>
      <x:c r="N24" s="1363" t="str">
        <x:v>Next action</x:v>
      </x:c>
    </x:row>
    <x:row r="25">
      <x:c r="A25" s="178" t="str">
        <x:v>Allocation share</x:v>
      </x:c>
      <x:c r="B25" s="1060" t="n">
        <x:f>'Capital_Proxy_Stress_Test'!E11</x:f>
        <x:v>0.15117252648566162</x:v>
      </x:c>
      <x:c r="C25" s="1060" t="n">
        <x:f>'Capital_Proxy_Stress_Test'!F11</x:f>
        <x:v>0.041308884210190445</x:v>
      </x:c>
      <x:c r="D25" s="1397" t="n">
        <x:f>C25-B25</x:f>
        <x:v>-0.10986364227547118</x:v>
      </x:c>
      <x:c r="E25" s="178" t="str">
        <x:v>One-year investment share versus current output share</x:v>
      </x:c>
      <x:c r="F25" s="178" t="str"/>
      <x:c r="G25" s="1031"/>
      <x:c r="H25" s="178" t="str">
        <x:v>Same year and geography</x:v>
      </x:c>
      <x:c r="I25" s="1398" t="str">
        <x:v>PASS</x:v>
      </x:c>
      <x:c r="J25" s="178" t="str">
        <x:v>2024 / Canada</x:v>
      </x:c>
      <x:c r="K25" s="178" t="str">
        <x:v>Current workbook</x:v>
      </x:c>
      <x:c r="L25" s="178" t="str">
        <x:v>Complete</x:v>
      </x:c>
      <x:c r="M25" s="178" t="str">
        <x:v>Industry controls align</x:v>
      </x:c>
      <x:c r="N25" s="178" t="str">
        <x:v>Retain</x:v>
      </x:c>
    </x:row>
    <x:row r="26">
      <x:c r="A26" s="178" t="str">
        <x:v>Consumption of fixed capital ($B)</x:v>
      </x:c>
      <x:c r="B26" s="1396" t="n">
        <x:f>'Capital_Proxy_Stress_Test'!H11</x:f>
        <x:v>5.644479793921634</x:v>
      </x:c>
      <x:c r="C26" s="1396" t="n">
        <x:f>'Capital_Proxy_Stress_Test'!I11</x:f>
        <x:v>1.5423911186400912</x:v>
      </x:c>
      <x:c r="D26" s="1396" t="n">
        <x:f>C26-B26</x:f>
        <x:v>-4.102088675281543</x:v>
      </x:c>
      <x:c r="E26" s="178" t="str">
        <x:v>Both reconcile to the same official aggregate</x:v>
      </x:c>
      <x:c r="F26" s="178" t="str"/>
      <x:c r="G26" s="1031"/>
      <x:c r="H26" s="178" t="str">
        <x:v>Industry production identity</x:v>
      </x:c>
      <x:c r="I26" s="1398" t="str">
        <x:v>PASS</x:v>
      </x:c>
      <x:c r="J26" s="178" t="str">
        <x:v>Zero difference</x:v>
      </x:c>
      <x:c r="K26" s="178" t="str">
        <x:v>Potash_Bridge_2024</x:v>
      </x:c>
      <x:c r="L26" s="178" t="str">
        <x:v>Complete</x:v>
      </x:c>
      <x:c r="M26" s="178" t="str">
        <x:v>Industry bridge closes</x:v>
      </x:c>
      <x:c r="N26" s="178" t="str">
        <x:v>Retain</x:v>
      </x:c>
    </x:row>
    <x:row r="27">
      <x:c r="A27" s="178" t="str">
        <x:v>Net produced-capital stock ($B)</x:v>
      </x:c>
      <x:c r="B27" s="1396" t="n">
        <x:f>'Capital_Proxy_Stress_Test'!J11</x:f>
        <x:v>49.110813989290946</x:v>
      </x:c>
      <x:c r="C27" s="1396" t="n">
        <x:f>'Capital_Proxy_Stress_Test'!K11</x:f>
        <x:v>13.41985197782773</x:v>
      </x:c>
      <x:c r="D27" s="1396" t="n">
        <x:f>C27-B27</x:f>
        <x:v>-35.69096201146321</x:v>
      </x:c>
      <x:c r="E27" s="178" t="str">
        <x:v>Both are allocation scenarios, not observations</x:v>
      </x:c>
      <x:c r="F27" s="178" t="str"/>
      <x:c r="G27" s="1031"/>
      <x:c r="H27" s="178" t="str">
        <x:v>Narrow industry definition</x:v>
      </x:c>
      <x:c r="I27" s="1398" t="str">
        <x:v>PASS</x:v>
      </x:c>
      <x:c r="J27" s="178" t="str">
        <x:v>NAICS 212396</x:v>
      </x:c>
      <x:c r="K27" s="178" t="str">
        <x:v>Statistics Canada NAICS</x:v>
      </x:c>
      <x:c r="L27" s="178" t="str">
        <x:v>Complete</x:v>
      </x:c>
      <x:c r="M27" s="178" t="str">
        <x:v>Potash-specific industry</x:v>
      </x:c>
      <x:c r="N27" s="178" t="str">
        <x:v>Retain</x:v>
      </x:c>
    </x:row>
    <x:row r="28">
      <x:c r="A28" s="178" t="str">
        <x:v>Normal-return rate</x:v>
      </x:c>
      <x:c r="B28" s="1060" t="n">
        <x:f>'Capital_Allocation_2024'!L11</x:f>
        <x:v>0.009091666666666665</x:v>
      </x:c>
      <x:c r="C28" s="1060" t="n">
        <x:f>'Capital_Allocation_2024'!L11</x:f>
        <x:v>0.009091666666666665</x:v>
      </x:c>
      <x:c r="D28" s="1397" t="n">
        <x:f>C28-B28</x:f>
        <x:v>0</x:v>
      </x:c>
      <x:c r="E28" s="178" t="str">
        <x:v>Rate method held constant</x:v>
      </x:c>
      <x:c r="F28" s="178" t="str"/>
      <x:c r="G28" s="1031"/>
      <x:c r="H28" s="178" t="str">
        <x:v>Official product shipment value</x:v>
      </x:c>
      <x:c r="I28" s="1399" t="str">
        <x:v>NOT IMPORTED</x:v>
      </x:c>
      <x:c r="J28" s="178" t="str">
        <x:v>2024 potash product</x:v>
      </x:c>
      <x:c r="K28" s="178" t="str">
        <x:v>Statistics Canada 16-10-0022-02</x:v>
      </x:c>
      <x:c r="L28" s="178" t="str">
        <x:v>Open</x:v>
      </x:c>
      <x:c r="M28" s="178" t="str">
        <x:v>Needed to test commodity output</x:v>
      </x:c>
      <x:c r="N28" s="178" t="str">
        <x:v>Extract full-table row</x:v>
      </x:c>
    </x:row>
    <x:row r="29">
      <x:c r="A29" s="178" t="str">
        <x:v>Normal return ($B)</x:v>
      </x:c>
      <x:c r="B29" s="1396" t="n">
        <x:f>'Capital_Proxy_Stress_Test'!L11</x:f>
        <x:v>0.4464991505193034</x:v>
      </x:c>
      <x:c r="C29" s="1396" t="n">
        <x:f>'Capital_Proxy_Stress_Test'!M11</x:f>
        <x:v>0.12200882089841708</x:v>
      </x:c>
      <x:c r="D29" s="1396" t="n">
        <x:f>C29-B29</x:f>
        <x:v>-0.3244903296208863</x:v>
      </x:c>
      <x:c r="E29" s="178" t="str">
        <x:v>Capital base drives the difference</x:v>
      </x:c>
      <x:c r="F29" s="178" t="str"/>
      <x:c r="G29" s="1031"/>
      <x:c r="H29" s="178" t="str">
        <x:v>Principal industry revenue/expenses</x:v>
      </x:c>
      <x:c r="I29" s="1399" t="str">
        <x:v>NOT IMPORTED</x:v>
      </x:c>
      <x:c r="J29" s="178" t="str">
        <x:v>2024 potash industry</x:v>
      </x:c>
      <x:c r="K29" s="178" t="str">
        <x:v>Statistics Canada 16-10-0031-01</x:v>
      </x:c>
      <x:c r="L29" s="178" t="str">
        <x:v>Open</x:v>
      </x:c>
      <x:c r="M29" s="178" t="str">
        <x:v>Independent cost control</x:v>
      </x:c>
      <x:c r="N29" s="178" t="str">
        <x:v>Extract full-table rows</x:v>
      </x:c>
    </x:row>
    <x:row r="30">
      <x:c r="A30" s="178" t="str">
        <x:v>Industry surplus after CFC and normal return ($B)</x:v>
      </x:c>
      <x:c r="B30" s="1396" t="n">
        <x:f>'Capital_Proxy_Stress_Test'!O11</x:f>
        <x:v>-2.7435249444409373</x:v>
      </x:c>
      <x:c r="C30" s="1396" t="n">
        <x:f>'Capital_Proxy_Stress_Test'!P11</x:f>
        <x:v>1.6830540604614916</x:v>
      </x:c>
      <x:c r="D30" s="1396" t="n">
        <x:f>C30-B30</x:f>
        <x:v>4.426579004902429</x:v>
      </x:c>
      <x:c r="E30" s="178" t="str">
        <x:v>The allocation changes the sign</x:v>
      </x:c>
      <x:c r="F30" s="1399" t="str">
        <x:v>REJECT</x:v>
      </x:c>
      <x:c r="G30" s="1031"/>
      <x:c r="H30" s="178" t="str">
        <x:v>Observed detailed CFC/net stock</x:v>
      </x:c>
      <x:c r="I30" s="1399" t="str">
        <x:v>NO</x:v>
      </x:c>
      <x:c r="J30" s="178" t="str">
        <x:v>Potash industry</x:v>
      </x:c>
      <x:c r="K30" s="178" t="str">
        <x:v>Statistics Canada 36-10-0096-01</x:v>
      </x:c>
      <x:c r="L30" s="178" t="str">
        <x:v>Missing</x:v>
      </x:c>
      <x:c r="M30" s="178" t="str">
        <x:v>Current table is aggregate</x:v>
      </x:c>
      <x:c r="N30" s="178" t="str">
        <x:v>See Potash_PIM_Evidence_Gate; obtain direct opening stock/CFC or complete evidence-backed PIM.</x:v>
      </x:c>
    </x:row>
    <x:row r="31">
      <x:c r="A31" s="178" t="str">
        <x:v>Scenario swing ($B)</x:v>
      </x:c>
      <x:c r="B31" s="1396" t="n">
        <x:f>'Capital_Proxy_Stress_Test'!Q11</x:f>
        <x:v>4.426579004902429</x:v>
      </x:c>
      <x:c r="C31" s="1396" t="n">
        <x:f>'Capital_Proxy_Stress_Test'!Q11</x:f>
        <x:v>4.426579004902429</x:v>
      </x:c>
      <x:c r="D31" s="1396" t="n">
        <x:f>0</x:f>
        <x:v>0</x:v>
      </x:c>
      <x:c r="E31" s="178" t="str">
        <x:v>Method uncertainty exceeds the result</x:v>
      </x:c>
      <x:c r="F31" s="1399" t="str">
        <x:v>REJECT</x:v>
      </x:c>
      <x:c r="G31" s="1031"/>
      <x:c r="H31" s="178" t="str">
        <x:v>CAPEX-share point estimate</x:v>
      </x:c>
      <x:c r="I31" s="1399" t="str">
        <x:v>FAIL</x:v>
      </x:c>
      <x:c r="J31" s="178" t="str">
        <x:v>Stress test</x:v>
      </x:c>
      <x:c r="K31" s="178" t="str">
        <x:v>Capital_Proxy_Stress_Test</x:v>
      </x:c>
      <x:c r="L31" s="178" t="str">
        <x:v>Complete</x:v>
      </x:c>
      <x:c r="M31" s="178" t="str">
        <x:v>Changes sign versus output-share scenario</x:v>
      </x:c>
      <x:c r="N31" s="178" t="str">
        <x:v>Do not publish</x:v>
      </x:c>
    </x:row>
    <x:row r="32">
      <x:c r="A32" s="178" t="str">
        <x:v>Maximum residual-capital share before negative result</x:v>
      </x:c>
      <x:c r="B32" s="1060" t="n">
        <x:f>'Capital_Proxy_Stress_Test'!B23</x:f>
        <x:v>0.08308074664030564</x:v>
      </x:c>
      <x:c r="C32" s="1060" t="n">
        <x:f>'Capital_Proxy_Stress_Test'!B23</x:f>
        <x:v>0.08308074664030564</x:v>
      </x:c>
      <x:c r="D32" s="1397" t="n">
        <x:f>0</x:f>
        <x:v>0</x:v>
      </x:c>
      <x:c r="E32" s="178" t="str">
        <x:v>Current CAPEX share exceeds this threshold</x:v>
      </x:c>
      <x:c r="F32" s="1399" t="str">
        <x:v>REJECT</x:v>
      </x:c>
      <x:c r="G32" s="1031"/>
      <x:c r="H32" s="178" t="str">
        <x:v>Commodity boundary compatibility</x:v>
      </x:c>
      <x:c r="I32" s="1399" t="str">
        <x:v>FAIL</x:v>
      </x:c>
      <x:c r="J32" s="178" t="str">
        <x:v>Every mandatory gate</x:v>
      </x:c>
      <x:c r="K32" s="178" t="str">
        <x:v>Calculated</x:v>
      </x:c>
      <x:c r="L32" s="178" t="str">
        <x:v>Incomplete</x:v>
      </x:c>
      <x:c r="M32" s="178" t="str">
        <x:v>Costs and capital not product-compatible</x:v>
      </x:c>
      <x:c r="N32" s="178" t="str">
        <x:v>LOCKED</x:v>
      </x:c>
    </x:row>
    <x:row r="33">
      <x:c r="A33" s="1031"/>
      <x:c r="B33" s="1031"/>
      <x:c r="C33" s="1031"/>
      <x:c r="D33" s="1031"/>
      <x:c r="E33" s="1031"/>
      <x:c r="F33" s="1031"/>
      <x:c r="G33" s="1031"/>
      <x:c r="H33" s="178" t="str">
        <x:v>Commodity economic rent authorized</x:v>
      </x:c>
      <x:c r="I33" s="1399" t="str">
        <x:v>NO</x:v>
      </x:c>
      <x:c r="J33" s="178" t="str">
        <x:v>Publication gate</x:v>
      </x:c>
      <x:c r="K33" s="178" t="str">
        <x:v>Governance rule</x:v>
      </x:c>
      <x:c r="L33" s="178" t="str">
        <x:v>Locked</x:v>
      </x:c>
      <x:c r="M33" s="178" t="str">
        <x:v>No rent value enters Commodity_Rent_Bridge</x:v>
      </x:c>
      <x:c r="N33" s="178" t="str">
        <x:v>LOCKED</x:v>
      </x:c>
    </x:row>
    <x:row r="34">
      <x:c r="A34" s="1031"/>
      <x:c r="B34" s="1031"/>
      <x:c r="C34" s="1031"/>
      <x:c r="D34" s="1031"/>
      <x:c r="E34" s="1031"/>
      <x:c r="F34" s="1031"/>
      <x:c r="G34" s="1031"/>
      <x:c r="H34" s="1031"/>
      <x:c r="I34" s="1031"/>
      <x:c r="J34" s="1031"/>
      <x:c r="K34" s="1031"/>
      <x:c r="L34" s="1031"/>
      <x:c r="M34" s="1031"/>
      <x:c r="N34" s="1031"/>
    </x:row>
    <x:row r="35">
      <x:c r="A35" s="1031"/>
      <x:c r="B35" s="1031"/>
      <x:c r="C35" s="1031"/>
      <x:c r="D35" s="1031"/>
      <x:c r="E35" s="1031"/>
      <x:c r="F35" s="1031"/>
      <x:c r="G35" s="1031"/>
      <x:c r="H35" s="1031"/>
      <x:c r="I35" s="1031"/>
      <x:c r="J35" s="1031"/>
      <x:c r="K35" s="1031"/>
      <x:c r="L35" s="1031"/>
      <x:c r="M35" s="1031"/>
      <x:c r="N35" s="1031"/>
    </x:row>
    <x:row r="36">
      <x:c r="A36" s="1362" t="str">
        <x:v>Publication ruling and developed finding</x:v>
      </x:c>
      <x:c r="B36" s="1362"/>
      <x:c r="C36" s="1362"/>
      <x:c r="D36" s="1362"/>
      <x:c r="E36" s="1362"/>
      <x:c r="F36" s="1362"/>
      <x:c r="G36" s="1362"/>
      <x:c r="H36" s="1362"/>
      <x:c r="I36" s="1362"/>
      <x:c r="J36" s="1362"/>
      <x:c r="K36" s="1362"/>
      <x:c r="L36" s="1362"/>
      <x:c r="M36" s="1362"/>
      <x:c r="N36" s="1362"/>
    </x:row>
    <x:row r="37">
      <x:c r="A37" s="1363" t="str">
        <x:v>Finding</x:v>
      </x:c>
      <x:c r="B37" s="1363" t="str">
        <x:v>Result</x:v>
      </x:c>
      <x:c r="C37" s="1363" t="str">
        <x:v>Interpretation</x:v>
      </x:c>
      <x:c r="D37" s="1031"/>
      <x:c r="E37" s="1031"/>
      <x:c r="F37" s="1031"/>
      <x:c r="G37" s="1031"/>
      <x:c r="H37" s="1031"/>
      <x:c r="I37" s="1031"/>
      <x:c r="J37" s="1031"/>
      <x:c r="K37" s="1031"/>
      <x:c r="L37" s="1031"/>
      <x:c r="M37" s="1031"/>
      <x:c r="N37" s="1031"/>
    </x:row>
    <x:row r="38">
      <x:c r="A38" s="178" t="str">
        <x:v>Industry operating surplus before CFC and normal return</x:v>
      </x:c>
      <x:c r="B38" s="1396" t="n">
        <x:f>'Industry_Input_Summary'!K14</x:f>
        <x:v>3.347454</x:v>
      </x:c>
      <x:c r="C38" s="178" t="str">
        <x:v>Exact 2024 production-account residual; not commodity rent.</x:v>
      </x:c>
      <x:c r="D38" s="1031"/>
      <x:c r="E38" s="1031"/>
      <x:c r="F38" s="1031"/>
      <x:c r="G38" s="1031"/>
      <x:c r="H38" s="1031"/>
      <x:c r="I38" s="1031"/>
      <x:c r="J38" s="1031"/>
      <x:c r="K38" s="1031"/>
      <x:c r="L38" s="1031"/>
      <x:c r="M38" s="1031"/>
      <x:c r="N38" s="1031"/>
    </x:row>
    <x:row r="39">
      <x:c r="A39" s="178" t="str">
        <x:v>CAPEX-share post-capital diagnostic</x:v>
      </x:c>
      <x:c r="B39" s="1396" t="n">
        <x:f>'Capital_Proxy_Stress_Test'!O11</x:f>
        <x:v>-2.7435249444409373</x:v>
      </x:c>
      <x:c r="C39" s="178" t="str">
        <x:v>Negative result is driven by allocating 15.12% of residual capital to potash.</x:v>
      </x:c>
      <x:c r="D39" s="1031"/>
      <x:c r="E39" s="1031"/>
      <x:c r="F39" s="1031"/>
      <x:c r="G39" s="1031"/>
      <x:c r="H39" s="1031"/>
      <x:c r="I39" s="1031"/>
      <x:c r="J39" s="1031"/>
      <x:c r="K39" s="1031"/>
      <x:c r="L39" s="1031"/>
      <x:c r="M39" s="1031"/>
      <x:c r="N39" s="1031"/>
    </x:row>
    <x:row r="40">
      <x:c r="A40" s="178" t="str">
        <x:v>Output-share post-capital diagnostic</x:v>
      </x:c>
      <x:c r="B40" s="1396" t="n">
        <x:f>'Capital_Proxy_Stress_Test'!P11</x:f>
        <x:v>1.6830540604614916</x:v>
      </x:c>
      <x:c r="C40" s="178" t="str">
        <x:v>Positive result uses a different but also unvalidated proxy.</x:v>
      </x:c>
      <x:c r="D40" s="1031"/>
      <x:c r="E40" s="1031"/>
      <x:c r="F40" s="1031"/>
      <x:c r="G40" s="1031"/>
      <x:c r="H40" s="1031"/>
      <x:c r="I40" s="1031"/>
      <x:c r="J40" s="1031"/>
      <x:c r="K40" s="1031"/>
      <x:c r="L40" s="1031"/>
      <x:c r="M40" s="1031"/>
      <x:c r="N40" s="1031"/>
    </x:row>
    <x:row r="41">
      <x:c r="A41" s="178" t="str">
        <x:v>Method-driven range</x:v>
      </x:c>
      <x:c r="B41" s="1396" t="n">
        <x:f>'Capital_Proxy_Stress_Test'!Q11</x:f>
        <x:v>4.426579004902429</x:v>
      </x:c>
      <x:c r="C41" s="178" t="str">
        <x:v>A $4.427B swing means capital allocation dominates the estimate.</x:v>
      </x:c>
      <x:c r="D41" s="1031"/>
      <x:c r="E41" s="1031"/>
      <x:c r="F41" s="1031"/>
      <x:c r="G41" s="1031"/>
      <x:c r="H41" s="1031"/>
      <x:c r="I41" s="1031"/>
      <x:c r="J41" s="1031"/>
      <x:c r="K41" s="1031"/>
      <x:c r="L41" s="1031"/>
      <x:c r="M41" s="1031"/>
      <x:c r="N41" s="1031"/>
    </x:row>
    <x:row r="42">
      <x:c r="A42" s="178" t="str">
        <x:v>Terminal conclusion</x:v>
      </x:c>
      <x:c r="B42" s="1374" t="str">
        <x:v>CAPITAL PROXY REJECTED AS POINT ESTIMATE</x:v>
      </x:c>
      <x:c r="C42" s="178" t="str">
        <x:v>The correct finding is uncertainty, not a selected rent number.</x:v>
      </x:c>
      <x:c r="D42" s="1031"/>
      <x:c r="E42" s="1031"/>
      <x:c r="F42" s="1031"/>
      <x:c r="G42" s="1031"/>
      <x:c r="H42" s="1031"/>
      <x:c r="I42" s="1031"/>
      <x:c r="J42" s="1031"/>
      <x:c r="K42" s="1031"/>
      <x:c r="L42" s="1031"/>
      <x:c r="M42" s="1031"/>
      <x:c r="N42" s="1031"/>
    </x:row>
    <x:row r="43">
      <x:c r="A43" s="1031"/>
      <x:c r="B43" s="1031"/>
      <x:c r="C43" s="1031"/>
      <x:c r="D43" s="1031"/>
      <x:c r="E43" s="1031"/>
      <x:c r="F43" s="1031"/>
      <x:c r="G43" s="1031"/>
      <x:c r="H43" s="1031"/>
      <x:c r="I43" s="1031"/>
      <x:c r="J43" s="1031"/>
      <x:c r="K43" s="1031"/>
      <x:c r="L43" s="1031"/>
      <x:c r="M43" s="1031"/>
      <x:c r="N43" s="1031"/>
    </x:row>
    <x:row r="44">
      <x:c r="A44" s="1031"/>
      <x:c r="B44" s="1031"/>
      <x:c r="C44" s="1031"/>
      <x:c r="D44" s="1031"/>
      <x:c r="E44" s="1031"/>
      <x:c r="F44" s="1031"/>
      <x:c r="G44" s="1031"/>
      <x:c r="H44" s="1031"/>
      <x:c r="I44" s="1031"/>
      <x:c r="J44" s="1031"/>
      <x:c r="K44" s="1031"/>
      <x:c r="L44" s="1031"/>
      <x:c r="M44" s="1031"/>
      <x:c r="N44" s="1031"/>
    </x:row>
    <x:row r="45">
      <x:c r="A45" s="1362" t="str">
        <x:v>Source map</x:v>
      </x:c>
      <x:c r="B45" s="1362"/>
      <x:c r="C45" s="1362"/>
      <x:c r="D45" s="1362"/>
      <x:c r="E45" s="1362"/>
      <x:c r="F45" s="1362"/>
      <x:c r="G45" s="1362"/>
      <x:c r="H45" s="1362"/>
      <x:c r="I45" s="1362"/>
      <x:c r="J45" s="1362"/>
      <x:c r="K45" s="1362"/>
      <x:c r="L45" s="1362"/>
      <x:c r="M45" s="1362"/>
      <x:c r="N45" s="1362"/>
    </x:row>
    <x:row r="46">
      <x:c r="A46" s="1344" t="str">
        <x:v>Source ID</x:v>
      </x:c>
      <x:c r="B46" s="1344" t="str">
        <x:v>Dataset</x:v>
      </x:c>
      <x:c r="C46" s="1344" t="str">
        <x:v>Reference year</x:v>
      </x:c>
      <x:c r="D46" s="1344" t="str">
        <x:v>Local artifact</x:v>
      </x:c>
      <x:c r="E46" s="1344" t="str">
        <x:v>Official URL</x:v>
      </x:c>
      <x:c r="F46" s="1344" t="str">
        <x:v>Use / boundary ruling</x:v>
      </x:c>
      <x:c r="G46" s="1363"/>
      <x:c r="H46" s="1031"/>
      <x:c r="I46" s="1031"/>
      <x:c r="J46" s="1031"/>
      <x:c r="K46" s="1031"/>
      <x:c r="L46" s="1031"/>
      <x:c r="M46" s="1031"/>
      <x:c r="N46" s="1031"/>
    </x:row>
    <x:row r="47">
      <x:c r="A47" s="178" t="str">
        <x:v>POT-001</x:v>
      </x:c>
      <x:c r="B47" s="178" t="str">
        <x:v>Statistics Canada input-output tables 36-10-0001-01</x:v>
      </x:c>
      <x:c r="C47" s="178" t="n">
        <x:v>2024</x:v>
      </x:c>
      <x:c r="D47" s="178" t="str">
        <x:v>io_target_rows_2024.csv</x:v>
      </x:c>
      <x:c r="E47" s="178" t="str">
        <x:v>https://www150.statcan.gc.ca/n1/en/catalogue/3610000101</x:v>
      </x:c>
      <x:c r="F47" s="178" t="str">
        <x:v>Output, intermediate inputs, labour, production taxes and GOS; exact potash-mining industry control.</x:v>
      </x:c>
      <x:c r="G47" s="178"/>
      <x:c r="H47" s="1031"/>
      <x:c r="I47" s="1031"/>
      <x:c r="J47" s="1031"/>
      <x:c r="K47" s="1031"/>
      <x:c r="L47" s="1031"/>
      <x:c r="M47" s="1031"/>
      <x:c r="N47" s="1031"/>
    </x:row>
    <x:row r="48">
      <x:c r="A48" s="178" t="str">
        <x:v>POT-002</x:v>
      </x:c>
      <x:c r="B48" s="178" t="str">
        <x:v>Statistics Canada labour benchmark 36-10-0489-04</x:v>
      </x:c>
      <x:c r="C48" s="178" t="n">
        <x:v>2024</x:v>
      </x:c>
      <x:c r="D48" s="178" t="str">
        <x:v>labour_target_rows_2024.csv</x:v>
      </x:c>
      <x:c r="E48" s="178" t="str">
        <x:v>https://www150.statcan.gc.ca/n1/tbl/csv/36100489-eng.zip</x:v>
      </x:c>
      <x:c r="F48" s="178" t="str">
        <x:v>Independent all-jobs compensation check; validation only.</x:v>
      </x:c>
      <x:c r="G48" s="178"/>
      <x:c r="H48" s="1031"/>
      <x:c r="I48" s="1031"/>
      <x:c r="J48" s="1031"/>
      <x:c r="K48" s="1031"/>
      <x:c r="L48" s="1031"/>
      <x:c r="M48" s="1031"/>
      <x:c r="N48" s="1031"/>
    </x:row>
    <x:row r="49">
      <x:c r="A49" s="178" t="str">
        <x:v>POT-003</x:v>
      </x:c>
      <x:c r="B49" s="178" t="str">
        <x:v>Statistics Canada capital stocks 36-10-0096-01</x:v>
      </x:c>
      <x:c r="C49" s="178" t="n">
        <x:v>2024</x:v>
      </x:c>
      <x:c r="D49" s="178" t="str">
        <x:v>capital_target_rows_2024.csv</x:v>
      </x:c>
      <x:c r="E49" s="178" t="str">
        <x:v>https://www150.statcan.gc.ca/n1/en/catalogue/3610009601</x:v>
      </x:c>
      <x:c r="F49" s="178" t="str">
        <x:v>Official aggregate CFC and net-stock controls; no direct potash row.</x:v>
      </x:c>
      <x:c r="G49" s="178"/>
      <x:c r="H49" s="1031"/>
      <x:c r="I49" s="1031"/>
      <x:c r="J49" s="1031"/>
      <x:c r="K49" s="1031"/>
      <x:c r="L49" s="1031"/>
      <x:c r="M49" s="1031"/>
      <x:c r="N49" s="1031"/>
    </x:row>
    <x:row r="50">
      <x:c r="A50" s="178" t="str">
        <x:v>POT-004</x:v>
      </x:c>
      <x:c r="B50" s="178" t="str">
        <x:v>NAICS Canada 2022 — 212396 Potash mining</x:v>
      </x:c>
      <x:c r="C50" s="178" t="n">
        <x:v>2022</x:v>
      </x:c>
      <x:c r="D50" s="178" t="str">
        <x:v>Web source</x:v>
      </x:c>
      <x:c r="E50" s="178" t="str">
        <x:v>https://www23.statcan.gc.ca/imdb/p3VD.pl?CLV=4&amp;CPV=212396&amp;CST=27012022&amp;CVD=1370970&amp;D=1&amp;Function=getVD&amp;MLV=5&amp;TVD=1369825</x:v>
      </x:c>
      <x:c r="F50" s="178" t="str">
        <x:v>Industry definition: mining, beneficiating or otherwise preparing potash.</x:v>
      </x:c>
      <x:c r="G50" s="178"/>
      <x:c r="H50" s="1031"/>
      <x:c r="I50" s="1031"/>
      <x:c r="J50" s="1031"/>
      <x:c r="K50" s="1031"/>
      <x:c r="L50" s="1031"/>
      <x:c r="M50" s="1031"/>
      <x:c r="N50" s="1031"/>
    </x:row>
    <x:row r="51">
      <x:c r="A51" s="178" t="str">
        <x:v>POT-005</x:v>
      </x:c>
      <x:c r="B51" s="178" t="str">
        <x:v>Annual mineral production value 16-10-0022-02</x:v>
      </x:c>
      <x:c r="C51" s="178" t="n">
        <x:v>2024</x:v>
      </x:c>
      <x:c r="D51" s="178" t="str">
        <x:v>Not imported</x:v>
      </x:c>
      <x:c r="E51" s="178" t="str">
        <x:v>https://www150.statcan.gc.ca/t1/tbl1/en/tv.action?pid=1610002202</x:v>
      </x:c>
      <x:c r="F51" s="178" t="str">
        <x:v>Potash product shipment value; required replacement evidence.</x:v>
      </x:c>
      <x:c r="G51" s="178"/>
      <x:c r="H51" s="1031"/>
      <x:c r="I51" s="1031"/>
      <x:c r="J51" s="1031"/>
      <x:c r="K51" s="1031"/>
      <x:c r="L51" s="1031"/>
      <x:c r="M51" s="1031"/>
      <x:c r="N51" s="1031"/>
    </x:row>
    <x:row r="52">
      <x:c r="A52" s="178" t="str">
        <x:v>POT-006</x:v>
      </x:c>
      <x:c r="B52" s="178" t="str">
        <x:v>Mining principal statistics 16-10-0031-01</x:v>
      </x:c>
      <x:c r="C52" s="178" t="n">
        <x:v>2024</x:v>
      </x:c>
      <x:c r="D52" s="178" t="str">
        <x:v>Not imported</x:v>
      </x:c>
      <x:c r="E52" s="178" t="str">
        <x:v>https://www150.statcan.gc.ca/t1/tbl1/en/tv.action?pid=1610003101</x:v>
      </x:c>
      <x:c r="F52" s="178" t="str">
        <x:v>Industry revenue and expense controls; required independent validation.</x:v>
      </x:c>
      <x:c r="G52" s="178"/>
      <x:c r="H52" s="1031"/>
      <x:c r="I52" s="1031"/>
      <x:c r="J52" s="1031"/>
      <x:c r="K52" s="1031"/>
      <x:c r="L52" s="1031"/>
      <x:c r="M52" s="1031"/>
      <x:c r="N52" s="1031"/>
    </x:row>
    <x:row r="53">
      <x:c r="A53" s="178" t="str">
        <x:v>POT-007</x:v>
      </x:c>
      <x:c r="B53" s="178" t="str">
        <x:v>Natural Resources Canada potash facts</x:v>
      </x:c>
      <x:c r="C53" s="178" t="n">
        <x:v>2024</x:v>
      </x:c>
      <x:c r="D53" s="178" t="str">
        <x:v>Web source</x:v>
      </x:c>
      <x:c r="E53" s="178" t="str">
        <x:v>https://natural-resources.canada.ca/minerals-mining/mining-data-statistics-analysis/minerals-metals-facts/potash-facts</x:v>
      </x:c>
      <x:c r="F53" s="178" t="str">
        <x:v>Production context: 25.0Mt preliminary 2024; not a value input.</x:v>
      </x:c>
      <x:c r="G53" s="178"/>
      <x:c r="H53" s="1031"/>
      <x:c r="I53" s="1031"/>
      <x:c r="J53" s="1031"/>
      <x:c r="K53" s="1031"/>
      <x:c r="L53" s="1031"/>
      <x:c r="M53" s="1031"/>
      <x:c r="N53" s="1031"/>
    </x:row>
    <x:row r="54">
      <x:c r="A54" s="178" t="str">
        <x:v>POT-008</x:v>
      </x:c>
      <x:c r="B54" s="178" t="str">
        <x:v>Potash bridge receipt</x:v>
      </x:c>
      <x:c r="C54" s="178" t="n">
        <x:v>2024</x:v>
      </x:c>
      <x:c r="D54" s="178" t="str">
        <x:v>potash_bridge_2024_receipt.json</x:v>
      </x:c>
      <x:c r="E54" s="178" t="str">
        <x:v>Local deterministic artifact</x:v>
      </x:c>
      <x:c r="F54" s="178" t="str">
        <x:v>Values, gates and terminal ruling; core SHA-256 0972dc5b6ee811352815814392b26c21ea0986dd1801f17018e072d022684199.</x:v>
      </x:c>
      <x:c r="G54" s="178"/>
      <x:c r="H54" s="1031"/>
      <x:c r="I54" s="1031"/>
      <x:c r="J54" s="1031"/>
      <x:c r="K54" s="1031"/>
      <x:c r="L54" s="1031"/>
      <x:c r="M54" s="1031"/>
      <x:c r="N54" s="1031"/>
    </x:row>
    <x:row r="55">
      <x:c r="A55" s="1031"/>
      <x:c r="B55" s="1031"/>
      <x:c r="C55" s="1031"/>
      <x:c r="D55" s="1031"/>
      <x:c r="E55" s="1031"/>
      <x:c r="F55" s="1031"/>
      <x:c r="G55" s="1031"/>
      <x:c r="H55" s="1031"/>
      <x:c r="I55" s="1031"/>
      <x:c r="J55" s="1031"/>
      <x:c r="K55" s="1031"/>
      <x:c r="L55" s="1031"/>
      <x:c r="M55" s="1031"/>
      <x:c r="N55" s="1031"/>
    </x:row>
    <x:row r="56">
      <x:c r="A56" s="1031"/>
      <x:c r="B56" s="1031"/>
      <x:c r="C56" s="1031"/>
      <x:c r="D56" s="1031"/>
      <x:c r="E56" s="1031"/>
      <x:c r="F56" s="1031"/>
      <x:c r="G56" s="1031"/>
      <x:c r="H56" s="1031"/>
      <x:c r="I56" s="1031"/>
      <x:c r="J56" s="1031"/>
      <x:c r="K56" s="1031"/>
      <x:c r="L56" s="1031"/>
      <x:c r="M56" s="1031"/>
      <x:c r="N56" s="1031"/>
    </x:row>
    <x:row r="57">
      <x:c r="A57" s="1031"/>
      <x:c r="B57" s="1031"/>
      <x:c r="C57" s="1031"/>
      <x:c r="D57" s="1031"/>
      <x:c r="E57" s="1031"/>
      <x:c r="F57" s="1031"/>
      <x:c r="G57" s="1031"/>
      <x:c r="H57" s="1031"/>
      <x:c r="I57" s="1031"/>
      <x:c r="J57" s="1031"/>
      <x:c r="K57" s="1031"/>
      <x:c r="L57" s="1031"/>
      <x:c r="M57" s="1031"/>
      <x:c r="N57" s="1031"/>
    </x:row>
    <x:row r="58">
      <x:c r="A58" s="1031"/>
      <x:c r="B58" s="1031"/>
      <x:c r="C58" s="1031"/>
      <x:c r="D58" s="1031"/>
      <x:c r="E58" s="1031"/>
      <x:c r="F58" s="1031"/>
      <x:c r="G58" s="1031"/>
      <x:c r="H58" s="1031"/>
      <x:c r="I58" s="1031"/>
      <x:c r="J58" s="1031"/>
      <x:c r="K58" s="1031"/>
      <x:c r="L58" s="1031"/>
      <x:c r="M58" s="1031"/>
      <x:c r="N58" s="1031"/>
    </x:row>
    <x:row r="59">
      <x:c r="A59" s="1031"/>
      <x:c r="B59" s="1031"/>
      <x:c r="C59" s="1031"/>
      <x:c r="D59" s="1031"/>
      <x:c r="E59" s="1031"/>
      <x:c r="F59" s="1031"/>
      <x:c r="G59" s="1031"/>
      <x:c r="H59" s="1031"/>
      <x:c r="I59" s="1031"/>
      <x:c r="J59" s="1031"/>
      <x:c r="K59" s="1031"/>
      <x:c r="L59" s="1031"/>
      <x:c r="M59" s="1031"/>
      <x:c r="N59" s="1031"/>
    </x:row>
    <x:row r="60">
      <x:c r="A60" s="1031"/>
      <x:c r="B60" s="1031"/>
      <x:c r="C60" s="1031"/>
      <x:c r="D60" s="1031"/>
      <x:c r="E60" s="1031"/>
      <x:c r="F60" s="1031"/>
      <x:c r="G60" s="1031"/>
      <x:c r="H60" s="1031"/>
      <x:c r="I60" s="1031"/>
      <x:c r="J60" s="1031"/>
      <x:c r="K60" s="1031"/>
      <x:c r="L60" s="1031"/>
      <x:c r="M60" s="1031"/>
      <x:c r="N60" s="1031"/>
    </x:row>
  </x:sheetData>
  <x:mergeCells>
    <x:mergeCell ref="A1:N1"/>
    <x:mergeCell ref="A2:N2"/>
    <x:mergeCell ref="A4:N4"/>
    <x:mergeCell ref="A11:F11"/>
    <x:mergeCell ref="H11:N11"/>
    <x:mergeCell ref="A23:F23"/>
    <x:mergeCell ref="H23:N23"/>
    <x:mergeCell ref="A36:N36"/>
    <x:mergeCell ref="A45:N45"/>
  </x:mergeCell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6" hidden="0" customWidth="1"/>
    <x:col min="5" max="5" width="27" hidden="0" customWidth="1"/>
    <x:col min="6" max="6" width="27" hidden="0" customWidth="1"/>
    <x:col min="7" max="7" width="16" hidden="0" customWidth="1"/>
    <x:col min="8" max="8" width="42" hidden="0" customWidth="1"/>
    <x:col min="9" max="9" width="34" hidden="0" customWidth="1"/>
    <x:col min="10" max="10" width="36" hidden="0" customWidth="1"/>
  </x:cols>
  <x:sheetData>
    <x:row r="1" ht="23" customHeight="1">
      <x:c r="A1" s="1446" t="str">
        <x:v>Historical Produced-Capital Evidence Map</x:v>
      </x:c>
      <x:c r="B1" s="1446"/>
      <x:c r="C1" s="1446"/>
      <x:c r="D1" s="1446"/>
      <x:c r="E1" s="1446"/>
      <x:c r="F1" s="1446"/>
      <x:c r="G1" s="1446"/>
      <x:c r="H1" s="1446"/>
      <x:c r="I1" s="1446"/>
      <x:c r="J1" s="1446"/>
    </x:row>
    <x:row r="2" ht="32" customHeight="1">
      <x:c r="A2" s="1449" t="str">
        <x:v>The public evidence now identifies a detailed annual potash investment-flow series from 2006 onward, but no direct detailed opening stock or consumption-of-fixed-capital series. Investment flows therefore improve the evidence base without authorizing a potash capital-stock estimate.</x:v>
      </x:c>
      <x:c r="B2" s="1449"/>
      <x:c r="C2" s="1449"/>
      <x:c r="D2" s="1449"/>
      <x:c r="E2" s="1449"/>
      <x:c r="F2" s="1449"/>
      <x:c r="G2" s="1449"/>
      <x:c r="H2" s="1449"/>
      <x:c r="I2" s="1449"/>
      <x:c r="J2" s="1449"/>
    </x:row>
    <x:row r="4" ht="20" customHeight="1">
      <x:c r="A4" s="1452" t="str">
        <x:v>Terminal evidence ruling</x:v>
      </x:c>
      <x:c r="B4" s="1452"/>
      <x:c r="C4" s="1452"/>
      <x:c r="D4" s="1452"/>
      <x:c r="E4" s="1452"/>
      <x:c r="F4" s="1452"/>
      <x:c r="G4" s="1452"/>
      <x:c r="H4" s="1452"/>
      <x:c r="I4" s="1452"/>
      <x:c r="J4" s="1452"/>
    </x:row>
    <x:row r="5" ht="36" customHeight="1">
      <x:c r="A5" s="1456" t="str">
        <x:v>Finding</x:v>
      </x:c>
      <x:c r="B5" s="1456" t="str">
        <x:v>Result</x:v>
      </x:c>
      <x:c r="C5" s="1456" t="str">
        <x:v>Boundary</x:v>
      </x:c>
      <x:c r="D5" s="1456" t="str">
        <x:v>Evidence consequence</x:v>
      </x:c>
      <x:c r="E5" s="1456" t="str">
        <x:v>Publication consequence</x:v>
      </x:c>
      <x:c r="F5" s="1456" t="str">
        <x:v>Receipt core SHA-256</x:v>
      </x:c>
    </x:row>
    <x:row r="6">
      <x:c r="A6" s="26" t="str">
        <x:v>Detailed potash investment history</x:v>
      </x:c>
      <x:c r="B6" s="1464" t="str">
        <x:v>IDENTIFIED</x:v>
      </x:c>
      <x:c r="C6" s="26" t="str">
        <x:v>2006–present / NAICS 212396</x:v>
      </x:c>
      <x:c r="D6" s="26" t="str">
        <x:v>Build an extraction series, not a stock proxy</x:v>
      </x:c>
      <x:c r="E6" s="26" t="str">
        <x:v>No rent authorization</x:v>
      </x:c>
      <x:c r="F6" s="108" t="str">
        <x:v>b513e12eb53fe3fd90773ca1ff479f4700cfc234c7182ae1807f88065ee90a6c</x:v>
      </x:c>
    </x:row>
    <x:row r="7">
      <x:c r="A7" s="26" t="str">
        <x:v>Detailed opening stock</x:v>
      </x:c>
      <x:c r="B7" s="1465" t="str">
        <x:v>NOT IDENTIFIED</x:v>
      </x:c>
      <x:c r="C7" s="26" t="str">
        <x:v>Potash × asset</x:v>
      </x:c>
      <x:c r="D7" s="26" t="str">
        <x:v>PIM initial condition remains absent</x:v>
      </x:c>
      <x:c r="E7" s="26" t="str">
        <x:v>Capital gate fails</x:v>
      </x:c>
      <x:c r="F7" s="26"/>
    </x:row>
    <x:row r="8">
      <x:c r="A8" s="26" t="str">
        <x:v>Detailed potash CFC</x:v>
      </x:c>
      <x:c r="B8" s="1465" t="str">
        <x:v>NOT IDENTIFIED</x:v>
      </x:c>
      <x:c r="C8" s="26" t="str">
        <x:v>Potash × asset</x:v>
      </x:c>
      <x:c r="D8" s="26" t="str">
        <x:v>No independent depreciation validation</x:v>
      </x:c>
      <x:c r="E8" s="26" t="str">
        <x:v>Capital gate fails</x:v>
      </x:c>
      <x:c r="F8" s="26"/>
    </x:row>
    <x:row r="9">
      <x:c r="A9" s="26" t="str">
        <x:v>Terminal ruling</x:v>
      </x:c>
      <x:c r="B9" s="1466" t="str">
        <x:v>PASS_WITH_DISCLOSED_LIMITS</x:v>
      </x:c>
      <x:c r="C9" s="26" t="str">
        <x:v>Evidence-development stage</x:v>
      </x:c>
      <x:c r="D9" s="26" t="str">
        <x:v>Proceed to data acquisition only</x:v>
      </x:c>
      <x:c r="E9" s="26" t="str">
        <x:v>Commodity economic rent remains locked</x:v>
      </x:c>
      <x:c r="F9" s="26"/>
    </x:row>
    <x:row r="11" ht="20" customHeight="1">
      <x:c r="A11" s="1452" t="str">
        <x:v>Official source inventory</x:v>
      </x:c>
      <x:c r="B11" s="1452"/>
      <x:c r="C11" s="1452"/>
      <x:c r="D11" s="1452"/>
      <x:c r="E11" s="1452"/>
      <x:c r="F11" s="1452"/>
      <x:c r="G11" s="1452"/>
      <x:c r="H11" s="1452"/>
      <x:c r="I11" s="1452"/>
      <x:c r="J11" s="1452"/>
    </x:row>
    <x:row r="12" ht="36" customHeight="1">
      <x:c r="A12" s="1456" t="str">
        <x:v>Source ID</x:v>
      </x:c>
      <x:c r="B12" s="1456" t="str">
        <x:v>Official table / program</x:v>
      </x:c>
      <x:c r="C12" s="1456" t="str">
        <x:v>Coverage</x:v>
      </x:c>
      <x:c r="D12" s="1456" t="str">
        <x:v>Published grain</x:v>
      </x:c>
      <x:c r="E12" s="1456" t="str">
        <x:v>Potash detail</x:v>
      </x:c>
      <x:c r="F12" s="1456" t="str">
        <x:v>Model role</x:v>
      </x:c>
      <x:c r="G12" s="1456" t="str">
        <x:v>Evidence status</x:v>
      </x:c>
      <x:c r="H12" s="1456" t="str">
        <x:v>Official URL</x:v>
      </x:c>
      <x:c r="I12" s="1456" t="str">
        <x:v>Ruling</x:v>
      </x:c>
      <x:c r="J12" s="1456" t="str">
        <x:v>Next extraction action</x:v>
      </x:c>
    </x:row>
    <x:row r="13">
      <x:c r="A13" s="108" t="str">
        <x:v>HC-001</x:v>
      </x:c>
      <x:c r="B13" s="26" t="str">
        <x:v>Statistics Canada 34-10-0036-01</x:v>
      </x:c>
      <x:c r="C13" s="26" t="str">
        <x:v>2006–present, annual, Canada</x:v>
      </x:c>
      <x:c r="D13" s="26" t="str">
        <x:v>NAICS industry; total capital and repair expenditure categories</x:v>
      </x:c>
      <x:c r="E13" s="26" t="str">
        <x:v>YES — Potash mining [212396] appears in cube metadata</x:v>
      </x:c>
      <x:c r="F13" s="26" t="str">
        <x:v>Detailed annual potash investment-flow history</x:v>
      </x:c>
      <x:c r="G13" s="1467" t="str">
        <x:v>AVAILABLE</x:v>
      </x:c>
      <x:c r="H13" s="1468" t="str">
        <x:v>https://www150.statcan.gc.ca/n1/en/catalogue/3410003601</x:v>
      </x:c>
      <x:c r="I13" s="26" t="str">
        <x:v>Import full 2006–2024 potash series; do not treat the flow as stock.</x:v>
      </x:c>
      <x:c r="J13" s="26" t="str">
        <x:v>Download and filter Canada / Potash mining / capital expenditures / 2006–2024.</x:v>
      </x:c>
    </x:row>
    <x:row r="14">
      <x:c r="A14" s="108" t="str">
        <x:v>HC-002</x:v>
      </x:c>
      <x:c r="B14" s="26" t="str">
        <x:v>Statistics Canada 34-10-0039-01</x:v>
      </x:c>
      <x:c r="C14" s="26" t="str">
        <x:v>2006–present, annual, Canada</x:v>
      </x:c>
      <x:c r="D14" s="26" t="str">
        <x:v>NAICS industry by type of tangible asset</x:v>
      </x:c>
      <x:c r="E14" s="26" t="str">
        <x:v>Table exists; exact 212396 row must be validated in downloaded cube</x:v>
      </x:c>
      <x:c r="F14" s="26" t="str">
        <x:v>Candidate asset split for potash investment</x:v>
      </x:c>
      <x:c r="G14" s="1467" t="str">
        <x:v>UNVERIFIED</x:v>
      </x:c>
      <x:c r="H14" s="1468" t="str">
        <x:v>https://www150.statcan.gc.ca/n1/en/catalogue/3410003901</x:v>
      </x:c>
      <x:c r="I14" s="26" t="str">
        <x:v>Use only after confirming a continuous potash-by-asset series.</x:v>
      </x:c>
      <x:c r="J14" s="26" t="str">
        <x:v>Validate cube metadata, then extract potash by asset if present.</x:v>
      </x:c>
    </x:row>
    <x:row r="15">
      <x:c r="A15" s="108" t="str">
        <x:v>HC-003</x:v>
      </x:c>
      <x:c r="B15" s="26" t="str">
        <x:v>Statistics Canada 36-10-0096-01</x:v>
      </x:c>
      <x:c r="C15" s="26" t="str">
        <x:v>Annual, historical, Canada/provinces/territories</x:v>
      </x:c>
      <x:c r="D15" s="26" t="str">
        <x:v>Industry by asset, flow/stock type and price basis</x:v>
      </x:c>
      <x:c r="E15" s="26" t="str">
        <x:v>NO direct potash row in the current local extract</x:v>
      </x:c>
      <x:c r="F15" s="26" t="str">
        <x:v>Official aggregate net-stock and CFC reconciliation control</x:v>
      </x:c>
      <x:c r="G15" s="1467" t="str">
        <x:v>AVAILABLE</x:v>
      </x:c>
      <x:c r="H15" s="1468" t="str">
        <x:v>https://www150.statcan.gc.ca/n1/en/catalogue/3610009601</x:v>
      </x:c>
      <x:c r="I15" s="26" t="str">
        <x:v>Calibrate any detailed reconstruction to the published mining aggregate.</x:v>
      </x:c>
      <x:c r="J15" s="26" t="str">
        <x:v>Retain aggregate mining stock/CFC as reconciliation totals.</x:v>
      </x:c>
    </x:row>
    <x:row r="16">
      <x:c r="A16" s="108" t="str">
        <x:v>HC-004</x:v>
      </x:c>
      <x:c r="B16" s="26" t="str">
        <x:v>Statistics Canada 36-10-0210-01</x:v>
      </x:c>
      <x:c r="C16" s="26" t="str">
        <x:v>1961–2008, annual</x:v>
      </x:c>
      <x:c r="D16" s="26" t="str">
        <x:v>Industry and asset; broad NAICS</x:v>
      </x:c>
      <x:c r="E16" s="26" t="str">
        <x:v>NO — metadata contains mining except oil and gas [212], not 212396</x:v>
      </x:c>
      <x:c r="F16" s="26" t="str">
        <x:v>Potential historical aggregate anchor only</x:v>
      </x:c>
      <x:c r="G16" s="1467" t="str">
        <x:v>PARTIAL</x:v>
      </x:c>
      <x:c r="H16" s="1468" t="str">
        <x:v>https://www150.statcan.gc.ca/n1/en/catalogue/3610021001</x:v>
      </x:c>
      <x:c r="I16" s="26" t="str">
        <x:v>Cannot provide a potash opening stock without a documented disaggregation.</x:v>
      </x:c>
      <x:c r="J16" s="26" t="str">
        <x:v>Use broad mining history only as a validation bound, never a direct potash anchor.</x:v>
      </x:c>
    </x:row>
    <x:row r="17">
      <x:c r="A17" s="108" t="str">
        <x:v>HC-005</x:v>
      </x:c>
      <x:c r="B17" s="26" t="str">
        <x:v>SCFNRC, record 2820</x:v>
      </x:c>
      <x:c r="C17" s="26" t="str">
        <x:v>Annual methodology and production system</x:v>
      </x:c>
      <x:c r="D17" s="26" t="str">
        <x:v>Industry, aggregate asset type, province/territory</x:v>
      </x:c>
      <x:c r="E17" s="26" t="str">
        <x:v>Methodology, not a published detailed potash stock row</x:v>
      </x:c>
      <x:c r="F17" s="26" t="str">
        <x:v>Authoritative perpetual-inventory method specification</x:v>
      </x:c>
      <x:c r="G17" s="1467" t="str">
        <x:v>AVAILABLE</x:v>
      </x:c>
      <x:c r="H17" s="1468" t="str">
        <x:v>https://www23.statcan.gc.ca/imdb/p2SV.pl?Function=getSurvey&amp;SDDS=2820</x:v>
      </x:c>
      <x:c r="I17" s="26" t="str">
        <x:v>PIM requires investment history, prices, asset lives and retirement/depreciation assumptions.</x:v>
      </x:c>
      <x:c r="J17" s="26" t="str">
        <x:v>Acquire exact 2024 method parameters or direct detailed output.</x:v>
      </x:c>
    </x:row>
    <x:row r="18">
      <x:c r="A18" s="108" t="str">
        <x:v>HC-006</x:v>
      </x:c>
      <x:c r="B18" s="26" t="str">
        <x:v>Canadian System of Macroeconomic Accounts — Investment and Capital Stock</x:v>
      </x:c>
      <x:c r="C18" s="26" t="str">
        <x:v>Methodological guide</x:v>
      </x:c>
      <x:c r="D18" s="26" t="str">
        <x:v>National capital-account concepts</x:v>
      </x:c>
      <x:c r="E18" s="26" t="str">
        <x:v>Method only</x:v>
      </x:c>
      <x:c r="F18" s="26" t="str">
        <x:v>Defines required PIM inputs, including work in progress</x:v>
      </x:c>
      <x:c r="G18" s="1467" t="str">
        <x:v>AVAILABLE</x:v>
      </x:c>
      <x:c r="H18" s="1468" t="str">
        <x:v>https://www150.statcan.gc.ca/n1/pub/13-607-x/2016001/212-eng.htm</x:v>
      </x:c>
      <x:c r="I18" s="26" t="str">
        <x:v>Do not infer stock from one investment year; WIP must be handled explicitly.</x:v>
      </x:c>
      <x:c r="J18" s="26" t="str">
        <x:v>Implement WIP, prices, service lives and disposal treatment only after evidence arrives.</x:v>
      </x:c>
    </x:row>
    <x:row r="19">
      <x:c r="A19" s="108" t="str">
        <x:v>HC-007</x:v>
      </x:c>
      <x:c r="B19" s="26" t="str">
        <x:v>Statistics Canada 16-10-0022-02</x:v>
      </x:c>
      <x:c r="C19" s="26" t="str">
        <x:v>2024 mineral-product production and shipments</x:v>
      </x:c>
      <x:c r="D19" s="26" t="str">
        <x:v>Mineral product</x:v>
      </x:c>
      <x:c r="E19" s="26" t="str">
        <x:v>Potash product-value control</x:v>
      </x:c>
      <x:c r="F19" s="26" t="str">
        <x:v>Commodity output reconciliation, not capital</x:v>
      </x:c>
      <x:c r="G19" s="1467" t="str">
        <x:v>AVAILABLE</x:v>
      </x:c>
      <x:c r="H19" s="1468" t="str">
        <x:v>https://www150.statcan.gc.ca/n1/en/catalogue/1610002202</x:v>
      </x:c>
      <x:c r="I19" s="26" t="str">
        <x:v>Useful after capital closure; cannot anchor produced-capital stock.</x:v>
      </x:c>
      <x:c r="J19" s="26" t="str">
        <x:v>Import potash product-value controls after capital closure.</x:v>
      </x:c>
    </x:row>
    <x:row r="20">
      <x:c r="A20" s="108" t="str">
        <x:v>HC-008</x:v>
      </x:c>
      <x:c r="B20" s="26" t="str">
        <x:v>Statistics Canada 16-10-0031-01</x:v>
      </x:c>
      <x:c r="C20" s="26" t="str">
        <x:v>2024 mining principal statistics</x:v>
      </x:c>
      <x:c r="D20" s="26" t="str">
        <x:v>Mining industry</x:v>
      </x:c>
      <x:c r="E20" s="26" t="str">
        <x:v>Industry revenue/expense control</x:v>
      </x:c>
      <x:c r="F20" s="26" t="str">
        <x:v>Independent operating-account control, not capital</x:v>
      </x:c>
      <x:c r="G20" s="1467" t="str">
        <x:v>AVAILABLE</x:v>
      </x:c>
      <x:c r="H20" s="1468" t="str">
        <x:v>https://www150.statcan.gc.ca/n1/en/catalogue/1610003101</x:v>
      </x:c>
      <x:c r="I20" s="26" t="str">
        <x:v>Useful for operating-cost triangulation only.</x:v>
      </x:c>
      <x:c r="J20" s="26" t="str">
        <x:v>Import operating-account controls after capital closure.</x:v>
      </x:c>
    </x:row>
    <x:row r="23" ht="20" customHeight="1">
      <x:c r="A23" s="1452" t="str">
        <x:v>Evidence interpretation</x:v>
      </x:c>
      <x:c r="B23" s="1452"/>
      <x:c r="C23" s="1452"/>
      <x:c r="D23" s="1452"/>
      <x:c r="E23" s="1452"/>
      <x:c r="F23" s="1452"/>
      <x:c r="G23" s="1452"/>
      <x:c r="H23" s="1452"/>
      <x:c r="I23" s="1452"/>
      <x:c r="J23" s="1452"/>
    </x:row>
    <x:row r="24" ht="36" customHeight="1">
      <x:c r="A24" s="1456" t="str">
        <x:v>Finding</x:v>
      </x:c>
      <x:c r="B24" s="1456"/>
      <x:c r="C24" s="1456"/>
      <x:c r="D24" s="1456"/>
      <x:c r="E24" s="1456" t="str">
        <x:v>Model consequence</x:v>
      </x:c>
      <x:c r="F24" s="1456"/>
      <x:c r="G24" s="1456"/>
      <x:c r="H24" s="1456"/>
      <x:c r="I24" s="1456"/>
      <x:c r="J24" s="1456"/>
    </x:row>
    <x:row r="25" ht="32" customHeight="1">
      <x:c r="A25" s="26" t="str">
        <x:v>34-10-0036 supplies a historical investment flow, not an accumulated capital stock.</x:v>
      </x:c>
      <x:c r="B25" s="26"/>
      <x:c r="C25" s="26"/>
      <x:c r="D25" s="26"/>
      <x:c r="E25" s="26" t="str">
        <x:v>The one-year CAPEX allocator remains rejected.</x:v>
      </x:c>
      <x:c r="F25" s="26"/>
      <x:c r="G25" s="26"/>
      <x:c r="H25" s="26"/>
      <x:c r="I25" s="26"/>
      <x:c r="J25" s="26"/>
    </x:row>
    <x:row r="26" ht="32" customHeight="1">
      <x:c r="A26" s="26" t="str">
        <x:v>A 2006–2024 flow history still needs an opening stock or enough pre-2006 flows to estimate surviving assets.</x:v>
      </x:c>
      <x:c r="B26" s="26"/>
      <x:c r="C26" s="26"/>
      <x:c r="D26" s="26"/>
      <x:c r="E26" s="26" t="str">
        <x:v>No PIM can be initialized from the public detailed series alone.</x:v>
      </x:c>
      <x:c r="F26" s="26"/>
      <x:c r="G26" s="26"/>
      <x:c r="H26" s="26"/>
      <x:c r="I26" s="26"/>
      <x:c r="J26" s="26"/>
    </x:row>
    <x:row r="27" ht="32" customHeight="1">
      <x:c r="A27" s="26" t="str">
        <x:v>The official SCFNRC system uses investment, prices, service lives, depreciation and retirement assumptions.</x:v>
      </x:c>
      <x:c r="B27" s="26"/>
      <x:c r="C27" s="26"/>
      <x:c r="D27" s="26"/>
      <x:c r="E27" s="26" t="str">
        <x:v>A simplified accumulation without these inputs would be a new unsupported assumption.</x:v>
      </x:c>
      <x:c r="F27" s="26"/>
      <x:c r="G27" s="26"/>
      <x:c r="H27" s="26"/>
      <x:c r="I27" s="26"/>
      <x:c r="J27" s="26"/>
    </x:row>
    <x:row r="28" ht="32" customHeight="1">
      <x:c r="A28" s="26" t="str">
        <x:v>Work in progress must be separated from producing capital.</x:v>
      </x:c>
      <x:c r="B28" s="26"/>
      <x:c r="C28" s="26"/>
      <x:c r="D28" s="26"/>
      <x:c r="E28" s="26" t="str">
        <x:v>Large pre-production projects cannot automatically be charged against incumbent 2024 rent.</x:v>
      </x:c>
      <x:c r="F28" s="26"/>
      <x:c r="G28" s="26"/>
      <x:c r="H28" s="26"/>
      <x:c r="I28" s="26"/>
      <x:c r="J28" s="26"/>
    </x:row>
    <x:row r="29" ht="32" customHeight="1">
      <x:c r="A29" s="26" t="str">
        <x:v>The broad mining stock/CFC tables remain valuable reconciliation controls.</x:v>
      </x:c>
      <x:c r="B29" s="26"/>
      <x:c r="C29" s="26"/>
      <x:c r="D29" s="26"/>
      <x:c r="E29" s="26" t="str">
        <x:v>Any later detailed reconstruction must sum exactly to the compatible official aggregate.</x:v>
      </x:c>
      <x:c r="F29" s="26"/>
      <x:c r="G29" s="26"/>
      <x:c r="H29" s="26"/>
      <x:c r="I29" s="26"/>
      <x:c r="J29" s="26"/>
    </x:row>
  </x:sheetData>
  <x:mergeCells>
    <x:mergeCell ref="A1:J1"/>
    <x:mergeCell ref="A2:J2"/>
    <x:mergeCell ref="A4:J4"/>
    <x:mergeCell ref="A11:J11"/>
    <x:mergeCell ref="A23:J23"/>
    <x:mergeCell ref="A24:D24"/>
    <x:mergeCell ref="E24:J24"/>
    <x:mergeCell ref="A25:D25"/>
    <x:mergeCell ref="E25:J25"/>
    <x:mergeCell ref="A26:D26"/>
    <x:mergeCell ref="E26:J26"/>
    <x:mergeCell ref="A27:D27"/>
    <x:mergeCell ref="E27:J27"/>
    <x:mergeCell ref="A28:D28"/>
    <x:mergeCell ref="E28:J28"/>
    <x:mergeCell ref="A29:D29"/>
    <x:mergeCell ref="E29:J29"/>
  </x:mergeCells>
  <x:conditionalFormatting sqref="G13:G20">
    <x:cfRule type="expression" dxfId="19" priority="1">
      <x:formula>G13="AVAILABLE"</x:formula>
    </x:cfRule>
    <x:cfRule type="expression" dxfId="20" priority="2">
      <x:formula>G13="PARTIAL"</x:formula>
    </x:cfRule>
    <x:cfRule type="expression" dxfId="21" priority="3">
      <x:formula>OR(G13="MISSING",G13="UNVERIFIED")</x:formula>
    </x:cfRule>
  </x:conditionalFormatting>
  <x:pageMargins left="0.7" right="0.7" top="0.75" bottom="0.75" header="0.3" footer="0.3"/>
</x:worksheet>
</file>

<file path=xl/worksheets/sheet45.xml><?xml version="1.0" encoding="utf-8"?>
<x:worksheet xmlns:x="http://schemas.openxmlformats.org/spreadsheetml/2006/main">
  <x:sheetFormatPr defaultRowHeight="15"/>
  <x:cols>
    <x:col min="1" max="1" width="14" hidden="0" customWidth="1"/>
    <x:col min="2" max="2" width="29" hidden="0" customWidth="1"/>
    <x:col min="3" max="3" width="19" hidden="0" customWidth="1"/>
    <x:col min="4" max="4" width="23" hidden="0" customWidth="1"/>
    <x:col min="5" max="5" width="28" hidden="0" customWidth="1"/>
    <x:col min="6" max="6" width="29" hidden="0" customWidth="1"/>
    <x:col min="7" max="7" width="17" hidden="0" customWidth="1"/>
    <x:col min="8" max="8" width="12" hidden="0" customWidth="1"/>
    <x:col min="9" max="9" width="38" hidden="0" customWidth="1"/>
    <x:col min="10" max="10" width="11" hidden="0" customWidth="1"/>
  </x:cols>
  <x:sheetData>
    <x:row r="1" ht="23" customHeight="1">
      <x:c r="A1" s="1446" t="str">
        <x:v>Potash Perpetual-Inventory Evidence Gate</x:v>
      </x:c>
      <x:c r="B1" s="1446"/>
      <x:c r="C1" s="1446"/>
      <x:c r="D1" s="1446"/>
      <x:c r="E1" s="1446"/>
      <x:c r="F1" s="1446"/>
      <x:c r="G1" s="1446"/>
      <x:c r="H1" s="1446"/>
      <x:c r="I1" s="1446"/>
      <x:c r="J1" s="1446"/>
    </x:row>
    <x:row r="2" ht="32" customHeight="1">
      <x:c r="A2" s="1449" t="str">
        <x:v>This sheet specifies the minimum evidence required before a potash net-capital-stock, consumption-of-fixed-capital or normal-return point estimate can be calculated. It does not contain a commodity rent estimate.</x:v>
      </x:c>
      <x:c r="B2" s="1449"/>
      <x:c r="C2" s="1449"/>
      <x:c r="D2" s="1449"/>
      <x:c r="E2" s="1449"/>
      <x:c r="F2" s="1449"/>
      <x:c r="G2" s="1449"/>
      <x:c r="H2" s="1449"/>
      <x:c r="I2" s="1449"/>
      <x:c r="J2" s="1449"/>
    </x:row>
    <x:row r="4" ht="20" customHeight="1">
      <x:c r="A4" s="1452" t="str">
        <x:v>Mechanical gate summary</x:v>
      </x:c>
      <x:c r="B4" s="1452"/>
      <x:c r="C4" s="1452"/>
      <x:c r="D4" s="1452"/>
      <x:c r="E4" s="1452"/>
      <x:c r="F4" s="1452"/>
      <x:c r="G4" s="1452"/>
      <x:c r="H4" s="1452"/>
      <x:c r="I4" s="1452"/>
      <x:c r="J4" s="1452"/>
    </x:row>
    <x:row r="5">
      <x:c r="A5" t="str">
        <x:v>Available requirements</x:v>
      </x:c>
      <x:c r="B5" s="1675" t="n">
        <x:v>2</x:v>
      </x:c>
      <x:c r="D5" t="str">
        <x:v>Reference year</x:v>
      </x:c>
      <x:c r="E5" s="38" t="n">
        <x:v>2024</x:v>
      </x:c>
    </x:row>
    <x:row r="6">
      <x:c r="A6" t="str">
        <x:v>Partial requirements</x:v>
      </x:c>
      <x:c r="B6" s="1675" t="n">
        <x:v>6</x:v>
      </x:c>
      <x:c r="D6" t="str">
        <x:v>Detailed flow history</x:v>
      </x:c>
      <x:c r="E6" s="38" t="str">
        <x:v>2004–2014 archive + 2023–2026 public controls; 2015–2022 exact rows not extracted</x:v>
      </x:c>
    </x:row>
    <x:row r="7">
      <x:c r="A7" t="str">
        <x:v>Mandatory requirements not fully available</x:v>
      </x:c>
      <x:c r="B7" s="1675" t="n">
        <x:v>9</x:v>
      </x:c>
      <x:c r="D7" t="str">
        <x:v>Opening stock</x:v>
      </x:c>
      <x:c r="E7" t="str">
        <x:v>MISSING</x:v>
      </x:c>
    </x:row>
    <x:row r="8">
      <x:c r="A8" t="str">
        <x:v>PIM authorization</x:v>
      </x:c>
      <x:c r="B8" s="1376" t="str">
        <x:f>IF(B7=0,"AUTHORIZED","LOCKED")</x:f>
        <x:v>LOCKED</x:v>
      </x:c>
      <x:c r="D8" t="str">
        <x:v>Detailed CFC</x:v>
      </x:c>
      <x:c r="E8" t="str">
        <x:v>MISSING</x:v>
      </x:c>
    </x:row>
    <x:row r="9">
      <x:c r="A9" t="str">
        <x:v>Terminal ruling</x:v>
      </x:c>
      <x:c r="B9" s="1676" t="str">
        <x:v>PRODUCER D&amp;A AND PROJECT CWIP PARTIAL — DIRECT STOCK/CFC STILL MISSING — PIM NOT AUTHORIZED</x:v>
      </x:c>
      <x:c r="D9" t="str">
        <x:v>Aggregate reconciliation</x:v>
      </x:c>
      <x:c r="E9" t="str">
        <x:v>AVAILABLE</x:v>
      </x:c>
    </x:row>
    <x:row r="10">
      <x:c r="A10" t="str">
        <x:v>Commodity economic rent authorized</x:v>
      </x:c>
      <x:c r="B10" s="1471" t="str">
        <x:f>IF(B8="AUTHORIZED","NO — requires output/cost gates too","NO")</x:f>
        <x:v>NO</x:v>
      </x:c>
      <x:c r="D10" t="str">
        <x:v>Receipt core SHA-256</x:v>
      </x:c>
      <x:c r="E10" s="38" t="str">
        <x:v>b513e12eb53fe3fd90773ca1ff479f4700cfc234c7182ae1807f88065ee90a6c</x:v>
      </x:c>
    </x:row>
    <x:row r="12" ht="20" customHeight="1">
      <x:c r="A12" s="1452" t="str">
        <x:v>Mandatory evidence checklist</x:v>
      </x:c>
      <x:c r="B12" s="1452"/>
      <x:c r="C12" s="1452"/>
      <x:c r="D12" s="1452"/>
      <x:c r="E12" s="1452"/>
      <x:c r="F12" s="1452"/>
      <x:c r="G12" s="1452"/>
      <x:c r="H12" s="1452"/>
      <x:c r="I12" s="1452"/>
      <x:c r="J12" s="1452"/>
    </x:row>
    <x:row r="13" ht="36" customHeight="1">
      <x:c r="A13" s="1456" t="str">
        <x:v>Requirement ID</x:v>
      </x:c>
      <x:c r="B13" s="1456" t="str">
        <x:v>Required evidence</x:v>
      </x:c>
      <x:c r="C13" s="1456" t="str">
        <x:v>Coverage</x:v>
      </x:c>
      <x:c r="D13" s="1456" t="str">
        <x:v>Boundary</x:v>
      </x:c>
      <x:c r="E13" s="1456" t="str">
        <x:v>Candidate source</x:v>
      </x:c>
      <x:c r="F13" s="1456" t="str">
        <x:v>Purpose</x:v>
      </x:c>
      <x:c r="G13" s="1456" t="str">
        <x:v>Evidence status</x:v>
      </x:c>
      <x:c r="H13" s="1456" t="str">
        <x:v>Mandatory?</x:v>
      </x:c>
      <x:c r="I13" s="1456" t="str">
        <x:v>Next action</x:v>
      </x:c>
      <x:c r="J13" s="1456" t="str">
        <x:v>Gate fail</x:v>
      </x:c>
    </x:row>
    <x:row r="14">
      <x:c r="A14" s="108" t="str">
        <x:v>REQ-01</x:v>
      </x:c>
      <x:c r="B14" s="26" t="str">
        <x:v>Annual potash capital expenditures</x:v>
      </x:c>
      <x:c r="C14" s="26" t="str">
        <x:v>2006–2024</x:v>
      </x:c>
      <x:c r="D14" s="26" t="str">
        <x:v>NAICS 212396</x:v>
      </x:c>
      <x:c r="E14" s="1468" t="str">
        <x:v>34-10-0036-01</x:v>
      </x:c>
      <x:c r="F14" s="26" t="str">
        <x:v>Detailed total investment flow</x:v>
      </x:c>
      <x:c r="G14" s="1674" t="str">
        <x:v>PARTIAL</x:v>
      </x:c>
      <x:c r="H14" s="1467" t="str">
        <x:v>YES</x:v>
      </x:c>
      <x:c r="I14" s="26" t="str">
        <x:v>Extract 2015–2022 and the exact revised 2024 NAICS 212396 observations from table 34-10-0036-01; preserve estimate status.</x:v>
      </x:c>
      <x:c r="J14" s="1484" t="n">
        <x:f>IF(AND(H14="YES",G14&lt;&gt;"AVAILABLE"),1,0)</x:f>
        <x:v>1</x:v>
      </x:c>
    </x:row>
    <x:row r="15">
      <x:c r="A15" s="108" t="str">
        <x:v>REQ-02</x:v>
      </x:c>
      <x:c r="B15" s="26" t="str">
        <x:v>Annual potash investment by asset</x:v>
      </x:c>
      <x:c r="C15" s="26" t="str">
        <x:v>2006–2024</x:v>
      </x:c>
      <x:c r="D15" s="26" t="str">
        <x:v>NAICS 212396 × asset</x:v>
      </x:c>
      <x:c r="E15" s="1468" t="str">
        <x:v>34-10-0039-01</x:v>
      </x:c>
      <x:c r="F15" s="26" t="str">
        <x:v>Buildings, engineering, machinery/equipment</x:v>
      </x:c>
      <x:c r="G15" s="1674" t="str">
        <x:v>UNVERIFIED</x:v>
      </x:c>
      <x:c r="H15" s="1467" t="str">
        <x:v>YES</x:v>
      </x:c>
      <x:c r="I15" s="26" t="str">
        <x:v>Download table 34-10-0039-01, prove the NAICS 212396 member and suppression pattern, then reconcile asset sums to total CAPEX.</x:v>
      </x:c>
      <x:c r="J15" s="1484" t="n">
        <x:f>IF(AND(H15="YES",G15&lt;&gt;"AVAILABLE"),1,0)</x:f>
        <x:v>1</x:v>
      </x:c>
    </x:row>
    <x:row r="16">
      <x:c r="A16" s="108" t="str">
        <x:v>REQ-03</x:v>
      </x:c>
      <x:c r="B16" s="26" t="str">
        <x:v>Pre-2006 potash investment history</x:v>
      </x:c>
      <x:c r="C16" s="26" t="str">
        <x:v>Long enough to initialize surviving 2006 stock</x:v>
      </x:c>
      <x:c r="D16" s="26" t="str">
        <x:v>NAICS 212396 × asset</x:v>
      </x:c>
      <x:c r="E16" s="1468" t="str">
        <x:v>No public detailed source identified</x:v>
      </x:c>
      <x:c r="F16" s="26" t="str">
        <x:v>Opening-stock formation</x:v>
      </x:c>
      <x:c r="G16" s="1467" t="str">
        <x:v>MISSING</x:v>
      </x:c>
      <x:c r="H16" s="1467" t="str">
        <x:v>YES</x:v>
      </x:c>
      <x:c r="I16" s="26" t="str">
        <x:v>Request historical custom extract or a direct opening benchmark.</x:v>
      </x:c>
      <x:c r="J16" s="1484" t="n">
        <x:f>IF(AND(H16="YES",G16&lt;&gt;"AVAILABLE"),1,0)</x:f>
        <x:v>1</x:v>
      </x:c>
    </x:row>
    <x:row r="17">
      <x:c r="A17" s="108" t="str">
        <x:v>REQ-04</x:v>
      </x:c>
      <x:c r="B17" s="26" t="str">
        <x:v>Opening net produced-capital stock</x:v>
      </x:c>
      <x:c r="C17" s="26" t="str">
        <x:v>Start of 2006 or earlier</x:v>
      </x:c>
      <x:c r="D17" s="26" t="str">
        <x:v>NAICS 212396 × asset</x:v>
      </x:c>
      <x:c r="E17" s="1468" t="str">
        <x:v>No published direct row identified</x:v>
      </x:c>
      <x:c r="F17" s="26" t="str">
        <x:v>Initial condition for PIM</x:v>
      </x:c>
      <x:c r="G17" s="1776" t="str">
        <x:v>MISSING</x:v>
      </x:c>
      <x:c r="H17" s="1467" t="str">
        <x:v>YES</x:v>
      </x:c>
      <x:c r="I17" s="26" t="str">
        <x:v>Obtain a direct stock benchmark; do not back-solve opening stock from one-year investment shares or producer D&amp;A.</x:v>
      </x:c>
      <x:c r="J17" s="1484" t="n">
        <x:f>IF(AND(H17="YES",G17&lt;&gt;"AVAILABLE"),1,0)</x:f>
        <x:v>1</x:v>
      </x:c>
    </x:row>
    <x:row r="18">
      <x:c r="A18" s="108" t="str">
        <x:v>REQ-05</x:v>
      </x:c>
      <x:c r="B18" s="26" t="str">
        <x:v>Detailed potash consumption of fixed capital</x:v>
      </x:c>
      <x:c r="C18" s="26" t="str">
        <x:v>2006–2024</x:v>
      </x:c>
      <x:c r="D18" s="26" t="str">
        <x:v>NAICS 212396 × asset</x:v>
      </x:c>
      <x:c r="E18" s="1468" t="str">
        <x:v>No published direct row identified</x:v>
      </x:c>
      <x:c r="F18" s="26" t="str">
        <x:v>Independent CFC validation</x:v>
      </x:c>
      <x:c r="G18" s="1774" t="str">
        <x:v>PARTIAL</x:v>
      </x:c>
      <x:c r="H18" s="1467" t="str">
        <x:v>YES</x:v>
      </x:c>
      <x:c r="I18" s="26" t="str">
        <x:v>Use Nutrien Potash D&amp;A as an independent magnitude check only; obtain complete Canada-only CFC or a validated producer-complete bridge.</x:v>
      </x:c>
      <x:c r="J18" s="1484" t="n">
        <x:f>IF(AND(H18="YES",G18&lt;&gt;"AVAILABLE"),1,0)</x:f>
        <x:v>1</x:v>
      </x:c>
    </x:row>
    <x:row r="19">
      <x:c r="A19" s="108" t="str">
        <x:v>REQ-06</x:v>
      </x:c>
      <x:c r="B19" s="26" t="str">
        <x:v>Asset-specific service lives and depreciation profiles</x:v>
      </x:c>
      <x:c r="C19" s="26" t="str">
        <x:v>Method vintage used for 2024 release</x:v>
      </x:c>
      <x:c r="D19" s="26" t="str">
        <x:v>16 aggregate asset types or best available</x:v>
      </x:c>
      <x:c r="E19" s="1468" t="str">
        <x:v>SCFNRC record 2820</x:v>
      </x:c>
      <x:c r="F19" s="26" t="str">
        <x:v>PIM decay parameters</x:v>
      </x:c>
      <x:c r="G19" s="1467" t="str">
        <x:v>PARTIAL</x:v>
      </x:c>
      <x:c r="H19" s="1467" t="str">
        <x:v>YES</x:v>
      </x:c>
      <x:c r="I19" s="26" t="str">
        <x:v>Extract the exact parameter set and vintage, not generic rates.</x:v>
      </x:c>
      <x:c r="J19" s="1484" t="n">
        <x:f>IF(AND(H19="YES",G19&lt;&gt;"AVAILABLE"),1,0)</x:f>
        <x:v>1</x:v>
      </x:c>
    </x:row>
    <x:row r="20">
      <x:c r="A20" s="108" t="str">
        <x:v>REQ-07</x:v>
      </x:c>
      <x:c r="B20" s="26" t="str">
        <x:v>Asset price indexes / deflators</x:v>
      </x:c>
      <x:c r="C20" s="26" t="str">
        <x:v>2006–2024 plus opening period</x:v>
      </x:c>
      <x:c r="D20" s="26" t="str">
        <x:v>Compatible asset and industry mapping</x:v>
      </x:c>
      <x:c r="E20" s="1468" t="str">
        <x:v>SCFNRC / Producer Prices inputs</x:v>
      </x:c>
      <x:c r="F20" s="26" t="str">
        <x:v>Convert nominal flows to consistent prices</x:v>
      </x:c>
      <x:c r="G20" s="1467" t="str">
        <x:v>PARTIAL</x:v>
      </x:c>
      <x:c r="H20" s="1467" t="str">
        <x:v>YES</x:v>
      </x:c>
      <x:c r="I20" s="26" t="str">
        <x:v>Acquire exact deflator series and mapping used by SCFNRC.</x:v>
      </x:c>
      <x:c r="J20" s="1484" t="n">
        <x:f>IF(AND(H20="YES",G20&lt;&gt;"AVAILABLE"),1,0)</x:f>
        <x:v>1</x:v>
      </x:c>
    </x:row>
    <x:row r="21">
      <x:c r="A21" s="108" t="str">
        <x:v>REQ-08</x:v>
      </x:c>
      <x:c r="B21" s="26" t="str">
        <x:v>Retirements, discards and used-asset adjustments</x:v>
      </x:c>
      <x:c r="C21" s="26" t="str">
        <x:v>Historical</x:v>
      </x:c>
      <x:c r="D21" s="26" t="str">
        <x:v>NAICS 212396 × asset</x:v>
      </x:c>
      <x:c r="E21" s="1468" t="str">
        <x:v>Capital and Repair Expenditures Survey inputs</x:v>
      </x:c>
      <x:c r="F21" s="26" t="str">
        <x:v>Survival and disposal treatment</x:v>
      </x:c>
      <x:c r="G21" s="1774" t="str">
        <x:v>PARTIAL</x:v>
      </x:c>
      <x:c r="H21" s="1467" t="str">
        <x:v>YES</x:v>
      </x:c>
      <x:c r="I21" s="26" t="str">
        <x:v>Obtain publishable retirement/discard aggregates or rely on a validated official stock/CFC output that embeds them.</x:v>
      </x:c>
      <x:c r="J21" s="1484" t="n">
        <x:f>IF(AND(H21="YES",G21&lt;&gt;"AVAILABLE"),1,0)</x:f>
        <x:v>1</x:v>
      </x:c>
    </x:row>
    <x:row r="22">
      <x:c r="A22" s="108" t="str">
        <x:v>REQ-09</x:v>
      </x:c>
      <x:c r="B22" s="26" t="str">
        <x:v>Construction work in progress / non-producing project split</x:v>
      </x:c>
      <x:c r="C22" s="26" t="str">
        <x:v>Especially 2021–2024</x:v>
      </x:c>
      <x:c r="D22" s="26" t="str">
        <x:v>Potash projects</x:v>
      </x:c>
      <x:c r="E22" s="1468" t="str">
        <x:v>No compatible public detailed control identified</x:v>
      </x:c>
      <x:c r="F22" s="26" t="str">
        <x:v>Prevent pre-production capital from reducing incumbent rent</x:v>
      </x:c>
      <x:c r="G22" s="1774" t="str">
        <x:v>PARTIAL</x:v>
      </x:c>
      <x:c r="H22" s="1467" t="str">
        <x:v>YES</x:v>
      </x:c>
      <x:c r="I22" s="26" t="str">
        <x:v>Exclude Jansen from 2024 productive capital; date K3 commissioning and split Bethune productive assets from ramp-up CWIP.</x:v>
      </x:c>
      <x:c r="J22" s="1484" t="n">
        <x:f>IF(AND(H22="YES",G22&lt;&gt;"AVAILABLE"),1,0)</x:f>
        <x:v>1</x:v>
      </x:c>
    </x:row>
    <x:row r="23">
      <x:c r="A23" s="108" t="str">
        <x:v>REQ-10</x:v>
      </x:c>
      <x:c r="B23" s="26" t="str">
        <x:v>Aggregate stock and CFC reconciliation</x:v>
      </x:c>
      <x:c r="C23" s="26" t="str">
        <x:v>2024</x:v>
      </x:c>
      <x:c r="D23" s="26" t="str">
        <x:v>Mining aggregates</x:v>
      </x:c>
      <x:c r="E23" s="1468" t="str">
        <x:v>36-10-0096-01</x:v>
      </x:c>
      <x:c r="F23" s="26" t="str">
        <x:v>Top-down validation</x:v>
      </x:c>
      <x:c r="G23" s="1467" t="str">
        <x:v>AVAILABLE</x:v>
      </x:c>
      <x:c r="H23" s="1467" t="str">
        <x:v>YES</x:v>
      </x:c>
      <x:c r="I23" s="26" t="str">
        <x:v>Require exact reconciliation within the workbook tolerance.</x:v>
      </x:c>
      <x:c r="J23" s="1484" t="n">
        <x:f>IF(AND(H23="YES",G23&lt;&gt;"AVAILABLE"),1,0)</x:f>
        <x:v>0</x:v>
      </x:c>
    </x:row>
    <x:row r="24">
      <x:c r="A24" s="108" t="str">
        <x:v>REQ-11</x:v>
      </x:c>
      <x:c r="B24" s="26" t="str">
        <x:v>Product and industry output/cost controls</x:v>
      </x:c>
      <x:c r="C24" s="26" t="str">
        <x:v>2024</x:v>
      </x:c>
      <x:c r="D24" s="26" t="str">
        <x:v>Potash product and NAICS 212396</x:v>
      </x:c>
      <x:c r="E24" s="1468" t="str">
        <x:v>16-10-0022-02; 16-10-0031-01; 36-10-0001-01</x:v>
      </x:c>
      <x:c r="F24" s="26" t="str">
        <x:v>Boundary validation after capital closure</x:v>
      </x:c>
      <x:c r="G24" s="1467" t="str">
        <x:v>AVAILABLE</x:v>
      </x:c>
      <x:c r="H24" s="1467" t="str">
        <x:v>NO</x:v>
      </x:c>
      <x:c r="I24" s="26" t="str">
        <x:v>Retain as separate controls; do not substitute for capital evidence.</x:v>
      </x:c>
      <x:c r="J24" s="1484" t="n">
        <x:f>IF(AND(H24="YES",G24&lt;&gt;"AVAILABLE"),1,0)</x:f>
        <x:v>0</x:v>
      </x:c>
    </x:row>
    <x:row r="26" ht="20" customHeight="1">
      <x:c r="A26" s="1452" t="str">
        <x:v>Authorized PIM structure — formulas remain dormant until every mandatory evidence row passes</x:v>
      </x:c>
      <x:c r="B26" s="1452"/>
      <x:c r="C26" s="1452"/>
      <x:c r="D26" s="1452"/>
      <x:c r="E26" s="1452"/>
      <x:c r="F26" s="1452"/>
      <x:c r="G26" s="1452"/>
      <x:c r="H26" s="1452"/>
      <x:c r="I26" s="1452"/>
      <x:c r="J26" s="1452"/>
    </x:row>
    <x:row r="27" ht="36" customHeight="1">
      <x:c r="A27" s="1456" t="str">
        <x:v>Step</x:v>
      </x:c>
      <x:c r="B27" s="1456" t="str">
        <x:v>Required calculation</x:v>
      </x:c>
      <x:c r="C27" s="1456" t="str">
        <x:v>Evidence rule</x:v>
      </x:c>
      <x:c r="E27" s="1456" t="str">
        <x:v>Publication controls</x:v>
      </x:c>
      <x:c r="F27" s="1456"/>
      <x:c r="G27" s="1456"/>
      <x:c r="H27" s="1456"/>
      <x:c r="I27" s="1456"/>
      <x:c r="J27" s="1456"/>
    </x:row>
    <x:row r="28" ht="36" customHeight="1">
      <x:c r="A28" s="1467" t="str">
        <x:v>1</x:v>
      </x:c>
      <x:c r="B28" s="26" t="str">
        <x:v>Real investment by asset = nominal investment ÷ compatible asset price index</x:v>
      </x:c>
      <x:c r="C28" s="26" t="str">
        <x:v>No common deflator across unlike assets.</x:v>
      </x:c>
      <x:c r="E28" s="1456" t="str">
        <x:v>Control</x:v>
      </x:c>
      <x:c r="F28" s="1456" t="str">
        <x:v>Current result</x:v>
      </x:c>
      <x:c r="G28" s="1456" t="str">
        <x:v>Required result</x:v>
      </x:c>
      <x:c r="H28" s="1456" t="str">
        <x:v>Status</x:v>
      </x:c>
      <x:c r="I28" s="1456" t="str">
        <x:v>Model action</x:v>
      </x:c>
      <x:c r="J28" s="1456" t="str">
        <x:v>Reason</x:v>
      </x:c>
    </x:row>
    <x:row r="29">
      <x:c r="A29" s="1467" t="str">
        <x:v>2</x:v>
      </x:c>
      <x:c r="B29" s="26" t="str">
        <x:v>Opening stock must be observed or constructed from a sufficiently long earlier investment history.</x:v>
      </x:c>
      <x:c r="C29" s="26" t="str">
        <x:v>A 2006 start is not an opening stock.</x:v>
      </x:c>
      <x:c r="E29" s="26" t="str">
        <x:v>One-year CAPEX-share point estimate</x:v>
      </x:c>
      <x:c r="F29" s="26" t="str">
        <x:v>REJECTED</x:v>
      </x:c>
      <x:c r="G29" s="26" t="str">
        <x:v>Not used</x:v>
      </x:c>
      <x:c r="H29" s="1464" t="str">
        <x:v>PASS</x:v>
      </x:c>
      <x:c r="I29" s="26" t="str">
        <x:v>Retain only as sensitivity</x:v>
      </x:c>
      <x:c r="J29" s="26" t="str">
        <x:v>Flow is not stock</x:v>
      </x:c>
    </x:row>
    <x:row r="30">
      <x:c r="A30" s="1467" t="str">
        <x:v>3</x:v>
      </x:c>
      <x:c r="B30" s="26" t="str">
        <x:v>Net stock(t,a) = surviving net stock(t−1,a) + real investment(t,a)</x:v>
      </x:c>
      <x:c r="C30" s="26" t="str">
        <x:v>Use official service-life, retirement and depreciation profiles.</x:v>
      </x:c>
      <x:c r="E30" s="26" t="str">
        <x:v>Detailed potash PIM</x:v>
      </x:c>
      <x:c r="F30" s="26" t="str">
        <x:v>NOT AUTHORIZED</x:v>
      </x:c>
      <x:c r="G30" s="26" t="str">
        <x:v>Authorized</x:v>
      </x:c>
      <x:c r="H30" s="1465" t="str">
        <x:v>FAIL</x:v>
      </x:c>
      <x:c r="I30" s="26" t="str">
        <x:v>Do not calculate</x:v>
      </x:c>
      <x:c r="J30" s="26" t="str">
        <x:v>Opening stock and parameters missing</x:v>
      </x:c>
    </x:row>
    <x:row r="31">
      <x:c r="A31" s="1467" t="str">
        <x:v>4</x:v>
      </x:c>
      <x:c r="B31" s="26" t="str">
        <x:v>CFC(t,a) is calculated from the same stock model and parameters.</x:v>
      </x:c>
      <x:c r="C31" s="26" t="str">
        <x:v>It must reconcile to official compatible CFC controls.</x:v>
      </x:c>
      <x:c r="E31" s="26" t="str">
        <x:v>Potash CFC validation</x:v>
      </x:c>
      <x:c r="F31" s="26" t="str">
        <x:v>NOT AVAILABLE</x:v>
      </x:c>
      <x:c r="G31" s="26" t="str">
        <x:v>Observed/reconciled</x:v>
      </x:c>
      <x:c r="H31" s="1465" t="str">
        <x:v>FAIL</x:v>
      </x:c>
      <x:c r="I31" s="26" t="str">
        <x:v>Do not calculate</x:v>
      </x:c>
      <x:c r="J31" s="26" t="str">
        <x:v>No detailed direct CFC</x:v>
      </x:c>
    </x:row>
    <x:row r="32">
      <x:c r="A32" s="1467" t="str">
        <x:v>5</x:v>
      </x:c>
      <x:c r="B32" s="26" t="str">
        <x:v>Producing capital and construction work in progress are separated.</x:v>
      </x:c>
      <x:c r="C32" s="26" t="str">
        <x:v>No normal return on non-producing assets in the incumbent rent boundary unless the accounting method requires and discloses it.</x:v>
      </x:c>
      <x:c r="E32" s="26" t="str">
        <x:v>Potash normal-return calculation</x:v>
      </x:c>
      <x:c r="F32" s="26" t="str">
        <x:v>LOCKED</x:v>
      </x:c>
      <x:c r="G32" s="26" t="str">
        <x:v>Compatible capital base</x:v>
      </x:c>
      <x:c r="H32" s="1465" t="str">
        <x:v>FAIL</x:v>
      </x:c>
      <x:c r="I32" s="26" t="str">
        <x:v>Do not calculate</x:v>
      </x:c>
      <x:c r="J32" s="26" t="str">
        <x:v>Capital base not established</x:v>
      </x:c>
    </x:row>
    <x:row r="33">
      <x:c r="A33" s="1467" t="str">
        <x:v>6</x:v>
      </x:c>
      <x:c r="B33" s="26" t="str">
        <x:v>Normal return = real benchmark rate × compatible average net produced capital.</x:v>
      </x:c>
      <x:c r="C33" s="26" t="str">
        <x:v>The rate and capital boundary must use the same year and producer set.</x:v>
      </x:c>
      <x:c r="E33" s="26" t="str">
        <x:v>Potash commodity economic rent</x:v>
      </x:c>
      <x:c r="F33" s="26" t="str">
        <x:v>LOCKED</x:v>
      </x:c>
      <x:c r="G33" s="26" t="str">
        <x:v>All gates pass</x:v>
      </x:c>
      <x:c r="H33" s="1465" t="str">
        <x:v>FAIL</x:v>
      </x:c>
      <x:c r="I33" s="26" t="str">
        <x:v>Emit no point estimate</x:v>
      </x:c>
      <x:c r="J33" s="26" t="str">
        <x:v>Capital and product/cost boundaries incomplete</x:v>
      </x:c>
    </x:row>
    <x:row r="34">
      <x:c r="A34" s="1467" t="str">
        <x:v>7</x:v>
      </x:c>
      <x:c r="B34" s="26" t="str">
        <x:v>Commodity rent is released only after product output, industry costs and capital reconcile.</x:v>
      </x:c>
      <x:c r="C34" s="26" t="str">
        <x:v>A passed PIM is necessary but not sufficient.</x:v>
      </x:c>
      <x:c r="E34" s="26" t="str">
        <x:v>National rent-capture percentage</x:v>
      </x:c>
      <x:c r="F34" s="26" t="str">
        <x:v>LOCKED</x:v>
      </x:c>
      <x:c r="G34" s="26" t="str">
        <x:v>Complete national denominator</x:v>
      </x:c>
      <x:c r="H34" s="1465" t="str">
        <x:v>FAIL</x:v>
      </x:c>
      <x:c r="I34" s="26" t="str">
        <x:v>Emit no percentage</x:v>
      </x:c>
      <x:c r="J34" s="26" t="str">
        <x:v>Zero commodity rent rows authorized</x:v>
      </x:c>
    </x:row>
  </x:sheetData>
  <x:mergeCells>
    <x:mergeCell ref="A1:J1"/>
    <x:mergeCell ref="A2:J2"/>
    <x:mergeCell ref="A4:J4"/>
    <x:mergeCell ref="A12:J12"/>
    <x:mergeCell ref="A26:J26"/>
    <x:mergeCell ref="E27:J27"/>
  </x:mergeCells>
  <x:conditionalFormatting sqref="B8:B8">
    <x:cfRule type="expression" dxfId="22" priority="1">
      <x:formula>B8="AUTHORIZED"</x:formula>
    </x:cfRule>
    <x:cfRule type="expression" dxfId="23" priority="2">
      <x:formula>B8="LOCKED"</x:formula>
    </x:cfRule>
  </x:conditionalFormatting>
  <x:conditionalFormatting sqref="G14:G24">
    <x:cfRule type="expression" dxfId="24" priority="3">
      <x:formula>G14="AVAILABLE"</x:formula>
    </x:cfRule>
    <x:cfRule type="expression" dxfId="25" priority="4">
      <x:formula>G14="PARTIAL"</x:formula>
    </x:cfRule>
    <x:cfRule type="expression" dxfId="26" priority="5">
      <x:formula>OR(G14="MISSING",G14="UNVERIFIED")</x:formula>
    </x:cfRule>
  </x:conditionalFormatting>
  <x:conditionalFormatting sqref="J14:J24">
    <x:cfRule type="expression" dxfId="27" priority="6">
      <x:formula>J14=1</x:formula>
    </x:cfRule>
  </x:conditionalFormatting>
  <x:pageMargins left="0.7" right="0.7" top="0.75" bottom="0.75" header="0.3" footer="0.3"/>
</x:worksheet>
</file>

<file path=xl/worksheets/sheet46.xml><?xml version="1.0" encoding="utf-8"?>
<x:worksheet xmlns:x="http://schemas.openxmlformats.org/spreadsheetml/2006/main">
  <x:sheetFormatPr defaultRowHeight="15"/>
  <x:cols>
    <x:col min="1" max="1" width="13" hidden="0" customWidth="1"/>
    <x:col min="2" max="2" width="31" hidden="0" customWidth="1"/>
    <x:col min="3" max="3" width="18" hidden="0" customWidth="1"/>
    <x:col min="4" max="4" width="24" hidden="0" customWidth="1"/>
    <x:col min="5" max="5" width="20" hidden="0" customWidth="1"/>
    <x:col min="6" max="6" width="28" hidden="0" customWidth="1"/>
    <x:col min="7" max="7" width="43" hidden="0" customWidth="1"/>
    <x:col min="8" max="8" width="30" hidden="0" customWidth="1"/>
    <x:col min="9" max="9" width="33" hidden="0" customWidth="1"/>
  </x:cols>
  <x:sheetData>
    <x:row r="1" ht="23" customHeight="1">
      <x:c r="A1" s="1446" t="str">
        <x:v>Detailed Historical Capital Evidence Request</x:v>
      </x:c>
      <x:c r="B1" s="1446"/>
      <x:c r="C1" s="1446"/>
      <x:c r="D1" s="1446"/>
      <x:c r="E1" s="1446"/>
      <x:c r="F1" s="1446"/>
      <x:c r="G1" s="1446"/>
      <x:c r="H1" s="1446"/>
      <x:c r="I1" s="1446"/>
    </x:row>
    <x:row r="2" ht="32" customHeight="1">
      <x:c r="A2" s="1449" t="str">
        <x:v>Free-first acquisition specification for a compatible potash capital account. Public table extraction is attempted first. A Statistics Canada custom tabulation is requested only for fields that are not publicly available.</x:v>
      </x:c>
      <x:c r="B2" s="1449"/>
      <x:c r="C2" s="1449"/>
      <x:c r="D2" s="1449"/>
      <x:c r="E2" s="1449"/>
      <x:c r="F2" s="1449"/>
      <x:c r="G2" s="1449"/>
      <x:c r="H2" s="1449"/>
      <x:c r="I2" s="1449"/>
    </x:row>
    <x:row r="4" ht="20" customHeight="1">
      <x:c r="A4" s="1452" t="str">
        <x:v>Request decision</x:v>
      </x:c>
      <x:c r="B4" s="1452"/>
      <x:c r="C4" s="1452"/>
      <x:c r="D4" s="1452"/>
      <x:c r="E4" s="1452"/>
      <x:c r="F4" s="1452"/>
      <x:c r="G4" s="1452"/>
      <x:c r="H4" s="1452"/>
      <x:c r="I4" s="1452"/>
    </x:row>
    <x:row r="5" ht="36" customHeight="1">
      <x:c r="A5" s="1456" t="str">
        <x:v>Field</x:v>
      </x:c>
      <x:c r="B5" s="1456" t="str">
        <x:v>Specification</x:v>
      </x:c>
      <x:c r="C5" s="1456" t="str">
        <x:v>Reason</x:v>
      </x:c>
      <x:c r="D5" s="1456" t="str">
        <x:v>Gate</x:v>
      </x:c>
    </x:row>
    <x:row r="6">
      <x:c r="A6" s="26" t="str">
        <x:v>Primary industry</x:v>
      </x:c>
      <x:c r="B6" s="108" t="str">
        <x:v>Potash mining [NAICS 212396]</x:v>
      </x:c>
      <x:c r="C6" s="26" t="str">
        <x:v>Matches the passed industry production account</x:v>
      </x:c>
      <x:c r="D6" s="26" t="str">
        <x:v>MANDATORY</x:v>
      </x:c>
    </x:row>
    <x:row r="7">
      <x:c r="A7" s="26" t="str">
        <x:v>Geography</x:v>
      </x:c>
      <x:c r="B7" s="108" t="str">
        <x:v>Canada; Saskatchewan as a separate validation extract</x:v>
      </x:c>
      <x:c r="C7" s="26" t="str">
        <x:v>Canada is the model boundary; Saskatchewan tests concentration and coverage</x:v>
      </x:c>
      <x:c r="D7" s="26" t="str">
        <x:v>MANDATORY</x:v>
      </x:c>
    </x:row>
    <x:row r="8">
      <x:c r="A8" s="26" t="str">
        <x:v>Years</x:v>
      </x:c>
      <x:c r="B8" s="108" t="str">
        <x:v>1990–2024, or longest available series ending in 2024</x:v>
      </x:c>
      <x:c r="C8" s="26" t="str">
        <x:v>Must precede the 2006 public detailed series sufficiently to initialize surviving stock</x:v>
      </x:c>
      <x:c r="D8" s="26" t="str">
        <x:v>MANDATORY</x:v>
      </x:c>
    </x:row>
    <x:row r="9">
      <x:c r="A9" s="26" t="str">
        <x:v>Price bases</x:v>
      </x:c>
      <x:c r="B9" s="108" t="str">
        <x:v>Current dollars and chained/constant 2017 dollars</x:v>
      </x:c>
      <x:c r="C9" s="26" t="str">
        <x:v>Needed for valuation and volume consistency</x:v>
      </x:c>
      <x:c r="D9" s="26" t="str">
        <x:v>MANDATORY</x:v>
      </x:c>
    </x:row>
    <x:row r="10">
      <x:c r="A10" s="26" t="str">
        <x:v>Depreciation method</x:v>
      </x:c>
      <x:c r="B10" s="108" t="str">
        <x:v>Geometric; include linear/hyperbolic only as sensitivity if available</x:v>
      </x:c>
      <x:c r="C10" s="26" t="str">
        <x:v>Matches current workbook aggregate controls</x:v>
      </x:c>
      <x:c r="D10" s="26" t="str">
        <x:v>MANDATORY</x:v>
      </x:c>
    </x:row>
    <x:row r="12" ht="20" customHeight="1">
      <x:c r="A12" s="1452" t="str">
        <x:v>Requested variables and dimensions</x:v>
      </x:c>
      <x:c r="B12" s="1452"/>
      <x:c r="C12" s="1452"/>
      <x:c r="D12" s="1452"/>
      <x:c r="E12" s="1452"/>
      <x:c r="F12" s="1452"/>
      <x:c r="G12" s="1452"/>
      <x:c r="H12" s="1452"/>
      <x:c r="I12" s="1452"/>
    </x:row>
    <x:row r="13" ht="36" customHeight="1">
      <x:c r="A13" s="1456" t="str">
        <x:v>Request ID</x:v>
      </x:c>
      <x:c r="B13" s="1456" t="str">
        <x:v>Variable</x:v>
      </x:c>
      <x:c r="C13" s="1456" t="str">
        <x:v>Years</x:v>
      </x:c>
      <x:c r="D13" s="1456" t="str">
        <x:v>Industry</x:v>
      </x:c>
      <x:c r="E13" s="1456" t="str">
        <x:v>Geography</x:v>
      </x:c>
      <x:c r="F13" s="1456" t="str">
        <x:v>Asset detail</x:v>
      </x:c>
      <x:c r="G13" s="1456" t="str">
        <x:v>Price / method</x:v>
      </x:c>
      <x:c r="H13" s="1456" t="str">
        <x:v>Why required</x:v>
      </x:c>
      <x:c r="I13" s="1456" t="str">
        <x:v>Acceptable fallback</x:v>
      </x:c>
    </x:row>
    <x:row r="14">
      <x:c r="A14" s="108" t="str">
        <x:v>DR-001</x:v>
      </x:c>
      <x:c r="B14" s="26" t="str">
        <x:v>Gross fixed capital formation / investment</x:v>
      </x:c>
      <x:c r="C14" s="26" t="str">
        <x:v>1990–2024</x:v>
      </x:c>
      <x:c r="D14" s="26" t="str">
        <x:v>212396</x:v>
      </x:c>
      <x:c r="E14" s="26" t="str">
        <x:v>Canada; Saskatchewan</x:v>
      </x:c>
      <x:c r="F14" s="26" t="str">
        <x:v>16 aggregate asset types or maximum publishable</x:v>
      </x:c>
      <x:c r="G14" s="26" t="str">
        <x:v>Current and 2017 dollars</x:v>
      </x:c>
      <x:c r="H14" s="26" t="str">
        <x:v>Core PIM flow</x:v>
      </x:c>
      <x:c r="I14" s="26" t="str">
        <x:v>2006–2024 public table plus direct opening stock</x:v>
      </x:c>
    </x:row>
    <x:row r="15">
      <x:c r="A15" s="108" t="str">
        <x:v>DR-002</x:v>
      </x:c>
      <x:c r="B15" s="26" t="str">
        <x:v>End-year net capital stock</x:v>
      </x:c>
      <x:c r="C15" s="26" t="str">
        <x:v>1990–2024</x:v>
      </x:c>
      <x:c r="D15" s="26" t="str">
        <x:v>212396</x:v>
      </x:c>
      <x:c r="E15" s="26" t="str">
        <x:v>Canada; Saskatchewan</x:v>
      </x:c>
      <x:c r="F15" s="26" t="str">
        <x:v>Same assets as DR-001</x:v>
      </x:c>
      <x:c r="G15" s="26" t="str">
        <x:v>Geometric; current and 2017 dollars</x:v>
      </x:c>
      <x:c r="H15" s="26" t="str">
        <x:v>Direct point-estimate capital base</x:v>
      </x:c>
      <x:c r="I15" s="26" t="str">
        <x:v>Start-2006 opening net stock plus later PIM</x:v>
      </x:c>
    </x:row>
    <x:row r="16">
      <x:c r="A16" s="108" t="str">
        <x:v>DR-003</x:v>
      </x:c>
      <x:c r="B16" s="26" t="str">
        <x:v>Consumption of fixed capital / depreciation</x:v>
      </x:c>
      <x:c r="C16" s="26" t="str">
        <x:v>1990–2024</x:v>
      </x:c>
      <x:c r="D16" s="26" t="str">
        <x:v>212396</x:v>
      </x:c>
      <x:c r="E16" s="26" t="str">
        <x:v>Canada; Saskatchewan</x:v>
      </x:c>
      <x:c r="F16" s="26" t="str">
        <x:v>Same assets as DR-001</x:v>
      </x:c>
      <x:c r="G16" s="26" t="str">
        <x:v>Geometric; current and 2017 dollars</x:v>
      </x:c>
      <x:c r="H16" s="26" t="str">
        <x:v>Independent CFC deduction</x:v>
      </x:c>
      <x:c r="I16" s="26" t="str">
        <x:v>Direct 2024 CFC plus validated PIM history</x:v>
      </x:c>
    </x:row>
    <x:row r="17">
      <x:c r="A17" s="108" t="str">
        <x:v>DR-004</x:v>
      </x:c>
      <x:c r="B17" s="26" t="str">
        <x:v>End-year gross capital stock</x:v>
      </x:c>
      <x:c r="C17" s="26" t="str">
        <x:v>1990–2024</x:v>
      </x:c>
      <x:c r="D17" s="26" t="str">
        <x:v>212396</x:v>
      </x:c>
      <x:c r="E17" s="26" t="str">
        <x:v>Canada; Saskatchewan</x:v>
      </x:c>
      <x:c r="F17" s="26" t="str">
        <x:v>Same assets as DR-001</x:v>
      </x:c>
      <x:c r="G17" s="26" t="str">
        <x:v>Current and 2017 dollars</x:v>
      </x:c>
      <x:c r="H17" s="26" t="str">
        <x:v>Survival/retirement validation</x:v>
      </x:c>
      <x:c r="I17" s="26" t="str">
        <x:v>Optional if net stock and CFC supplied</x:v>
      </x:c>
    </x:row>
    <x:row r="18">
      <x:c r="A18" s="108" t="str">
        <x:v>DR-005</x:v>
      </x:c>
      <x:c r="B18" s="26" t="str">
        <x:v>Asset service lives and depreciation/retirement profiles</x:v>
      </x:c>
      <x:c r="C18" s="26" t="str">
        <x:v>Method vintage for 2024</x:v>
      </x:c>
      <x:c r="D18" s="26" t="str">
        <x:v>Applicable to 212396</x:v>
      </x:c>
      <x:c r="E18" s="26" t="str">
        <x:v>Canada</x:v>
      </x:c>
      <x:c r="F18" s="26" t="str">
        <x:v>Asset-specific</x:v>
      </x:c>
      <x:c r="G18" s="26" t="str">
        <x:v>Exact SCFNRC parameter definitions</x:v>
      </x:c>
      <x:c r="H18" s="26" t="str">
        <x:v>Reproducibility</x:v>
      </x:c>
      <x:c r="I18" s="26" t="str">
        <x:v>Official method metadata tied to supplied series</x:v>
      </x:c>
    </x:row>
    <x:row r="19">
      <x:c r="A19" s="108" t="str">
        <x:v>DR-006</x:v>
      </x:c>
      <x:c r="B19" s="26" t="str">
        <x:v>Asset price indexes / implicit deflators</x:v>
      </x:c>
      <x:c r="C19" s="26" t="str">
        <x:v>1990–2024</x:v>
      </x:c>
      <x:c r="D19" s="26" t="str">
        <x:v>Applicable mapping</x:v>
      </x:c>
      <x:c r="E19" s="26" t="str">
        <x:v>Canada</x:v>
      </x:c>
      <x:c r="F19" s="26" t="str">
        <x:v>Asset-specific</x:v>
      </x:c>
      <x:c r="G19" s="26" t="str">
        <x:v>Index and reference year</x:v>
      </x:c>
      <x:c r="H19" s="26" t="str">
        <x:v>Convert nominal investment consistently</x:v>
      </x:c>
      <x:c r="I19" s="26" t="str">
        <x:v>Published vectors with exact concordance</x:v>
      </x:c>
    </x:row>
    <x:row r="20">
      <x:c r="A20" s="108" t="str">
        <x:v>DR-007</x:v>
      </x:c>
      <x:c r="B20" s="26" t="str">
        <x:v>Construction work in progress</x:v>
      </x:c>
      <x:c r="C20" s="26" t="str">
        <x:v>1990–2024; especially 2021–2024</x:v>
      </x:c>
      <x:c r="D20" s="26" t="str">
        <x:v>212396</x:v>
      </x:c>
      <x:c r="E20" s="26" t="str">
        <x:v>Canada; Saskatchewan</x:v>
      </x:c>
      <x:c r="F20" s="26" t="str">
        <x:v>Asset/project split where publishable</x:v>
      </x:c>
      <x:c r="G20" s="26" t="str">
        <x:v>Current dollars</x:v>
      </x:c>
      <x:c r="H20" s="26" t="str">
        <x:v>Separate non-producing capital</x:v>
      </x:c>
      <x:c r="I20" s="26" t="str">
        <x:v>Direct producing/non-producing stock split</x:v>
      </x:c>
    </x:row>
    <x:row r="21">
      <x:c r="A21" s="108" t="str">
        <x:v>DR-008</x:v>
      </x:c>
      <x:c r="B21" s="26" t="str">
        <x:v>Retirements, discards, acquisitions and disposals</x:v>
      </x:c>
      <x:c r="C21" s="26" t="str">
        <x:v>1990–2024</x:v>
      </x:c>
      <x:c r="D21" s="26" t="str">
        <x:v>212396</x:v>
      </x:c>
      <x:c r="E21" s="26" t="str">
        <x:v>Canada; Saskatchewan</x:v>
      </x:c>
      <x:c r="F21" s="26" t="str">
        <x:v>Asset-specific where publishable</x:v>
      </x:c>
      <x:c r="G21" s="26" t="str">
        <x:v>Current/volume metadata</x:v>
      </x:c>
      <x:c r="H21" s="26" t="str">
        <x:v>Validate stock survival and transfers</x:v>
      </x:c>
      <x:c r="I21" s="26" t="str">
        <x:v>Official detailed stock/CFC series that embeds these adjustments</x:v>
      </x:c>
    </x:row>
    <x:row r="23" ht="20" customHeight="1">
      <x:c r="A23" s="1452" t="str">
        <x:v>Free-first acquisition sequence</x:v>
      </x:c>
      <x:c r="B23" s="1452"/>
      <x:c r="C23" s="1452"/>
      <x:c r="D23" s="1452"/>
      <x:c r="E23" s="1452"/>
      <x:c r="F23" s="1452"/>
      <x:c r="G23" s="1452"/>
      <x:c r="H23" s="1452"/>
      <x:c r="I23" s="1452"/>
    </x:row>
    <x:row r="24" ht="36" customHeight="1">
      <x:c r="A24" s="1456" t="str">
        <x:v>Step</x:v>
      </x:c>
      <x:c r="B24" s="1456" t="str">
        <x:v>Action</x:v>
      </x:c>
      <x:c r="C24" s="1456" t="str">
        <x:v>Source</x:v>
      </x:c>
      <x:c r="D24" s="1456" t="str">
        <x:v>Expected output</x:v>
      </x:c>
      <x:c r="E24" s="1456" t="str">
        <x:v>Stop / pass rule</x:v>
      </x:c>
      <x:c r="F24" s="1456" t="str">
        <x:v>Cost control</x:v>
      </x:c>
      <x:c r="G24" s="1456" t="str">
        <x:v>Official URL</x:v>
      </x:c>
      <x:c r="H24" s="1456" t="str">
        <x:v>Evidence status</x:v>
      </x:c>
      <x:c r="I24" s="1456" t="str">
        <x:v>Workbook consequence</x:v>
      </x:c>
    </x:row>
    <x:row r="25">
      <x:c r="A25" s="1467" t="str">
        <x:v>1</x:v>
      </x:c>
      <x:c r="B25" s="26" t="str">
        <x:v>Download full table 34-10-0036-01 and extract Canada / 212396 / 2006–2024.</x:v>
      </x:c>
      <x:c r="C25" s="26" t="str">
        <x:v>Public Statistics Canada CSV/WDS</x:v>
      </x:c>
      <x:c r="D25" s="26" t="str">
        <x:v>Annual total potash investment and repair series</x:v>
      </x:c>
      <x:c r="E25" s="26" t="str">
        <x:v>PASS when all years and metadata validate</x:v>
      </x:c>
      <x:c r="F25" s="26" t="str">
        <x:v>Free</x:v>
      </x:c>
      <x:c r="G25" s="1468" t="str">
        <x:v>https://www150.statcan.gc.ca/n1/en/catalogue/3410003601</x:v>
      </x:c>
      <x:c r="H25" s="1467" t="str">
        <x:v>AVAILABLE</x:v>
      </x:c>
      <x:c r="I25" s="26" t="str">
        <x:v>Historical flow extraction authorized</x:v>
      </x:c>
    </x:row>
    <x:row r="26">
      <x:c r="A26" s="1467" t="str">
        <x:v>2</x:v>
      </x:c>
      <x:c r="B26" s="26" t="str">
        <x:v>Download 34-10-0039-01 and verify whether 212396 exists by asset.</x:v>
      </x:c>
      <x:c r="C26" s="26" t="str">
        <x:v>Public Statistics Canada CSV/WDS</x:v>
      </x:c>
      <x:c r="D26" s="26" t="str">
        <x:v>Asset-level investment series if available</x:v>
      </x:c>
      <x:c r="E26" s="26" t="str">
        <x:v>Do not infer the member from the table title</x:v>
      </x:c>
      <x:c r="F26" s="26" t="str">
        <x:v>Free</x:v>
      </x:c>
      <x:c r="G26" s="1468" t="str">
        <x:v>https://www150.statcan.gc.ca/n1/en/catalogue/3410003901</x:v>
      </x:c>
      <x:c r="H26" s="1467" t="str">
        <x:v>UNVERIFIED</x:v>
      </x:c>
      <x:c r="I26" s="26" t="str">
        <x:v>Asset split locked pending metadata validation</x:v>
      </x:c>
    </x:row>
    <x:row r="27">
      <x:c r="A27" s="1467" t="str">
        <x:v>3</x:v>
      </x:c>
      <x:c r="B27" s="26" t="str">
        <x:v>Re-examine 36-10-0096-01 and related tables for any unpublished display option that exposes 212396.</x:v>
      </x:c>
      <x:c r="C27" s="26" t="str">
        <x:v>Public Statistics Canada tables/API</x:v>
      </x:c>
      <x:c r="D27" s="26" t="str">
        <x:v>Direct stock/CFC row if present</x:v>
      </x:c>
      <x:c r="E27" s="26" t="str">
        <x:v>PASS only on exact 212396 boundary</x:v>
      </x:c>
      <x:c r="F27" s="26" t="str">
        <x:v>Free</x:v>
      </x:c>
      <x:c r="G27" s="1468" t="str">
        <x:v>https://www150.statcan.gc.ca/n1/en/catalogue/3610009601</x:v>
      </x:c>
      <x:c r="H27" s="1467" t="str">
        <x:v>AVAILABLE</x:v>
      </x:c>
      <x:c r="I27" s="26" t="str">
        <x:v>Aggregate reconciliation only</x:v>
      </x:c>
    </x:row>
    <x:row r="28">
      <x:c r="A28" s="1467" t="str">
        <x:v>4</x:v>
      </x:c>
      <x:c r="B28" s="26" t="str">
        <x:v>Submit the exact custom-data request below to Statistics Canada.</x:v>
      </x:c>
      <x:c r="C28" s="26" t="str">
        <x:v>SCFNRC record 2820 / infostats@statcan.gc.ca</x:v>
      </x:c>
      <x:c r="D28" s="26" t="str">
        <x:v>Quote, feasibility ruling or custom extract</x:v>
      </x:c>
      <x:c r="E28" s="26" t="str">
        <x:v>Do not purchase before scope and disclosure review</x:v>
      </x:c>
      <x:c r="F28" s="26" t="str">
        <x:v>Request quote first</x:v>
      </x:c>
      <x:c r="G28" s="1468" t="str">
        <x:v>https://www23.statcan.gc.ca/imdb/p2SV.pl?Function=getSurvey&amp;SDDS=2820</x:v>
      </x:c>
      <x:c r="H28" s="1467" t="str">
        <x:v>OPEN REQUEST</x:v>
      </x:c>
      <x:c r="I28" s="26" t="str">
        <x:v>Direct detailed capital evidence requested</x:v>
      </x:c>
    </x:row>
    <x:row r="29">
      <x:c r="A29" s="1467" t="str">
        <x:v>5</x:v>
      </x:c>
      <x:c r="B29" s="26" t="str">
        <x:v>Build PIM only after opening stock, asset parameters and WIP treatment are obtained.</x:v>
      </x:c>
      <x:c r="C29" s="26" t="str">
        <x:v>Workbook evidence gate</x:v>
      </x:c>
      <x:c r="D29" s="26" t="str">
        <x:v>Reproducible potash stock and CFC</x:v>
      </x:c>
      <x:c r="E29" s="26" t="str">
        <x:v>Every mandatory gate must show AVAILABLE</x:v>
      </x:c>
      <x:c r="F29" s="26" t="str">
        <x:v>No paid API required</x:v>
      </x:c>
      <x:c r="G29" s="1482" t="str">
        <x:v>Potash_PIM_Evidence_Gate</x:v>
      </x:c>
      <x:c r="H29" s="1467" t="str">
        <x:v>LOCKED</x:v>
      </x:c>
      <x:c r="I29" s="26" t="str">
        <x:v>No PIM calculation</x:v>
      </x:c>
    </x:row>
    <x:row r="30">
      <x:c r="A30" s="1467" t="str">
        <x:v>6</x:v>
      </x:c>
      <x:c r="B30" s="26" t="str">
        <x:v>Independently reconcile detailed results to 36-10-0096 aggregate stock and CFC.</x:v>
      </x:c>
      <x:c r="C30" s="26" t="str">
        <x:v>Official aggregate control</x:v>
      </x:c>
      <x:c r="D30" s="26" t="str">
        <x:v>Zero or disclosed rounding residual</x:v>
      </x:c>
      <x:c r="E30" s="26" t="str">
        <x:v>Fail on unexplained residual</x:v>
      </x:c>
      <x:c r="F30" s="26" t="str">
        <x:v>Free</x:v>
      </x:c>
      <x:c r="G30" s="1482" t="str">
        <x:v>Historical_Capital_Evidence</x:v>
      </x:c>
      <x:c r="H30" s="1467" t="str">
        <x:v>AVAILABLE</x:v>
      </x:c>
      <x:c r="I30" s="26" t="str">
        <x:v>Source inventory preserved</x:v>
      </x:c>
    </x:row>
    <x:row r="32" ht="20" customHeight="1">
      <x:c r="A32" s="1452" t="str">
        <x:v>Prepared request text</x:v>
      </x:c>
      <x:c r="B32" s="1452"/>
      <x:c r="C32" s="1452"/>
      <x:c r="D32" s="1452"/>
      <x:c r="E32" s="1452"/>
      <x:c r="F32" s="1452"/>
      <x:c r="G32" s="1452"/>
      <x:c r="H32" s="1452"/>
      <x:c r="I32" s="1452"/>
    </x:row>
    <x:row r="33">
      <x:c r="A33" s="1478" t="str">
        <x:v>Please advise whether Statistics Canada can provide a custom tabulation from the Stock and Consumption of Fixed Non-residential Capital program (record 2820) for Potash mining, NAICS 212396. The requested series are annual gross fixed capital formation, end-year gross and net capital stock, and consumption of fixed capital for Canada and Saskatchewan, from 1990 through 2024 or the longest available period, by the maximum publishable asset detail. Please provide geometric-depreciation estimates in current dollars and 2017 constant/chained dollars, together with the applicable service-life, retirement/depreciation profile, price-index and revision metadata. Where possible, please identify construction work in progress or otherwise distinguish capital not yet in productive service. The purpose is to construct and independently reproduce a 2024 potash produced-capital and normal-return account that reconciles to table 36-10-0096-01. Please state disclosure limitations, available substitutes, delivery format, timing and any fee before work begins.</x:v>
      </x:c>
      <x:c r="B33" s="1478"/>
      <x:c r="C33" s="1478"/>
      <x:c r="D33" s="1478"/>
      <x:c r="E33" s="1478"/>
      <x:c r="F33" s="1478"/>
      <x:c r="G33" s="1478"/>
      <x:c r="H33" s="1478"/>
      <x:c r="I33" s="1478"/>
    </x:row>
    <x:row r="34">
      <x:c r="A34" s="1478"/>
      <x:c r="B34" s="1478"/>
      <x:c r="C34" s="1478"/>
      <x:c r="D34" s="1478"/>
      <x:c r="E34" s="1478"/>
      <x:c r="F34" s="1478"/>
      <x:c r="G34" s="1478"/>
      <x:c r="H34" s="1478"/>
      <x:c r="I34" s="1478"/>
    </x:row>
    <x:row r="35">
      <x:c r="A35" s="1478"/>
      <x:c r="B35" s="1478"/>
      <x:c r="C35" s="1478"/>
      <x:c r="D35" s="1478"/>
      <x:c r="E35" s="1478"/>
      <x:c r="F35" s="1478"/>
      <x:c r="G35" s="1478"/>
      <x:c r="H35" s="1478"/>
      <x:c r="I35" s="1478"/>
    </x:row>
    <x:row r="36">
      <x:c r="A36" s="1478"/>
      <x:c r="B36" s="1478"/>
      <x:c r="C36" s="1478"/>
      <x:c r="D36" s="1478"/>
      <x:c r="E36" s="1478"/>
      <x:c r="F36" s="1478"/>
      <x:c r="G36" s="1478"/>
      <x:c r="H36" s="1478"/>
      <x:c r="I36" s="1478"/>
    </x:row>
    <x:row r="37">
      <x:c r="A37" s="1478"/>
      <x:c r="B37" s="1478"/>
      <x:c r="C37" s="1478"/>
      <x:c r="D37" s="1478"/>
      <x:c r="E37" s="1478"/>
      <x:c r="F37" s="1478"/>
      <x:c r="G37" s="1478"/>
      <x:c r="H37" s="1478"/>
      <x:c r="I37" s="1478"/>
    </x:row>
    <x:row r="38">
      <x:c r="A38" s="1478"/>
      <x:c r="B38" s="1478"/>
      <x:c r="C38" s="1478"/>
      <x:c r="D38" s="1478"/>
      <x:c r="E38" s="1478"/>
      <x:c r="F38" s="1478"/>
      <x:c r="G38" s="1478"/>
      <x:c r="H38" s="1478"/>
      <x:c r="I38" s="1478"/>
    </x:row>
    <x:row r="40" ht="20" customHeight="1">
      <x:c r="A40" s="1452" t="str">
        <x:v>No-go rules</x:v>
      </x:c>
      <x:c r="B40" s="1452"/>
      <x:c r="C40" s="1452"/>
      <x:c r="D40" s="1452"/>
      <x:c r="E40" s="1452"/>
      <x:c r="F40" s="1452"/>
      <x:c r="G40" s="1452"/>
      <x:c r="H40" s="1452"/>
      <x:c r="I40" s="1452"/>
    </x:row>
    <x:row r="41" ht="36" customHeight="1">
      <x:c r="A41" s="1456" t="str">
        <x:v>Rule</x:v>
      </x:c>
      <x:c r="B41" s="1456"/>
      <x:c r="C41" s="1456"/>
      <x:c r="D41" s="1456"/>
      <x:c r="E41" s="1456"/>
      <x:c r="F41" s="1456"/>
      <x:c r="G41" s="1456" t="str">
        <x:v>Ruling</x:v>
      </x:c>
      <x:c r="H41" s="1456"/>
      <x:c r="I41" s="1456"/>
    </x:row>
    <x:row r="42" ht="28" customHeight="1">
      <x:c r="A42" s="26" t="str">
        <x:v>Do not allocate accumulated stock using one year of CAPEX.</x:v>
      </x:c>
      <x:c r="B42" s="1465"/>
      <x:c r="C42" s="26"/>
      <x:c r="D42" s="26"/>
      <x:c r="E42" s="26"/>
      <x:c r="F42" s="26"/>
      <x:c r="G42" s="1465" t="str">
        <x:v>LOCKED</x:v>
      </x:c>
      <x:c r="H42" s="1465"/>
      <x:c r="I42" s="1465"/>
    </x:row>
    <x:row r="43" ht="28" customHeight="1">
      <x:c r="A43" s="26" t="str">
        <x:v>Do not initialize a 2024 stock with the 2006–2024 flow sum alone.</x:v>
      </x:c>
      <x:c r="B43" s="1465"/>
      <x:c r="C43" s="26"/>
      <x:c r="D43" s="26"/>
      <x:c r="E43" s="26"/>
      <x:c r="F43" s="26"/>
      <x:c r="G43" s="1465" t="str">
        <x:v>LOCKED</x:v>
      </x:c>
      <x:c r="H43" s="1465"/>
      <x:c r="I43" s="1465"/>
    </x:row>
    <x:row r="44" ht="28" customHeight="1">
      <x:c r="A44" s="26" t="str">
        <x:v>Do not use broad mining stock as if it were potash stock.</x:v>
      </x:c>
      <x:c r="B44" s="1465"/>
      <x:c r="C44" s="26"/>
      <x:c r="D44" s="26"/>
      <x:c r="E44" s="26"/>
      <x:c r="F44" s="26"/>
      <x:c r="G44" s="1465" t="str">
        <x:v>LOCKED</x:v>
      </x:c>
      <x:c r="H44" s="1465"/>
      <x:c r="I44" s="1465"/>
    </x:row>
    <x:row r="45" ht="28" customHeight="1">
      <x:c r="A45" s="26" t="str">
        <x:v>Do not charge construction work in progress to incumbent production without a compatible accounting rule.</x:v>
      </x:c>
      <x:c r="B45" s="1465"/>
      <x:c r="C45" s="26"/>
      <x:c r="D45" s="26"/>
      <x:c r="E45" s="26"/>
      <x:c r="F45" s="26"/>
      <x:c r="G45" s="1465" t="str">
        <x:v>LOCKED</x:v>
      </x:c>
      <x:c r="H45" s="1465"/>
      <x:c r="I45" s="1465"/>
    </x:row>
    <x:row r="46" ht="28" customHeight="1">
      <x:c r="A46" s="26" t="str">
        <x:v>Do not emit potash rent or a national capture percentage until all mandatory gates pass.</x:v>
      </x:c>
      <x:c r="B46" s="1465"/>
      <x:c r="C46" s="26"/>
      <x:c r="D46" s="26"/>
      <x:c r="E46" s="26"/>
      <x:c r="F46" s="26"/>
      <x:c r="G46" s="1465" t="str">
        <x:v>LOCKED</x:v>
      </x:c>
      <x:c r="H46" s="1465"/>
      <x:c r="I46" s="1465"/>
    </x:row>
  </x:sheetData>
  <x:mergeCells>
    <x:mergeCell ref="A1:I1"/>
    <x:mergeCell ref="A2:I2"/>
    <x:mergeCell ref="A4:I4"/>
    <x:mergeCell ref="A12:I12"/>
    <x:mergeCell ref="A23:I23"/>
    <x:mergeCell ref="A32:I32"/>
    <x:mergeCell ref="A33:I38"/>
    <x:mergeCell ref="A40:I40"/>
    <x:mergeCell ref="A41:F41"/>
    <x:mergeCell ref="G41:I41"/>
    <x:mergeCell ref="A42:F42"/>
    <x:mergeCell ref="G42:I42"/>
    <x:mergeCell ref="A43:F43"/>
    <x:mergeCell ref="G43:I43"/>
    <x:mergeCell ref="A44:F44"/>
    <x:mergeCell ref="G44:I44"/>
    <x:mergeCell ref="A45:F45"/>
    <x:mergeCell ref="G45:I45"/>
    <x:mergeCell ref="A46:F46"/>
    <x:mergeCell ref="G46:I46"/>
  </x:mergeCell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18" hidden="0" customWidth="1"/>
    <x:col min="3" max="3" width="36" hidden="0" customWidth="1"/>
    <x:col min="4" max="4" width="20" hidden="0" customWidth="1"/>
    <x:col min="5" max="5" width="50" hidden="0" customWidth="1"/>
    <x:col min="6" max="6" width="42" hidden="0" customWidth="1"/>
    <x:col min="7" max="7" width="34" hidden="0" customWidth="1"/>
    <x:col min="8" max="8" width="34" hidden="0" customWidth="1"/>
    <x:col min="9" max="9" width="40" hidden="0" customWidth="1"/>
    <x:col min="10" max="10" width="16" hidden="0" customWidth="1"/>
  </x:cols>
  <x:sheetData>
    <x:row r="1" ht="28" customHeight="1">
      <x:c r="A1" s="1500" t="str">
        <x:v>Deep Research Evidence Audit — Potash, Oil Sands and Capital Source Atlas</x:v>
      </x:c>
      <x:c r="B1" s="1500"/>
      <x:c r="C1" s="1500"/>
      <x:c r="D1" s="1500"/>
      <x:c r="E1" s="1500"/>
      <x:c r="F1" s="1500"/>
      <x:c r="G1" s="1500"/>
      <x:c r="H1" s="1500"/>
      <x:c r="I1" s="1500"/>
      <x:c r="J1" s="1500"/>
    </x:row>
    <x:row r="2" ht="42" customHeight="1">
      <x:c r="A2" s="1503" t="str">
        <x:v>The uploaded deep-research reports are treated as leads, not evidence. Each material claim below is tested against official sources before it changes a workbook gate.</x:v>
      </x:c>
      <x:c r="B2" s="1503"/>
      <x:c r="C2" s="1503"/>
      <x:c r="D2" s="1503"/>
      <x:c r="E2" s="1503"/>
      <x:c r="F2" s="1503"/>
      <x:c r="G2" s="1503"/>
      <x:c r="H2" s="1503"/>
      <x:c r="I2" s="1503"/>
      <x:c r="J2" s="1503"/>
    </x:row>
    <x:row r="4">
      <x:c r="A4" s="1508" t="str">
        <x:v>Claim ID</x:v>
      </x:c>
      <x:c r="B4" s="1508" t="str">
        <x:v>Report</x:v>
      </x:c>
      <x:c r="C4" s="1508" t="str">
        <x:v>Material claim</x:v>
      </x:c>
      <x:c r="D4" s="1508" t="str">
        <x:v>Audit result</x:v>
      </x:c>
      <x:c r="E4" s="1508" t="str">
        <x:v>Official evidence</x:v>
      </x:c>
      <x:c r="F4" s="1508" t="str">
        <x:v>Model consequence</x:v>
      </x:c>
      <x:c r="G4" s="1508" t="str">
        <x:v>Official source 1</x:v>
      </x:c>
      <x:c r="H4" s="1508" t="str">
        <x:v>Official source 2</x:v>
      </x:c>
      <x:c r="I4" s="1508" t="str">
        <x:v>Next action</x:v>
      </x:c>
      <x:c r="J4" s="1508" t="str">
        <x:v>Publication gate</x:v>
      </x:c>
    </x:row>
    <x:row r="5" ht="62" hidden="0" customHeight="1">
      <x:c r="A5" s="1518" t="str">
        <x:v>DRA-001</x:v>
      </x:c>
      <x:c r="B5" s="1518" t="str">
        <x:v>Source atlas</x:v>
      </x:c>
      <x:c r="C5" s="1518" t="str">
        <x:v>Table 36-10-0096-01 provides direct NAICS 212396 potash net stock and CFC.</x:v>
      </x:c>
      <x:c r="D5" s="1518" t="str">
        <x:v>REJECTED / NOT OBSERVED</x:v>
      </x:c>
      <x:c r="E5" s="1518" t="str">
        <x:v>The current workbook extract from 36-10-0096 contains broad mining/oil-and-gas controls, not a potash row. The archived detailed table 36-10-0236 displays Potash mining but suppresses its values.</x:v>
      </x:c>
      <x:c r="F5" s="1518" t="str">
        <x:v>Do not unlock the potash capital base or relabel the model READY.</x:v>
      </x:c>
      <x:c r="G5" s="1518" t="str">
        <x:v>https://www150.statcan.gc.ca/t1/tbl1/en/tv.action?pid=3610009601</x:v>
      </x:c>
      <x:c r="H5" s="1518" t="str">
        <x:v>https://www150.statcan.gc.ca/t1/tbl1/en/tv.action?pid=3610023601</x:v>
      </x:c>
      <x:c r="I5" s="1518" t="str">
        <x:v>Inspect the full current cube for an exact, unsuppressed 212396 row; otherwise retain the missing-data gate.</x:v>
      </x:c>
      <x:c r="J5" s="1518" t="str">
        <x:v>LOCKED</x:v>
      </x:c>
    </x:row>
    <x:row r="6" ht="62" hidden="0" customHeight="1">
      <x:c r="A6" s="1518" t="str">
        <x:v>DRA-002</x:v>
      </x:c>
      <x:c r="B6" s="1518" t="str">
        <x:v>Potash report / source atlas</x:v>
      </x:c>
      <x:c r="C6" s="1518" t="str">
        <x:v>Detailed potash capital-expenditure history exists online.</x:v>
      </x:c>
      <x:c r="D6" s="1518" t="str">
        <x:v>VERIFIED — PARTIAL</x:v>
      </x:c>
      <x:c r="E6" s="1518" t="str">
        <x:v>Archived Statistics Canada investment publications report Potash mining [212396] at least from 2004 through 2014; current capital-expenditure tables cover annual data from 2006 onward.</x:v>
      </x:c>
      <x:c r="F6" s="1518" t="str">
        <x:v>Historical investment-flow extraction is authorized, but a flow is not a stock.</x:v>
      </x:c>
      <x:c r="G6" s="1518" t="str">
        <x:v>https://www150.statcan.gc.ca/n1/pub/61-205-x/00006/4084299-eng.htm</x:v>
      </x:c>
      <x:c r="H6" s="1518" t="str">
        <x:v>https://www150.statcan.gc.ca/n1/pub/61-205-x/2014000/t005-eng.htm</x:v>
      </x:c>
      <x:c r="I6" s="1518" t="str">
        <x:v>Extract 2004–latest annual totals with status flags and reconcile overlaps/revisions.</x:v>
      </x:c>
      <x:c r="J6" s="1518" t="str">
        <x:v>OPEN</x:v>
      </x:c>
    </x:row>
    <x:row r="7" ht="62" hidden="0" customHeight="1">
      <x:c r="A7" s="1518" t="str">
        <x:v>DRA-003</x:v>
      </x:c>
      <x:c r="B7" s="1518" t="str">
        <x:v>Source atlas</x:v>
      </x:c>
      <x:c r="C7" s="1518" t="str">
        <x:v>Table 34-10-0039-01 provides potash investment by asset.</x:v>
      </x:c>
      <x:c r="D7" s="1518" t="str">
        <x:v>UNVERIFIED</x:v>
      </x:c>
      <x:c r="E7" s="1518" t="str">
        <x:v>The table is officially defined by NAICS industry and asset from 2006 onward, but the exact 212396 member and disclosure status were not demonstrated in the report.</x:v>
      </x:c>
      <x:c r="F7" s="1518" t="str">
        <x:v>Asset-level investment remains locked until the actual cube rows are observed.</x:v>
      </x:c>
      <x:c r="G7" s="1518" t="str">
        <x:v>https://www150.statcan.gc.ca/t1/tbl1/en/tv.action?pid=3410003901</x:v>
      </x:c>
      <x:c r="H7" s="1518" t="str">
        <x:v>https://www150.statcan.gc.ca/n1/en/catalogue/3410003901</x:v>
      </x:c>
      <x:c r="I7" s="1518" t="str">
        <x:v>Extract the full cube and require exact 212396 rows; preserve suppressed and unavailable values.</x:v>
      </x:c>
      <x:c r="J7" s="1518" t="str">
        <x:v>LOCKED</x:v>
      </x:c>
    </x:row>
    <x:row r="8" ht="62" hidden="0" customHeight="1">
      <x:c r="A8" s="1518" t="str">
        <x:v>DRA-004</x:v>
      </x:c>
      <x:c r="B8" s="1518" t="str">
        <x:v>Potash report / source atlas</x:v>
      </x:c>
      <x:c r="C8" s="1518" t="str">
        <x:v>A defensible public-data potash PIM is already feasible using assumed service lives.</x:v>
      </x:c>
      <x:c r="D8" s="1518" t="str">
        <x:v>REJECTED</x:v>
      </x:c>
      <x:c r="E8" s="1518" t="str">
        <x:v>No observed opening stock, exact official asset parameter set, detailed CFC validation, or complete WIP/retirement treatment has been supplied.</x:v>
      </x:c>
      <x:c r="F8" s="1518" t="str">
        <x:v>Do not build a point-estimate PIM from assumptions calibrated only to broad mining totals.</x:v>
      </x:c>
      <x:c r="G8" s="1518" t="str">
        <x:v>https://www23.statcan.gc.ca/imdb/p2SV.pl?Function=getSurvey&amp;SDDS=2820</x:v>
      </x:c>
      <x:c r="H8" s="1518" t="str">
        <x:v>https://www150.statcan.gc.ca/n1/pub/13-607-x/2016001/212-eng.htm</x:v>
      </x:c>
      <x:c r="I8" s="1518" t="str">
        <x:v>Continue source discovery; allow scenarios only after a clearly labelled research PIM is separated from the evidence account.</x:v>
      </x:c>
      <x:c r="J8" s="1518" t="str">
        <x:v>LOCKED</x:v>
      </x:c>
    </x:row>
    <x:row r="9" ht="62" hidden="0" customHeight="1">
      <x:c r="A9" s="1518" t="str">
        <x:v>DRA-005</x:v>
      </x:c>
      <x:c r="B9" s="1518" t="str">
        <x:v>Oil-sands report</x:v>
      </x:c>
      <x:c r="C9" s="1518" t="str">
        <x:v>2024 production was 121.460355 million m³ non-upgraded bitumen and 73.987102 million m³ synthetic crude.</x:v>
      </x:c>
      <x:c r="D9" s="1518" t="str">
        <x:v>VERIFIED</x:v>
      </x:c>
      <x:c r="E9" s="1518" t="str">
        <x:v>Statistics Canada reports those 2024 volumes in table 25-10-0063-01.</x:v>
      </x:c>
      <x:c r="F9" s="1518" t="str">
        <x:v>Add the volumes as product controls; they do not provide output values, costs or capital by product.</x:v>
      </x:c>
      <x:c r="G9" s="1518" t="str">
        <x:v>https://www.statcan.gc.ca/o1/en/plus/9188-canadian-crude-oil-reaches-new-heights-2025</x:v>
      </x:c>
      <x:c r="H9" s="1518" t="str">
        <x:v>https://www.statcan.gc.ca/o1/en/plus/7940-another-record-year-canadian-crude-oil-crude-oil-year-review-2024</x:v>
      </x:c>
      <x:c r="I9" s="1518" t="str">
        <x:v>Use the volume split to test product valuation and physical reconciliation.</x:v>
      </x:c>
      <x:c r="J9" s="1518" t="str">
        <x:v>CONTROL ONLY</x:v>
      </x:c>
    </x:row>
    <x:row r="10" ht="62" hidden="0" customHeight="1">
      <x:c r="A10" s="1518" t="str">
        <x:v>DRA-006</x:v>
      </x:c>
      <x:c r="B10" s="1518" t="str">
        <x:v>Oil-sands report</x:v>
      </x:c>
      <x:c r="C10" s="1518" t="str">
        <x:v>Oil-sands upgrading belongs to petroleum refineries [324110], outside oil-sands extraction [21114].</x:v>
      </x:c>
      <x:c r="D10" s="1518" t="str">
        <x:v>FALSE</x:v>
      </x:c>
      <x:c r="E10" s="1518" t="str">
        <x:v>NAICS 211141 and 211142 explicitly list synthetic crude oil production as oil-sands extraction activities.</x:v>
      </x:c>
      <x:c r="F10" s="1518" t="str">
        <x:v>Reframe the $50.255B bitumen-only gap: it does not invalidate the combined oil-sands industry boundary. It shows that crude-bitumen output alone is narrower.</x:v>
      </x:c>
      <x:c r="G10" s="1518" t="str">
        <x:v>https://www23.statcan.gc.ca/imdb/p3VD.pl?CLV=1&amp;CPV=21114&amp;CST=27012022&amp;CVD=1370274&amp;D=1&amp;Function=getVD&amp;MLV=5&amp;TVD=1369825&amp;wbdisable=true</x:v>
      </x:c>
      <x:c r="H10" s="1518" t="str">
        <x:v>https://www23.statcan.gc.ca/imdb/p3VD.pl?CLV=3&amp;CPV=324110&amp;CST=27012022&amp;CVD=1370970&amp;D=1&amp;Function=getVD&amp;MLV=5&amp;TVD=1369825&amp;wbdisable=true</x:v>
      </x:c>
      <x:c r="I10" s="1518" t="str">
        <x:v>Treat NAICS 21114 as a combined bitumen-plus-synthetic-crude industry boundary; keep product decomposition separate.</x:v>
      </x:c>
      <x:c r="J10" s="1518" t="str">
        <x:v>PARTIAL</x:v>
      </x:c>
    </x:row>
    <x:row r="11" ht="62" hidden="0" customHeight="1">
      <x:c r="A11" s="1518" t="str">
        <x:v>DRA-007</x:v>
      </x:c>
      <x:c r="B11" s="1518" t="str">
        <x:v>Oil-sands report</x:v>
      </x:c>
      <x:c r="C11" s="1518" t="str">
        <x:v>AER supply costs of US$47–78/bbl are operating expenses.</x:v>
      </x:c>
      <x:c r="D11" s="1518" t="str">
        <x:v>FALSE / MISLABELLED</x:v>
      </x:c>
      <x:c r="E11" s="1518" t="str">
        <x:v>AER defines supply cost as the price required to recover capital expenditures, operating costs, royalties, taxes and a specified return.</x:v>
      </x:c>
      <x:c r="F11" s="1518" t="str">
        <x:v>Do not import supply-cost figures into the operating-input line.</x:v>
      </x:c>
      <x:c r="G11" s="1518" t="str">
        <x:v>https://www.aer.ca/data-and-performance-reports/statistical-reports/alberta-energy-outlook-st98/crude-bitumen/crude-bitumen-supply-costs</x:v>
      </x:c>
      <x:c r="H11" s="1518" t="str">
        <x:v>https://www.aer.ca/data-and-performance-reports/statistical-reports/alberta-energy-outlook-st98/crude-bitumen/crude-bitumen-methodology</x:v>
      </x:c>
      <x:c r="I11" s="1518" t="str">
        <x:v>Use only a separately reported operating-cost series or project-level operating costs.</x:v>
      </x:c>
      <x:c r="J11" s="1518" t="str">
        <x:v>EXCLUDED</x:v>
      </x:c>
    </x:row>
    <x:row r="12" ht="62" hidden="0" customHeight="1">
      <x:c r="A12" s="1518" t="str">
        <x:v>DRA-008</x:v>
      </x:c>
      <x:c r="B12" s="1518" t="str">
        <x:v>Oil-sands follow-up</x:v>
      </x:c>
      <x:c r="C12" s="1518" t="str">
        <x:v>Alberta publishes project revenue, operating costs, capital costs, return allowance and royalties by oil-sands project.</x:v>
      </x:c>
      <x:c r="D12" s="1518" t="str">
        <x:v>VERIFIED</x:v>
      </x:c>
      <x:c r="E12" s="1518" t="str">
        <x:v>The Alberta oil-sands project dataset exposes these fields by project and reporting year.</x:v>
      </x:c>
      <x:c r="F12" s="1518" t="str">
        <x:v>This can create a strong royalty-system diagnostic and project reconciliation, but it is not automatically a national-accounts capital stock.</x:v>
      </x:c>
      <x:c r="G12" s="1518" t="str">
        <x:v>https://www.alberta.ca/royalty-oil-sands-project-data.aspx</x:v>
      </x:c>
      <x:c r="H12" s="1518" t="str">
        <x:v>https://www.alberta.ca/oil-sands-royalties-overview</x:v>
      </x:c>
      <x:c r="I12" s="1518" t="str">
        <x:v>Reconstructed all 12 pages: 110 reporting rows, 106 project codes; aggregate and check the royalty accounts.</x:v>
      </x:c>
      <x:c r="J12" s="1518" t="str">
        <x:v>COMPLETE — DIAGNOSTIC ONLY</x:v>
      </x:c>
    </x:row>
    <x:row r="13" ht="62" hidden="0" customHeight="1">
      <x:c r="A13" s="1518" t="str">
        <x:v>DRA-009</x:v>
      </x:c>
      <x:c r="B13" s="1518" t="str">
        <x:v>Source atlas</x:v>
      </x:c>
      <x:c r="C13" s="1518" t="str">
        <x:v>Most commodity capital accounts are READY because price indexes exist.</x:v>
      </x:c>
      <x:c r="D13" s="1518" t="str">
        <x:v>REJECTED</x:v>
      </x:c>
      <x:c r="E13" s="1518" t="str">
        <x:v>Commodity-price availability does not establish produced-capital stock, CFC, opening stock or compatible industry/product boundaries.</x:v>
      </x:c>
      <x:c r="F13" s="1518" t="str">
        <x:v>Retain commodity-by-commodity capital gates; do not use the atlas feasibility labels as publication authority.</x:v>
      </x:c>
      <x:c r="G13" s="1518" t="str">
        <x:v>https://www150.statcan.gc.ca/t1/tbl1/en/tv.action?pid=3610009601</x:v>
      </x:c>
      <x:c r="H13" s="1518" t="str">
        <x:v>https://www150.statcan.gc.ca/t1/tbl1/en/tv.action?pid=3610023601</x:v>
      </x:c>
      <x:c r="I13" s="1518" t="str">
        <x:v>Replace READY/PARTIAL labels with evidence requirements and observed row status.</x:v>
      </x:c>
      <x:c r="J13" s="1518" t="str">
        <x:v>LOCKED</x:v>
      </x:c>
    </x:row>
    <x:row r="14" ht="62" hidden="0" customHeight="1">
      <x:c r="A14" s="1518" t="str">
        <x:v>DRA-010</x:v>
      </x:c>
      <x:c r="B14" s="1518" t="str">
        <x:v>Source atlas</x:v>
      </x:c>
      <x:c r="C14" s="1518" t="str">
        <x:v>Commodity prices can serve as capital-stock deflators.</x:v>
      </x:c>
      <x:c r="D14" s="1518" t="str">
        <x:v>REVISED</x:v>
      </x:c>
      <x:c r="E14" s="1518" t="str">
        <x:v>A PIM requires asset-price indexes for structures, machinery, engineering and intellectual-property assets. Commodity prices are output-price controls, not general capital deflators.</x:v>
      </x:c>
      <x:c r="F14" s="1518" t="str">
        <x:v>Keep output valuation and capital deflation as separate model layers.</x:v>
      </x:c>
      <x:c r="G14" s="1518" t="str">
        <x:v>https://www.statcan.gc.ca/en/developers/wds/user-guide</x:v>
      </x:c>
      <x:c r="H14" s="1518" t="str">
        <x:v>https://www23.statcan.gc.ca/imdb/p2SV.pl?Function=getSurvey&amp;SDDS=2820</x:v>
      </x:c>
      <x:c r="I14" s="1518" t="str">
        <x:v>Map each investment asset to an official asset deflator before any research PIM runs.</x:v>
      </x:c>
      <x:c r="J14" s="1518" t="str">
        <x:v>LOCKED</x:v>
      </x:c>
    </x:row>
    <x:row r="15" ht="62" hidden="0" customHeight="1">
      <x:c r="A15" s="1518" t="str">
        <x:v>DRA-011</x:v>
      </x:c>
      <x:c r="B15" s="1518" t="str">
        <x:v>All reports</x:v>
      </x:c>
      <x:c r="C15" s="1518" t="str">
        <x:v>The research justifies a commodity economic-rent estimate now.</x:v>
      </x:c>
      <x:c r="D15" s="1518" t="str">
        <x:v>NO</x:v>
      </x:c>
      <x:c r="E15" s="1518" t="str">
        <x:v>The reports add valuable leads and correct the oil-sands classification boundary, but they do not supply compatible detailed capital stock and CFC.</x:v>
      </x:c>
      <x:c r="F15" s="1518" t="str">
        <x:v>Commodity rent rows and the national capture percentage remain locked.</x:v>
      </x:c>
      <x:c r="G15" s="1518" t="str">
        <x:v>https://www150.statcan.gc.ca/t1/tbl1/en/tv.action?pid=3610009601</x:v>
      </x:c>
      <x:c r="H15" s="1518" t="str">
        <x:v>https://www150.statcan.gc.ca/t1/tbl1/en/tv.action?pid=3610000101</x:v>
      </x:c>
      <x:c r="I15" s="1518" t="str">
        <x:v>Proceed with verified public extraction, not assumption substitution.</x:v>
      </x:c>
      <x:c r="J15" s="1518" t="str">
        <x:v>LOCKED</x:v>
      </x:c>
    </x:row>
    <x:row r="16">
      <x:c r="A16" t="str">
        <x:v>DRA-012</x:v>
      </x:c>
      <x:c r="B16" t="str">
        <x:v>Potash archive</x:v>
      </x:c>
      <x:c r="C16" t="str">
        <x:v>Archived potash capital-expenditure values form one seamless final series.</x:v>
      </x:c>
      <x:c r="D16" t="str">
        <x:v>REVISED</x:v>
      </x:c>
      <x:c r="E16" t="str">
        <x:v>The annual publications contain intentions, preliminary actuals and later actuals; values are materially revised and some final actuals are suppressed.</x:v>
      </x:c>
      <x:c r="F16" t="str">
        <x:v>Preserve every vintage. Select actuals where observed and label preliminary/intention substitutions explicitly. Do not use the mixed series as a PIM without asset and opening-stock evidence.</x:v>
      </x:c>
      <x:c r="G16" t="str">
        <x:v>https://www150.statcan.gc.ca/n1/pub/61-205-x/2009000/t005-eng.htm</x:v>
      </x:c>
      <x:c r="H16" t="str">
        <x:v>https://www150.statcan.gc.ca/n1/pub/61-205-x/2014000/t005-eng.htm</x:v>
      </x:c>
      <x:c r="I16" t="str">
        <x:v>Maintain a vintage ledger and a separate best-current observation series.</x:v>
      </x:c>
      <x:c r="J16" t="str">
        <x:v>PARTIAL — FLOW ONLY</x:v>
      </x:c>
    </x:row>
    <x:row r="17">
      <x:c r="A17" s="1512" t="str">
        <x:v>Audit ruling</x:v>
      </x:c>
      <x:c r="B17" s="1512"/>
      <x:c r="C17" s="1512"/>
      <x:c r="D17" s="1512"/>
      <x:c r="E17" s="1512"/>
      <x:c r="F17" s="1512"/>
      <x:c r="G17" s="1512"/>
      <x:c r="H17" s="1512"/>
      <x:c r="I17" s="1512"/>
      <x:c r="J17" s="1512"/>
    </x:row>
    <x:row r="18" ht="46" customHeight="1">
      <x:c r="A18" s="1515" t="str">
        <x:v>Usable immediately</x:v>
      </x:c>
      <x:c r="B18" s="1517" t="str">
        <x:v>Verified potash investment history leads; verified 2024 oil-sands physical volumes; corrected NAICS 21114 boundary; Alberta project-level royalty dataset.</x:v>
      </x:c>
      <x:c r="C18" s="1517"/>
      <x:c r="D18" s="1517"/>
      <x:c r="E18" s="1517"/>
      <x:c r="F18" s="1517"/>
      <x:c r="G18" s="1517"/>
      <x:c r="H18" s="1517"/>
      <x:c r="I18" s="1517"/>
      <x:c r="J18" s="1517"/>
    </x:row>
    <x:row r="19" ht="46" customHeight="1">
      <x:c r="A19" s="1515" t="str">
        <x:v>Not usable as model inputs</x:v>
      </x:c>
      <x:c r="B19" s="1517" t="str">
        <x:v>Claimed direct potash stock/CFC; assumed PIM parameters; AER supply costs as OPEX; commodity-price indexes as capital deflators.</x:v>
      </x:c>
      <x:c r="C19" s="1517"/>
      <x:c r="D19" s="1517"/>
      <x:c r="E19" s="1517"/>
      <x:c r="F19" s="1517"/>
      <x:c r="G19" s="1517"/>
      <x:c r="H19" s="1517"/>
      <x:c r="I19" s="1517"/>
      <x:c r="J19" s="1517"/>
    </x:row>
    <x:row r="20" ht="46" customHeight="1">
      <x:c r="A20" s="1515" t="str">
        <x:v>Decisive model change</x:v>
      </x:c>
      <x:c r="B20" s="1517" t="str">
        <x:v>Oil sands should be tested first on the combined NAICS 21114 boundary. The bitumen-only versus industry-output difference is no longer itself a boundary failure.</x:v>
      </x:c>
      <x:c r="C20" s="1517"/>
      <x:c r="D20" s="1517"/>
      <x:c r="E20" s="1517"/>
      <x:c r="F20" s="1517"/>
      <x:c r="G20" s="1517"/>
      <x:c r="H20" s="1517"/>
      <x:c r="I20" s="1517"/>
      <x:c r="J20" s="1517"/>
    </x:row>
    <x:row r="21" ht="46" customHeight="1">
      <x:c r="A21" s="1515" t="str">
        <x:v>Unchanged hard gate</x:v>
      </x:c>
      <x:c r="B21" s="1517" t="str">
        <x:v>No detailed compatible produced-capital stock and CFC means no commodity economic-rent point estimate and no national capture percentage.</x:v>
      </x:c>
      <x:c r="C21" s="1517"/>
      <x:c r="D21" s="1517"/>
      <x:c r="E21" s="1517"/>
      <x:c r="F21" s="1517"/>
      <x:c r="G21" s="1517"/>
      <x:c r="H21" s="1517"/>
      <x:c r="I21" s="1517"/>
      <x:c r="J21" s="1517"/>
    </x:row>
  </x:sheetData>
  <x:mergeCells>
    <x:mergeCell ref="A1:J1"/>
    <x:mergeCell ref="A2:J2"/>
    <x:mergeCell ref="A17:J17"/>
    <x:mergeCell ref="B18:J18"/>
    <x:mergeCell ref="B19:J19"/>
    <x:mergeCell ref="B20:J20"/>
    <x:mergeCell ref="B21:J21"/>
  </x:mergeCells>
  <x:conditionalFormatting sqref="D5:D15">
    <x:cfRule type="expression" dxfId="28" priority="1">
      <x:formula>OR(ISNUMBER(SEARCH("FALSE",D5)),ISNUMBER(SEARCH("REJECTED",D5)))</x:formula>
    </x:cfRule>
    <x:cfRule type="expression" dxfId="29" priority="2">
      <x:formula>ISNUMBER(SEARCH("VERIFIED",D5))</x:formula>
    </x:cfRule>
  </x:conditionalFormatting>
  <x:conditionalFormatting sqref="J5:J15">
    <x:cfRule type="expression" dxfId="30" priority="3">
      <x:formula>J5="LOCKED"</x:formula>
    </x:cfRule>
  </x:conditionalFormatting>
  <x:pageMargins left="0.7" right="0.7" top="0.75" bottom="0.75" header="0.3" footer="0.3"/>
</x:worksheet>
</file>

<file path=xl/worksheets/sheet48.xml><?xml version="1.0" encoding="utf-8"?>
<x:worksheet xmlns:x="http://schemas.openxmlformats.org/spreadsheetml/2006/main">
  <x:sheetFormatPr defaultRowHeight="15"/>
  <x:cols>
    <x:col min="1" max="1" width="11" hidden="0" customWidth="1"/>
    <x:col min="2" max="2" width="28" hidden="0" customWidth="1"/>
    <x:col min="3" max="3" width="34" hidden="0" customWidth="1"/>
    <x:col min="4" max="4" width="8" hidden="0" customWidth="1"/>
    <x:col min="5" max="5" width="16" hidden="0" customWidth="1"/>
    <x:col min="6" max="6" width="14" hidden="0" customWidth="1"/>
    <x:col min="7" max="7" width="17" hidden="0" customWidth="1"/>
    <x:col min="8" max="8" width="14" hidden="0" customWidth="1"/>
    <x:col min="9" max="9" width="16" hidden="0" customWidth="1"/>
    <x:col min="10" max="10" width="16" hidden="0" customWidth="1"/>
    <x:col min="11" max="11" width="16" hidden="0" customWidth="1"/>
    <x:col min="12" max="12" width="15" hidden="0" customWidth="1"/>
    <x:col min="13" max="13" width="15" hidden="0" customWidth="1"/>
    <x:col min="14" max="14" width="15" hidden="0" customWidth="1"/>
    <x:col min="15" max="15" width="14" hidden="0" customWidth="1"/>
    <x:col min="16" max="16" width="15" hidden="0" customWidth="1"/>
    <x:col min="17" max="17" width="16" hidden="0" customWidth="1"/>
    <x:col min="18" max="18" width="16" hidden="0" customWidth="1"/>
    <x:col min="19" max="19" width="14" hidden="0" customWidth="1"/>
    <x:col min="20" max="20" width="10" hidden="0" customWidth="1"/>
    <x:col min="21" max="21" width="11" hidden="0" customWidth="1"/>
    <x:col min="22" max="22" width="17" hidden="0" customWidth="1"/>
    <x:col min="23" max="23" width="17" hidden="0" customWidth="1"/>
    <x:col min="24" max="24" width="14" hidden="0" customWidth="1"/>
    <x:col min="25" max="25" width="11" hidden="0" customWidth="1"/>
    <x:col min="26" max="26" width="20" hidden="0" customWidth="1"/>
    <x:col min="27" max="27" width="42" hidden="0" customWidth="1"/>
    <x:col min="28" max="28" width="9" hidden="0" customWidth="1"/>
    <x:col min="29" max="29" width="42" hidden="0" customWidth="1"/>
    <x:col min="30" max="30" width="12" hidden="0" customWidth="1"/>
    <x:col min="31" max="31" width="12" hidden="0" customWidth="1"/>
    <x:col min="32" max="32" width="24" hidden="0" customWidth="1"/>
  </x:cols>
  <x:sheetData>
    <x:row r="1" ht="28" customHeight="1">
      <x:c r="A1" s="1532" t="str">
        <x:v>Alberta Oil-Sands Royalty Project Data — 2024</x:v>
      </x:c>
      <x:c r="B1" s="1532"/>
      <x:c r="C1" s="1532"/>
      <x:c r="D1" s="1532"/>
      <x:c r="E1" s="1532"/>
      <x:c r="F1" s="1532"/>
      <x:c r="G1" s="1532"/>
      <x:c r="H1" s="1532"/>
      <x:c r="I1" s="1532"/>
      <x:c r="J1" s="1532"/>
      <x:c r="K1" s="1532"/>
      <x:c r="L1" s="1532"/>
      <x:c r="M1" s="1532"/>
      <x:c r="N1" s="1532"/>
      <x:c r="O1" s="1532"/>
      <x:c r="P1" s="1532"/>
      <x:c r="Q1" s="1532"/>
      <x:c r="R1" s="1532"/>
      <x:c r="S1" s="1532"/>
      <x:c r="T1" s="1532"/>
      <x:c r="U1" s="1532"/>
      <x:c r="V1" s="1532"/>
      <x:c r="W1" s="1532"/>
      <x:c r="X1" s="1532"/>
      <x:c r="Y1" s="1532"/>
      <x:c r="Z1" s="1532"/>
      <x:c r="AA1" s="1532"/>
      <x:c r="AB1" s="1532"/>
      <x:c r="AC1" s="1532"/>
      <x:c r="AD1" s="1532"/>
      <x:c r="AE1" s="1532"/>
      <x:c r="AF1" s="1532"/>
    </x:row>
    <x:row r="2" ht="42" customHeight="1">
      <x:c r="A2" s="1536" t="str">
        <x:v>Official royalty-calculation data reconstructed from all 12 Alberta project-table pages. These definitions are specific to the Oil Sands Royalty Regulation and are not comparable with financial statements or national-accounts data. Annual allowed capital costs are flows, not produced-capital stock.</x:v>
      </x:c>
      <x:c r="B2" s="1536"/>
      <x:c r="C2" s="1536"/>
      <x:c r="D2" s="1536"/>
      <x:c r="E2" s="1536"/>
      <x:c r="F2" s="1536"/>
      <x:c r="G2" s="1536"/>
      <x:c r="H2" s="1536"/>
      <x:c r="I2" s="1536"/>
      <x:c r="J2" s="1536"/>
      <x:c r="K2" s="1536"/>
      <x:c r="L2" s="1536"/>
      <x:c r="M2" s="1536"/>
      <x:c r="N2" s="1536"/>
      <x:c r="O2" s="1536"/>
      <x:c r="P2" s="1536"/>
      <x:c r="Q2" s="1536"/>
      <x:c r="R2" s="1536"/>
      <x:c r="S2" s="1536"/>
      <x:c r="T2" s="1536"/>
      <x:c r="U2" s="1536"/>
      <x:c r="V2" s="1536"/>
      <x:c r="W2" s="1536"/>
      <x:c r="X2" s="1536"/>
      <x:c r="Y2" s="1536"/>
      <x:c r="Z2" s="1536"/>
      <x:c r="AA2" s="1536"/>
      <x:c r="AB2" s="1536"/>
      <x:c r="AC2" s="1536"/>
      <x:c r="AD2" s="1536"/>
      <x:c r="AE2" s="1536"/>
      <x:c r="AF2" s="1536"/>
    </x:row>
    <x:row r="4">
      <x:c r="A4" s="1539" t="str">
        <x:v>Source data and mechanical checks</x:v>
      </x:c>
      <x:c r="B4" s="1539"/>
      <x:c r="C4" s="1539"/>
      <x:c r="D4" s="1539"/>
      <x:c r="E4" s="1539"/>
      <x:c r="F4" s="1539"/>
      <x:c r="G4" s="1539"/>
      <x:c r="H4" s="1539"/>
      <x:c r="I4" s="1539"/>
      <x:c r="J4" s="1539"/>
      <x:c r="K4" s="1539"/>
      <x:c r="L4" s="1539"/>
      <x:c r="M4" s="1539"/>
      <x:c r="N4" s="1539"/>
      <x:c r="O4" s="1539"/>
      <x:c r="P4" s="1539"/>
      <x:c r="Q4" s="1539"/>
      <x:c r="R4" s="1539"/>
      <x:c r="S4" s="1539"/>
      <x:c r="T4" s="1539"/>
      <x:c r="U4" s="1539"/>
      <x:c r="V4" s="1539"/>
      <x:c r="W4" s="1539"/>
      <x:c r="X4" s="1539"/>
      <x:c r="Y4" s="1539"/>
      <x:c r="Z4" s="1539"/>
      <x:c r="AA4" s="1539"/>
      <x:c r="AB4" s="1539"/>
      <x:c r="AC4" s="1539"/>
      <x:c r="AD4" s="1539"/>
      <x:c r="AE4" s="1539"/>
      <x:c r="AF4" s="1539"/>
    </x:row>
    <x:row r="5" ht="42" customHeight="1">
      <x:c r="A5" s="1544" t="str">
        <x:v>Project</x:v>
      </x:c>
      <x:c r="B5" s="1544" t="str">
        <x:v>Project name</x:v>
      </x:c>
      <x:c r="C5" s="1544" t="str">
        <x:v>Operator</x:v>
      </x:c>
      <x:c r="D5" s="1544" t="str">
        <x:v>Year</x:v>
      </x:c>
      <x:c r="E5" s="1544" t="str">
        <x:v>Project revenue ($)</x:v>
      </x:c>
      <x:c r="F5" s="1544" t="str">
        <x:v>Diluent cost ($)</x:v>
      </x:c>
      <x:c r="G5" s="1544" t="str">
        <x:v>Gross revenue — source ($)</x:v>
      </x:c>
      <x:c r="H5" s="1544" t="str">
        <x:v>Gross identity diff ($)</x:v>
      </x:c>
      <x:c r="I5" s="1544" t="str">
        <x:v>Cleaned bitumen (bbl)</x:v>
      </x:c>
      <x:c r="J5" s="1544" t="str">
        <x:v>Gross revenue/bbl — source ($)</x:v>
      </x:c>
      <x:c r="K5" s="1544" t="str">
        <x:v>Gross revenue/bbl — calc ($)</x:v>
      </x:c>
      <x:c r="L5" s="1544" t="str">
        <x:v>Operating costs ($)</x:v>
      </x:c>
      <x:c r="M5" s="1544" t="str">
        <x:v>Capital costs ($)</x:v>
      </x:c>
      <x:c r="N5" s="1544" t="str">
        <x:v>Return allowance ($)</x:v>
      </x:c>
      <x:c r="O5" s="1544" t="str">
        <x:v>Other costs ($)</x:v>
      </x:c>
      <x:c r="P5" s="1544" t="str">
        <x:v>Other net proceeds ($)</x:v>
      </x:c>
      <x:c r="Q5" s="1544" t="str">
        <x:v>Net revenue — source ($)</x:v>
      </x:c>
      <x:c r="R5" s="1544" t="str">
        <x:v>Net revenue — calc ($)</x:v>
      </x:c>
      <x:c r="S5" s="1544" t="str">
        <x:v>NET identity diff ($)</x:v>
      </x:c>
      <x:c r="T5" s="1544" t="str">
        <x:v>Royalty type</x:v>
      </x:c>
      <x:c r="U5" s="1544" t="str">
        <x:v>Royalty rate (%)</x:v>
      </x:c>
      <x:c r="V5" s="1544" t="str">
        <x:v>Royalty payable — source ($)</x:v>
      </x:c>
      <x:c r="W5" s="1544" t="str">
        <x:v>Royalty payable — calc ($)</x:v>
      </x:c>
      <x:c r="X5" s="1544" t="str">
        <x:v>Royalty difference ($)</x:v>
      </x:c>
      <x:c r="Y5" s="1544" t="str">
        <x:v>Payout status</x:v>
      </x:c>
      <x:c r="Z5" s="1544" t="str">
        <x:v>Unrecovered balance / net loss EOP ($)</x:v>
      </x:c>
      <x:c r="AA5" s="1544" t="str">
        <x:v>Footnote</x:v>
      </x:c>
      <x:c r="AB5" s="1544" t="str">
        <x:v>Source page</x:v>
      </x:c>
      <x:c r="AC5" s="1544" t="str">
        <x:v>Source URL</x:v>
      </x:c>
      <x:c r="AD5" s="1544" t="str">
        <x:v>Gross check</x:v>
      </x:c>
      <x:c r="AE5" s="1544" t="str">
        <x:v>NET check</x:v>
      </x:c>
      <x:c r="AF5" s="1544" t="str">
        <x:v>Royalty-rate check</x:v>
      </x:c>
    </x:row>
    <x:row r="6" ht="18" customHeight="1">
      <x:c r="A6" s="1552" t="str">
        <x:v>CSR005</x:v>
      </x:c>
      <x:c r="B6" s="1155" t="str">
        <x:v>Peace River</x:v>
      </x:c>
      <x:c r="C6" s="1155" t="str">
        <x:v>CANADIAN NATURAL RESOURCES LIMITED</x:v>
      </x:c>
      <x:c r="D6" s="1553" t="n">
        <x:v>2024</x:v>
      </x:c>
      <x:c r="E6" s="1554" t="n">
        <x:v>25513524</x:v>
      </x:c>
      <x:c r="F6" s="1554" t="n">
        <x:v>8025357</x:v>
      </x:c>
      <x:c r="G6" s="1554" t="n">
        <x:v>17488167</x:v>
      </x:c>
      <x:c r="H6" s="1555" t="n">
        <x:f>E6-F6-G6</x:f>
        <x:v>0</x:v>
      </x:c>
      <x:c r="I6" s="1554" t="n">
        <x:v>244010</x:v>
      </x:c>
      <x:c r="J6" s="1556" t="n">
        <x:v>71.67</x:v>
      </x:c>
      <x:c r="K6" s="1557" t="n">
        <x:f>IF(I6=0,0,G6/I6)</x:f>
        <x:v>71.6698782836769</x:v>
      </x:c>
      <x:c r="L6" s="1554" t="n">
        <x:v>30700283</x:v>
      </x:c>
      <x:c r="M6" s="1554" t="n">
        <x:v>3480352</x:v>
      </x:c>
      <x:c r="N6" s="1554" t="n">
        <x:v>1029952924</x:v>
      </x:c>
      <x:c r="O6" s="1554" t="n">
        <x:v>874408</x:v>
      </x:c>
      <x:c r="P6" s="1554" t="n">
        <x:v>17268803</x:v>
      </x:c>
      <x:c r="Q6" s="1554" t="n">
        <x:v>0</x:v>
      </x:c>
      <x:c r="R6" s="1555" t="n">
        <x:f>MAX(0,G6-L6-M6-N6-O6+P6)</x:f>
        <x:v>0</x:v>
      </x:c>
      <x:c r="S6" s="1555" t="str">
        <x:f>IF(T6="NET",Q6-R6,"")</x:f>
      </x:c>
      <x:c r="T6" s="1552" t="str">
        <x:v>GROSS</x:v>
      </x:c>
      <x:c r="U6" s="1558" t="n">
        <x:v>5</x:v>
      </x:c>
      <x:c r="V6" s="1554" t="n">
        <x:v>874408</x:v>
      </x:c>
      <x:c r="W6" s="1555" t="n">
        <x:f>IF(T6="NET",Q6*U6/100,G6*U6/100)</x:f>
        <x:v>874408.35</x:v>
      </x:c>
      <x:c r="X6" s="1555" t="n">
        <x:f>V6-W6</x:f>
        <x:v>-0.34999999997671694</x:v>
      </x:c>
      <x:c r="Y6" s="1552" t="str">
        <x:v>PRE</x:v>
      </x:c>
      <x:c r="Z6" s="1554" t="n">
        <x:v>11329996142</x:v>
      </x:c>
      <x:c r="AA6" s="1155" t="str"/>
      <x:c r="AB6" s="1560" t="n">
        <x:v>1</x:v>
      </x:c>
      <x:c r="AC6" s="1155" t="str">
        <x:v>https://www.alberta.ca/royalty-oil-sands-project-data.aspx?dto=0&amp;dtp=1&amp;dtq=&amp;dts=0</x:v>
      </x:c>
      <x:c r="AD6" s="1559" t="str">
        <x:f>IF(ABS(H6)&lt;=Model_Parameters!$B$7,"PASS","REVIEW")</x:f>
        <x:v>PASS</x:v>
      </x:c>
      <x:c r="AE6" s="1559" t="str">
        <x:f>IF(T6&lt;&gt;"NET","N/A",IF(ABS(S6)&lt;=Model_Parameters!$B$7,"PASS","REVIEW"))</x:f>
        <x:v>N/A</x:v>
      </x:c>
      <x:c r="AF6" s="1559" t="str">
        <x:f>IF(ABS(X6)&lt;=Model_Parameters!$B$7,"WITHIN TOLERANCE","DISPLAY RATE / ADJUSTMENT")</x:f>
        <x:v>WITHIN TOLERANCE</x:v>
      </x:c>
    </x:row>
    <x:row r="7" ht="18" customHeight="1">
      <x:c r="A7" s="1552" t="str">
        <x:v>CSR006</x:v>
      </x:c>
      <x:c r="B7" s="1155" t="str">
        <x:v>Wolf Lake Crown Agreement</x:v>
      </x:c>
      <x:c r="C7" s="1155" t="str">
        <x:v>CANADIAN NATURAL RESOURCES LIMITED</x:v>
      </x:c>
      <x:c r="D7" s="1553" t="n">
        <x:v>2024</x:v>
      </x:c>
      <x:c r="E7" s="1554" t="n">
        <x:v>203025604</x:v>
      </x:c>
      <x:c r="F7" s="1554" t="n">
        <x:v>55024117</x:v>
      </x:c>
      <x:c r="G7" s="1554" t="n">
        <x:v>148001487</x:v>
      </x:c>
      <x:c r="H7" s="1555" t="n">
        <x:f>E7-F7-G7</x:f>
        <x:v>0</x:v>
      </x:c>
      <x:c r="I7" s="1554" t="n">
        <x:v>1921304</x:v>
      </x:c>
      <x:c r="J7" s="1556" t="n">
        <x:v>77.03</x:v>
      </x:c>
      <x:c r="K7" s="1557" t="n">
        <x:f>IF(I7=0,0,G7/I7)</x:f>
        <x:v>77.03179038819468</x:v>
      </x:c>
      <x:c r="L7" s="1554" t="n">
        <x:v>147757067</x:v>
      </x:c>
      <x:c r="M7" s="1554" t="n">
        <x:v>72348788</x:v>
      </x:c>
      <x:c r="N7" s="1554" t="n">
        <x:v>1251125744</x:v>
      </x:c>
      <x:c r="O7" s="1554" t="n">
        <x:v>7400074</x:v>
      </x:c>
      <x:c r="P7" s="1554" t="n">
        <x:v>139282377</x:v>
      </x:c>
      <x:c r="Q7" s="1554" t="n">
        <x:v>0</x:v>
      </x:c>
      <x:c r="R7" s="1555" t="n">
        <x:f>MAX(0,G7-L7-M7-N7-O7+P7)</x:f>
        <x:v>0</x:v>
      </x:c>
      <x:c r="S7" s="1555" t="str">
        <x:f>IF(T7="NET",Q7-R7,"")</x:f>
      </x:c>
      <x:c r="T7" s="1552" t="str">
        <x:v>GROSS</x:v>
      </x:c>
      <x:c r="U7" s="1558" t="n">
        <x:v>5</x:v>
      </x:c>
      <x:c r="V7" s="1554" t="n">
        <x:v>7400074</x:v>
      </x:c>
      <x:c r="W7" s="1555" t="n">
        <x:f>IF(T7="NET",Q7*U7/100,G7*U7/100)</x:f>
        <x:v>7400074.35</x:v>
      </x:c>
      <x:c r="X7" s="1555" t="n">
        <x:f>V7-W7</x:f>
        <x:v>-0.34999999962747097</x:v>
      </x:c>
      <x:c r="Y7" s="1552" t="str">
        <x:v>PRE</x:v>
      </x:c>
      <x:c r="Z7" s="1554" t="n">
        <x:v>13726228817</x:v>
      </x:c>
      <x:c r="AA7" s="1155" t="str"/>
      <x:c r="AB7" s="1560" t="n">
        <x:v>1</x:v>
      </x:c>
      <x:c r="AC7" s="1155" t="str">
        <x:v>https://www.alberta.ca/royalty-oil-sands-project-data.aspx?dto=0&amp;dtp=1&amp;dtq=&amp;dts=0</x:v>
      </x:c>
      <x:c r="AD7" s="1559" t="str">
        <x:f>IF(ABS(H7)&lt;=Model_Parameters!$B$7,"PASS","REVIEW")</x:f>
        <x:v>PASS</x:v>
      </x:c>
      <x:c r="AE7" s="1559" t="str">
        <x:f>IF(T7&lt;&gt;"NET","N/A",IF(ABS(S7)&lt;=Model_Parameters!$B$7,"PASS","REVIEW"))</x:f>
        <x:v>N/A</x:v>
      </x:c>
      <x:c r="AF7" s="1559" t="str">
        <x:f>IF(ABS(X7)&lt;=Model_Parameters!$B$7,"WITHIN TOLERANCE","DISPLAY RATE / ADJUSTMENT")</x:f>
        <x:v>WITHIN TOLERANCE</x:v>
      </x:c>
    </x:row>
    <x:row r="8" ht="18" customHeight="1">
      <x:c r="A8" s="1552" t="str">
        <x:v>CSR008</x:v>
      </x:c>
      <x:c r="B8" s="1155" t="str">
        <x:v>Lindbergh Crown Agreement</x:v>
      </x:c>
      <x:c r="C8" s="1155" t="str">
        <x:v>CANADIAN NATURAL RESOURCES LIMITED</x:v>
      </x:c>
      <x:c r="D8" s="1553" t="n">
        <x:v>2024</x:v>
      </x:c>
      <x:c r="E8" s="1554" t="n">
        <x:v>73396398</x:v>
      </x:c>
      <x:c r="F8" s="1554" t="n">
        <x:v>10744351</x:v>
      </x:c>
      <x:c r="G8" s="1554" t="n">
        <x:v>62652047</x:v>
      </x:c>
      <x:c r="H8" s="1555" t="n">
        <x:f>E8-F8-G8</x:f>
        <x:v>0</x:v>
      </x:c>
      <x:c r="I8" s="1554" t="n">
        <x:v>796769</x:v>
      </x:c>
      <x:c r="J8" s="1556" t="n">
        <x:v>78.63</x:v>
      </x:c>
      <x:c r="K8" s="1557" t="n">
        <x:f>IF(I8=0,0,G8/I8)</x:f>
        <x:v>78.6326363098966</x:v>
      </x:c>
      <x:c r="L8" s="1554" t="n">
        <x:v>21742657</x:v>
      </x:c>
      <x:c r="M8" s="1554" t="n">
        <x:v>13311113</x:v>
      </x:c>
      <x:c r="N8" s="1554" t="n">
        <x:v>0</x:v>
      </x:c>
      <x:c r="O8" s="1554" t="n">
        <x:v>0</x:v>
      </x:c>
      <x:c r="P8" s="1554" t="n">
        <x:v>594668</x:v>
      </x:c>
      <x:c r="Q8" s="1554" t="n">
        <x:v>28192945</x:v>
      </x:c>
      <x:c r="R8" s="1555" t="n">
        <x:f>MAX(0,G8-L8-M8-N8-O8+P8)</x:f>
        <x:v>28192945</x:v>
      </x:c>
      <x:c r="S8" s="1555" t="n">
        <x:f>IF(T8="NET",Q8-R8,"")</x:f>
        <x:v>0</x:v>
      </x:c>
      <x:c r="T8" s="1552" t="str">
        <x:v>NET</x:v>
      </x:c>
      <x:c r="U8" s="1558" t="n">
        <x:v>29.72</x:v>
      </x:c>
      <x:c r="V8" s="1554" t="n">
        <x:v>8378359</x:v>
      </x:c>
      <x:c r="W8" s="1555" t="n">
        <x:f>IF(T8="NET",Q8*U8/100,G8*U8/100)</x:f>
        <x:v>8378943.254</x:v>
      </x:c>
      <x:c r="X8" s="1555" t="n">
        <x:f>V8-W8</x:f>
        <x:v>-584.2539999997243</x:v>
      </x:c>
      <x:c r="Y8" s="1552" t="str">
        <x:v>POST</x:v>
      </x:c>
      <x:c r="Z8" s="1554" t="n">
        <x:v>0</x:v>
      </x:c>
      <x:c r="AA8" s="1155" t="str"/>
      <x:c r="AB8" s="1560" t="n">
        <x:v>1</x:v>
      </x:c>
      <x:c r="AC8" s="1155" t="str">
        <x:v>https://www.alberta.ca/royalty-oil-sands-project-data.aspx?dto=0&amp;dtp=1&amp;dtq=&amp;dts=0</x:v>
      </x:c>
      <x:c r="AD8" s="1559" t="str">
        <x:f>IF(ABS(H8)&lt;=Model_Parameters!$B$7,"PASS","REVIEW")</x:f>
        <x:v>PASS</x:v>
      </x:c>
      <x:c r="AE8" s="1559" t="str">
        <x:f>IF(T8&lt;&gt;"NET","N/A",IF(ABS(S8)&lt;=Model_Parameters!$B$7,"PASS","REVIEW"))</x:f>
        <x:v>PASS</x:v>
      </x:c>
      <x:c r="AF8" s="1559" t="str">
        <x:f>IF(ABS(X8)&lt;=Model_Parameters!$B$7,"WITHIN TOLERANCE","DISPLAY RATE / ADJUSTMENT")</x:f>
        <x:v>WITHIN TOLERANCE</x:v>
      </x:c>
    </x:row>
    <x:row r="9" ht="18" customHeight="1">
      <x:c r="A9" s="1552" t="str">
        <x:v>CSR009</x:v>
      </x:c>
      <x:c r="B9" s="1155" t="str">
        <x:v>Elk Point Crown Agreement</x:v>
      </x:c>
      <x:c r="C9" s="1155" t="str">
        <x:v>CANADIAN NATURAL RESOURCES LIMITED</x:v>
      </x:c>
      <x:c r="D9" s="1553" t="n">
        <x:v>2024</x:v>
      </x:c>
      <x:c r="E9" s="1554" t="n">
        <x:v>20648386</x:v>
      </x:c>
      <x:c r="F9" s="1554" t="n">
        <x:v>3635316</x:v>
      </x:c>
      <x:c r="G9" s="1554" t="n">
        <x:v>17013070</x:v>
      </x:c>
      <x:c r="H9" s="1555" t="n">
        <x:f>E9-F9-G9</x:f>
        <x:v>0</x:v>
      </x:c>
      <x:c r="I9" s="1554" t="n">
        <x:v>215553</x:v>
      </x:c>
      <x:c r="J9" s="1556" t="n">
        <x:v>78.93</x:v>
      </x:c>
      <x:c r="K9" s="1557" t="n">
        <x:f>IF(I9=0,0,G9/I9)</x:f>
        <x:v>78.92754914104651</x:v>
      </x:c>
      <x:c r="L9" s="1554" t="n">
        <x:v>7871949</x:v>
      </x:c>
      <x:c r="M9" s="1554" t="n">
        <x:v>7684003</x:v>
      </x:c>
      <x:c r="N9" s="1554" t="n">
        <x:v>95553905</x:v>
      </x:c>
      <x:c r="O9" s="1554" t="n">
        <x:v>850653</x:v>
      </x:c>
      <x:c r="P9" s="1554" t="n">
        <x:v>123005</x:v>
      </x:c>
      <x:c r="Q9" s="1554" t="n">
        <x:v>0</x:v>
      </x:c>
      <x:c r="R9" s="1555" t="n">
        <x:f>MAX(0,G9-L9-M9-N9-O9+P9)</x:f>
        <x:v>0</x:v>
      </x:c>
      <x:c r="S9" s="1555" t="str">
        <x:f>IF(T9="NET",Q9-R9,"")</x:f>
      </x:c>
      <x:c r="T9" s="1552" t="str">
        <x:v>GROSS</x:v>
      </x:c>
      <x:c r="U9" s="1558" t="n">
        <x:v>5</x:v>
      </x:c>
      <x:c r="V9" s="1554" t="n">
        <x:v>850653</x:v>
      </x:c>
      <x:c r="W9" s="1555" t="n">
        <x:f>IF(T9="NET",Q9*U9/100,G9*U9/100)</x:f>
        <x:v>850653.5</x:v>
      </x:c>
      <x:c r="X9" s="1555" t="n">
        <x:f>V9-W9</x:f>
        <x:v>-0.5</x:v>
      </x:c>
      <x:c r="Y9" s="1552" t="str">
        <x:v>PRE</x:v>
      </x:c>
      <x:c r="Z9" s="1554" t="n">
        <x:v>1051784396</x:v>
      </x:c>
      <x:c r="AA9" s="1155" t="str"/>
      <x:c r="AB9" s="1560" t="n">
        <x:v>1</x:v>
      </x:c>
      <x:c r="AC9" s="1155" t="str">
        <x:v>https://www.alberta.ca/royalty-oil-sands-project-data.aspx?dto=0&amp;dtp=1&amp;dtq=&amp;dts=0</x:v>
      </x:c>
      <x:c r="AD9" s="1559" t="str">
        <x:f>IF(ABS(H9)&lt;=Model_Parameters!$B$7,"PASS","REVIEW")</x:f>
        <x:v>PASS</x:v>
      </x:c>
      <x:c r="AE9" s="1559" t="str">
        <x:f>IF(T9&lt;&gt;"NET","N/A",IF(ABS(S9)&lt;=Model_Parameters!$B$7,"PASS","REVIEW"))</x:f>
        <x:v>N/A</x:v>
      </x:c>
      <x:c r="AF9" s="1559" t="str">
        <x:f>IF(ABS(X9)&lt;=Model_Parameters!$B$7,"WITHIN TOLERANCE","DISPLAY RATE / ADJUSTMENT")</x:f>
        <x:v>WITHIN TOLERANCE</x:v>
      </x:c>
    </x:row>
    <x:row r="10" ht="18" customHeight="1">
      <x:c r="A10" s="1552" t="str">
        <x:v>OSR003</x:v>
      </x:c>
      <x:c r="B10" s="1155" t="str">
        <x:v>John Lake</x:v>
      </x:c>
      <x:c r="C10" s="1155" t="str">
        <x:v>CALTEX TRILOGY INC.</x:v>
      </x:c>
      <x:c r="D10" s="1553" t="n">
        <x:v>2024</x:v>
      </x:c>
      <x:c r="E10" s="1554" t="n">
        <x:v>3892266</x:v>
      </x:c>
      <x:c r="F10" s="1554" t="n">
        <x:v>0</x:v>
      </x:c>
      <x:c r="G10" s="1554" t="n">
        <x:v>3892266</x:v>
      </x:c>
      <x:c r="H10" s="1555" t="n">
        <x:f>E10-F10-G10</x:f>
        <x:v>0</x:v>
      </x:c>
      <x:c r="I10" s="1554" t="n">
        <x:v>51806</x:v>
      </x:c>
      <x:c r="J10" s="1556" t="n">
        <x:v>75.13</x:v>
      </x:c>
      <x:c r="K10" s="1557" t="n">
        <x:f>IF(I10=0,0,G10/I10)</x:f>
        <x:v>75.13156777207273</x:v>
      </x:c>
      <x:c r="L10" s="1554" t="n">
        <x:v>1812387</x:v>
      </x:c>
      <x:c r="M10" s="1554" t="n">
        <x:v>74269</x:v>
      </x:c>
      <x:c r="N10" s="1554" t="n">
        <x:v>2375875</x:v>
      </x:c>
      <x:c r="O10" s="1554" t="n">
        <x:v>277103</x:v>
      </x:c>
      <x:c r="P10" s="1554" t="n">
        <x:v>599525</x:v>
      </x:c>
      <x:c r="Q10" s="1554" t="n">
        <x:v>0</x:v>
      </x:c>
      <x:c r="R10" s="1555" t="n">
        <x:f>MAX(0,G10-L10-M10-N10-O10+P10)</x:f>
        <x:v>0</x:v>
      </x:c>
      <x:c r="S10" s="1555" t="str">
        <x:f>IF(T10="NET",Q10-R10,"")</x:f>
      </x:c>
      <x:c r="T10" s="1552" t="str">
        <x:v>GROSS</x:v>
      </x:c>
      <x:c r="U10" s="1558" t="n">
        <x:v>7.12</x:v>
      </x:c>
      <x:c r="V10" s="1554" t="n">
        <x:v>277103</x:v>
      </x:c>
      <x:c r="W10" s="1555" t="n">
        <x:f>IF(T10="NET",Q10*U10/100,G10*U10/100)</x:f>
        <x:v>277129.33920000005</x:v>
      </x:c>
      <x:c r="X10" s="1555" t="n">
        <x:f>V10-W10</x:f>
        <x:v>-26.33920000004582</x:v>
      </x:c>
      <x:c r="Y10" s="1552" t="str">
        <x:v>PRE</x:v>
      </x:c>
      <x:c r="Z10" s="1554" t="n">
        <x:v>72777509</x:v>
      </x:c>
      <x:c r="AA10" s="1155" t="str"/>
      <x:c r="AB10" s="1560" t="n">
        <x:v>1</x:v>
      </x:c>
      <x:c r="AC10" s="1155" t="str">
        <x:v>https://www.alberta.ca/royalty-oil-sands-project-data.aspx?dto=0&amp;dtp=1&amp;dtq=&amp;dts=0</x:v>
      </x:c>
      <x:c r="AD10" s="1559" t="str">
        <x:f>IF(ABS(H10)&lt;=Model_Parameters!$B$7,"PASS","REVIEW")</x:f>
        <x:v>PASS</x:v>
      </x:c>
      <x:c r="AE10" s="1559" t="str">
        <x:f>IF(T10&lt;&gt;"NET","N/A",IF(ABS(S10)&lt;=Model_Parameters!$B$7,"PASS","REVIEW"))</x:f>
        <x:v>N/A</x:v>
      </x:c>
      <x:c r="AF10" s="1559" t="str">
        <x:f>IF(ABS(X10)&lt;=Model_Parameters!$B$7,"WITHIN TOLERANCE","DISPLAY RATE / ADJUSTMENT")</x:f>
        <x:v>WITHIN TOLERANCE</x:v>
      </x:c>
    </x:row>
    <x:row r="11" ht="18" customHeight="1">
      <x:c r="A11" s="1552" t="str">
        <x:v>OSR004</x:v>
      </x:c>
      <x:c r="B11" s="1155" t="str">
        <x:v>Seibert Lake</x:v>
      </x:c>
      <x:c r="C11" s="1155" t="str">
        <x:v>CANADIAN NATURAL RESOURCES LIMITED</x:v>
      </x:c>
      <x:c r="D11" s="1553" t="n">
        <x:v>2024</x:v>
      </x:c>
      <x:c r="E11" s="1554" t="n">
        <x:v>224924997</x:v>
      </x:c>
      <x:c r="F11" s="1554" t="n">
        <x:v>40176148</x:v>
      </x:c>
      <x:c r="G11" s="1554" t="n">
        <x:v>184748849</x:v>
      </x:c>
      <x:c r="H11" s="1555" t="n">
        <x:f>E11-F11-G11</x:f>
        <x:v>0</x:v>
      </x:c>
      <x:c r="I11" s="1554" t="n">
        <x:v>2345031</x:v>
      </x:c>
      <x:c r="J11" s="1556" t="n">
        <x:v>78.78</x:v>
      </x:c>
      <x:c r="K11" s="1557" t="n">
        <x:f>IF(I11=0,0,G11/I11)</x:f>
        <x:v>78.7831158735215</x:v>
      </x:c>
      <x:c r="L11" s="1554" t="n">
        <x:v>35870415</x:v>
      </x:c>
      <x:c r="M11" s="1554" t="n">
        <x:v>27976909</x:v>
      </x:c>
      <x:c r="N11" s="1554" t="n">
        <x:v>0</x:v>
      </x:c>
      <x:c r="O11" s="1554" t="n">
        <x:v>0</x:v>
      </x:c>
      <x:c r="P11" s="1554" t="n">
        <x:v>1034036</x:v>
      </x:c>
      <x:c r="Q11" s="1554" t="n">
        <x:v>121935561</x:v>
      </x:c>
      <x:c r="R11" s="1555" t="n">
        <x:f>MAX(0,G11-L11-M11-N11-O11+P11)</x:f>
        <x:v>121935561</x:v>
      </x:c>
      <x:c r="S11" s="1555" t="n">
        <x:f>IF(T11="NET",Q11-R11,"")</x:f>
        <x:v>0</x:v>
      </x:c>
      <x:c r="T11" s="1552" t="str">
        <x:v>NET</x:v>
      </x:c>
      <x:c r="U11" s="1558" t="n">
        <x:v>36.31</x:v>
      </x:c>
      <x:c r="V11" s="1554" t="n">
        <x:v>44269169</x:v>
      </x:c>
      <x:c r="W11" s="1555" t="n">
        <x:f>IF(T11="NET",Q11*U11/100,G11*U11/100)</x:f>
        <x:v>44274802.199099995</x:v>
      </x:c>
      <x:c r="X11" s="1555" t="n">
        <x:f>V11-W11</x:f>
        <x:v>-5633.199099995196</x:v>
      </x:c>
      <x:c r="Y11" s="1552" t="str">
        <x:v>POST</x:v>
      </x:c>
      <x:c r="Z11" s="1554" t="n">
        <x:v>0</x:v>
      </x:c>
      <x:c r="AA11" s="1155" t="str"/>
      <x:c r="AB11" s="1560" t="n">
        <x:v>1</x:v>
      </x:c>
      <x:c r="AC11" s="1155" t="str">
        <x:v>https://www.alberta.ca/royalty-oil-sands-project-data.aspx?dto=0&amp;dtp=1&amp;dtq=&amp;dts=0</x:v>
      </x:c>
      <x:c r="AD11" s="1559" t="str">
        <x:f>IF(ABS(H11)&lt;=Model_Parameters!$B$7,"PASS","REVIEW")</x:f>
        <x:v>PASS</x:v>
      </x:c>
      <x:c r="AE11" s="1559" t="str">
        <x:f>IF(T11&lt;&gt;"NET","N/A",IF(ABS(S11)&lt;=Model_Parameters!$B$7,"PASS","REVIEW"))</x:f>
        <x:v>PASS</x:v>
      </x:c>
      <x:c r="AF11" s="1559" t="str">
        <x:f>IF(ABS(X11)&lt;=Model_Parameters!$B$7,"WITHIN TOLERANCE","DISPLAY RATE / ADJUSTMENT")</x:f>
        <x:v>DISPLAY RATE / ADJUSTMENT</x:v>
      </x:c>
    </x:row>
    <x:row r="12" ht="18" customHeight="1">
      <x:c r="A12" s="1552" t="str">
        <x:v>OSR005</x:v>
      </x:c>
      <x:c r="B12" s="1155" t="str">
        <x:v>Ft. Kent</x:v>
      </x:c>
      <x:c r="C12" s="1155" t="str">
        <x:v>CANADIAN NATURAL RESOURCES LIMITED</x:v>
      </x:c>
      <x:c r="D12" s="1553" t="n">
        <x:v>2024</x:v>
      </x:c>
      <x:c r="E12" s="1554" t="n">
        <x:v>1264566</x:v>
      </x:c>
      <x:c r="F12" s="1554" t="n">
        <x:v>219099</x:v>
      </x:c>
      <x:c r="G12" s="1554" t="n">
        <x:v>1045467</x:v>
      </x:c>
      <x:c r="H12" s="1555" t="n">
        <x:f>E12-F12-G12</x:f>
        <x:v>0</x:v>
      </x:c>
      <x:c r="I12" s="1554" t="n">
        <x:v>13298</x:v>
      </x:c>
      <x:c r="J12" s="1556" t="n">
        <x:v>78.62</x:v>
      </x:c>
      <x:c r="K12" s="1557" t="n">
        <x:f>IF(I12=0,0,G12/I12)</x:f>
        <x:v>78.61836366370883</x:v>
      </x:c>
      <x:c r="L12" s="1554" t="n">
        <x:v>329637</x:v>
      </x:c>
      <x:c r="M12" s="1554" t="n">
        <x:v>98459</x:v>
      </x:c>
      <x:c r="N12" s="1554" t="n">
        <x:v>79405</x:v>
      </x:c>
      <x:c r="O12" s="1554" t="n">
        <x:v>2458117</x:v>
      </x:c>
      <x:c r="P12" s="1554" t="n">
        <x:v>0</x:v>
      </x:c>
      <x:c r="Q12" s="1554" t="n">
        <x:v>0</x:v>
      </x:c>
      <x:c r="R12" s="1555" t="n">
        <x:f>MAX(0,G12-L12-M12-N12-O12+P12)</x:f>
        <x:v>0</x:v>
      </x:c>
      <x:c r="S12" s="1555" t="str">
        <x:f>IF(T12="NET",Q12-R12,"")</x:f>
      </x:c>
      <x:c r="T12" s="1552" t="str">
        <x:v>GROSS</x:v>
      </x:c>
      <x:c r="U12" s="1558" t="n">
        <x:v>7.03</x:v>
      </x:c>
      <x:c r="V12" s="1554" t="n">
        <x:v>73492</x:v>
      </x:c>
      <x:c r="W12" s="1555" t="n">
        <x:f>IF(T12="NET",Q12*U12/100,G12*U12/100)</x:f>
        <x:v>73496.3301</x:v>
      </x:c>
      <x:c r="X12" s="1555" t="n">
        <x:f>V12-W12</x:f>
        <x:v>-4.330100000006496</x:v>
      </x:c>
      <x:c r="Y12" s="1552" t="str">
        <x:v>POST</x:v>
      </x:c>
      <x:c r="Z12" s="1554" t="n">
        <x:v>1920151</x:v>
      </x:c>
      <x:c r="AA12" s="1155" t="str"/>
      <x:c r="AB12" s="1560" t="n">
        <x:v>1</x:v>
      </x:c>
      <x:c r="AC12" s="1155" t="str">
        <x:v>https://www.alberta.ca/royalty-oil-sands-project-data.aspx?dto=0&amp;dtp=1&amp;dtq=&amp;dts=0</x:v>
      </x:c>
      <x:c r="AD12" s="1559" t="str">
        <x:f>IF(ABS(H12)&lt;=Model_Parameters!$B$7,"PASS","REVIEW")</x:f>
        <x:v>PASS</x:v>
      </x:c>
      <x:c r="AE12" s="1559" t="str">
        <x:f>IF(T12&lt;&gt;"NET","N/A",IF(ABS(S12)&lt;=Model_Parameters!$B$7,"PASS","REVIEW"))</x:f>
        <x:v>N/A</x:v>
      </x:c>
      <x:c r="AF12" s="1559" t="str">
        <x:f>IF(ABS(X12)&lt;=Model_Parameters!$B$7,"WITHIN TOLERANCE","DISPLAY RATE / ADJUSTMENT")</x:f>
        <x:v>WITHIN TOLERANCE</x:v>
      </x:c>
    </x:row>
    <x:row r="13" ht="18" customHeight="1">
      <x:c r="A13" s="1552" t="str">
        <x:v>OSR006</x:v>
      </x:c>
      <x:c r="B13" s="1155" t="str">
        <x:v>Brintnell</x:v>
      </x:c>
      <x:c r="C13" s="1155" t="str">
        <x:v>CANADIAN NATURAL RESOURCES LIMITED</x:v>
      </x:c>
      <x:c r="D13" s="1553" t="n">
        <x:v>2024</x:v>
      </x:c>
      <x:c r="E13" s="1554" t="n">
        <x:v>202430195</x:v>
      </x:c>
      <x:c r="F13" s="1554" t="n">
        <x:v>29268753</x:v>
      </x:c>
      <x:c r="G13" s="1554" t="n">
        <x:v>173161442</x:v>
      </x:c>
      <x:c r="H13" s="1555" t="n">
        <x:f>E13-F13-G13</x:f>
        <x:v>0</x:v>
      </x:c>
      <x:c r="I13" s="1554" t="n">
        <x:v>2186822</x:v>
      </x:c>
      <x:c r="J13" s="1556" t="n">
        <x:v>79.18</x:v>
      </x:c>
      <x:c r="K13" s="1557" t="n">
        <x:f>IF(I13=0,0,G13/I13)</x:f>
        <x:v>79.18405887630543</x:v>
      </x:c>
      <x:c r="L13" s="1554" t="n">
        <x:v>27346912</x:v>
      </x:c>
      <x:c r="M13" s="1554" t="n">
        <x:v>17272205</x:v>
      </x:c>
      <x:c r="N13" s="1554" t="n">
        <x:v>0</x:v>
      </x:c>
      <x:c r="O13" s="1554" t="n">
        <x:v>0</x:v>
      </x:c>
      <x:c r="P13" s="1554" t="n">
        <x:v>575000</x:v>
      </x:c>
      <x:c r="Q13" s="1554" t="n">
        <x:v>129117325</x:v>
      </x:c>
      <x:c r="R13" s="1555" t="n">
        <x:f>MAX(0,G13-L13-M13-N13-O13+P13)</x:f>
        <x:v>129117325</x:v>
      </x:c>
      <x:c r="S13" s="1555" t="n">
        <x:f>IF(T13="NET",Q13-R13,"")</x:f>
        <x:v>0</x:v>
      </x:c>
      <x:c r="T13" s="1552" t="str">
        <x:v>NET</x:v>
      </x:c>
      <x:c r="U13" s="1558" t="n">
        <x:v>36.31</x:v>
      </x:c>
      <x:c r="V13" s="1554" t="n">
        <x:v>46876535</x:v>
      </x:c>
      <x:c r="W13" s="1555" t="n">
        <x:f>IF(T13="NET",Q13*U13/100,G13*U13/100)</x:f>
        <x:v>46882500.7075</x:v>
      </x:c>
      <x:c r="X13" s="1555" t="n">
        <x:f>V13-W13</x:f>
        <x:v>-5965.707500003278</x:v>
      </x:c>
      <x:c r="Y13" s="1552" t="str">
        <x:v>POST</x:v>
      </x:c>
      <x:c r="Z13" s="1554" t="n">
        <x:v>0</x:v>
      </x:c>
      <x:c r="AA13" s="1155" t="str"/>
      <x:c r="AB13" s="1560" t="n">
        <x:v>1</x:v>
      </x:c>
      <x:c r="AC13" s="1155" t="str">
        <x:v>https://www.alberta.ca/royalty-oil-sands-project-data.aspx?dto=0&amp;dtp=1&amp;dtq=&amp;dts=0</x:v>
      </x:c>
      <x:c r="AD13" s="1559" t="str">
        <x:f>IF(ABS(H13)&lt;=Model_Parameters!$B$7,"PASS","REVIEW")</x:f>
        <x:v>PASS</x:v>
      </x:c>
      <x:c r="AE13" s="1559" t="str">
        <x:f>IF(T13&lt;&gt;"NET","N/A",IF(ABS(S13)&lt;=Model_Parameters!$B$7,"PASS","REVIEW"))</x:f>
        <x:v>PASS</x:v>
      </x:c>
      <x:c r="AF13" s="1559" t="str">
        <x:f>IF(ABS(X13)&lt;=Model_Parameters!$B$7,"WITHIN TOLERANCE","DISPLAY RATE / ADJUSTMENT")</x:f>
        <x:v>DISPLAY RATE / ADJUSTMENT</x:v>
      </x:c>
    </x:row>
    <x:row r="14" ht="18" customHeight="1">
      <x:c r="A14" s="1552" t="str">
        <x:v>OSR007</x:v>
      </x:c>
      <x:c r="B14" s="1155" t="str">
        <x:v>Frog Lake</x:v>
      </x:c>
      <x:c r="C14" s="1155" t="str">
        <x:v>CANADIAN NATURAL RESOURCES LIMITED</x:v>
      </x:c>
      <x:c r="D14" s="1553" t="n">
        <x:v>2024</x:v>
      </x:c>
      <x:c r="E14" s="1554" t="n">
        <x:v>8529020</x:v>
      </x:c>
      <x:c r="F14" s="1554" t="n">
        <x:v>1522228</x:v>
      </x:c>
      <x:c r="G14" s="1554" t="n">
        <x:v>7006792</x:v>
      </x:c>
      <x:c r="H14" s="1555" t="n">
        <x:f>E14-F14-G14</x:f>
        <x:v>0</x:v>
      </x:c>
      <x:c r="I14" s="1554" t="n">
        <x:v>91233</x:v>
      </x:c>
      <x:c r="J14" s="1556" t="n">
        <x:v>76.8</x:v>
      </x:c>
      <x:c r="K14" s="1557" t="n">
        <x:f>IF(I14=0,0,G14/I14)</x:f>
        <x:v>76.80106978834414</x:v>
      </x:c>
      <x:c r="L14" s="1554" t="n">
        <x:v>1184833</x:v>
      </x:c>
      <x:c r="M14" s="1554" t="n">
        <x:v>15475758</x:v>
      </x:c>
      <x:c r="N14" s="1554" t="n">
        <x:v>52894</x:v>
      </x:c>
      <x:c r="O14" s="1554" t="n">
        <x:v>1948317</x:v>
      </x:c>
      <x:c r="P14" s="1554" t="n">
        <x:v>0</x:v>
      </x:c>
      <x:c r="Q14" s="1554" t="n">
        <x:v>0</x:v>
      </x:c>
      <x:c r="R14" s="1555" t="n">
        <x:f>MAX(0,G14-L14-M14-N14-O14+P14)</x:f>
        <x:v>0</x:v>
      </x:c>
      <x:c r="S14" s="1555" t="str">
        <x:f>IF(T14="NET",Q14-R14,"")</x:f>
      </x:c>
      <x:c r="T14" s="1552" t="str">
        <x:v>GROSS</x:v>
      </x:c>
      <x:c r="U14" s="1558" t="n">
        <x:v>7.03</x:v>
      </x:c>
      <x:c r="V14" s="1554" t="n">
        <x:v>492545</x:v>
      </x:c>
      <x:c r="W14" s="1555" t="n">
        <x:f>IF(T14="NET",Q14*U14/100,G14*U14/100)</x:f>
        <x:v>492577.47760000004</x:v>
      </x:c>
      <x:c r="X14" s="1555" t="n">
        <x:f>V14-W14</x:f>
        <x:v>-32.477600000042</x:v>
      </x:c>
      <x:c r="Y14" s="1552" t="str">
        <x:v>POST</x:v>
      </x:c>
      <x:c r="Z14" s="1554" t="n">
        <x:v>11655010</x:v>
      </x:c>
      <x:c r="AA14" s="1155" t="str"/>
      <x:c r="AB14" s="1560" t="n">
        <x:v>1</x:v>
      </x:c>
      <x:c r="AC14" s="1155" t="str">
        <x:v>https://www.alberta.ca/royalty-oil-sands-project-data.aspx?dto=0&amp;dtp=1&amp;dtq=&amp;dts=0</x:v>
      </x:c>
      <x:c r="AD14" s="1559" t="str">
        <x:f>IF(ABS(H14)&lt;=Model_Parameters!$B$7,"PASS","REVIEW")</x:f>
        <x:v>PASS</x:v>
      </x:c>
      <x:c r="AE14" s="1559" t="str">
        <x:f>IF(T14&lt;&gt;"NET","N/A",IF(ABS(S14)&lt;=Model_Parameters!$B$7,"PASS","REVIEW"))</x:f>
        <x:v>N/A</x:v>
      </x:c>
      <x:c r="AF14" s="1559" t="str">
        <x:f>IF(ABS(X14)&lt;=Model_Parameters!$B$7,"WITHIN TOLERANCE","DISPLAY RATE / ADJUSTMENT")</x:f>
        <x:v>WITHIN TOLERANCE</x:v>
      </x:c>
    </x:row>
    <x:row r="15" ht="18" customHeight="1">
      <x:c r="A15" s="1552" t="str">
        <x:v>OSR008</x:v>
      </x:c>
      <x:c r="B15" s="1155" t="str">
        <x:v>Elk Point</x:v>
      </x:c>
      <x:c r="C15" s="1155" t="str">
        <x:v>CANADIAN NATURAL RESOURCES LIMITED</x:v>
      </x:c>
      <x:c r="D15" s="1553" t="n">
        <x:v>2024</x:v>
      </x:c>
      <x:c r="E15" s="1554" t="n">
        <x:v>0</x:v>
      </x:c>
      <x:c r="F15" s="1554" t="n">
        <x:v>0</x:v>
      </x:c>
      <x:c r="G15" s="1554" t="n">
        <x:v>0</x:v>
      </x:c>
      <x:c r="H15" s="1555" t="n">
        <x:f>E15-F15-G15</x:f>
        <x:v>0</x:v>
      </x:c>
      <x:c r="I15" s="1554" t="n">
        <x:v>0</x:v>
      </x:c>
      <x:c r="J15" s="1556" t="n">
        <x:v>0</x:v>
      </x:c>
      <x:c r="K15" s="1557" t="n">
        <x:f>IF(I15=0,0,G15/I15)</x:f>
        <x:v>0</x:v>
      </x:c>
      <x:c r="L15" s="1554" t="n">
        <x:v>11703284</x:v>
      </x:c>
      <x:c r="M15" s="1554" t="n">
        <x:v>2271527</x:v>
      </x:c>
      <x:c r="N15" s="1554" t="n">
        <x:v>0</x:v>
      </x:c>
      <x:c r="O15" s="1554" t="n">
        <x:v>54141385</x:v>
      </x:c>
      <x:c r="P15" s="1554" t="n">
        <x:v>15623678</x:v>
      </x:c>
      <x:c r="Q15" s="1554" t="n">
        <x:v>0</x:v>
      </x:c>
      <x:c r="R15" s="1555" t="n">
        <x:f>MAX(0,G15-L15-M15-N15-O15+P15)</x:f>
        <x:v>0</x:v>
      </x:c>
      <x:c r="S15" s="1555" t="n">
        <x:f>IF(T15="NET",Q15-R15,"")</x:f>
        <x:v>0</x:v>
      </x:c>
      <x:c r="T15" s="1552" t="str">
        <x:v>NET</x:v>
      </x:c>
      <x:c r="U15" s="1558" t="n">
        <x:v>0</x:v>
      </x:c>
      <x:c r="V15" s="1554" t="n">
        <x:v>0</x:v>
      </x:c>
      <x:c r="W15" s="1555" t="n">
        <x:f>IF(T15="NET",Q15*U15/100,G15*U15/100)</x:f>
        <x:v>0</x:v>
      </x:c>
      <x:c r="X15" s="1555" t="n">
        <x:f>V15-W15</x:f>
        <x:v>0</x:v>
      </x:c>
      <x:c r="Y15" s="1552" t="str">
        <x:v>POST</x:v>
      </x:c>
      <x:c r="Z15" s="1554" t="n">
        <x:v>52492518</x:v>
      </x:c>
      <x:c r="AA15" s="1155" t="str"/>
      <x:c r="AB15" s="1560" t="n">
        <x:v>1</x:v>
      </x:c>
      <x:c r="AC15" s="1155" t="str">
        <x:v>https://www.alberta.ca/royalty-oil-sands-project-data.aspx?dto=0&amp;dtp=1&amp;dtq=&amp;dts=0</x:v>
      </x:c>
      <x:c r="AD15" s="1559" t="str">
        <x:f>IF(ABS(H15)&lt;=Model_Parameters!$B$7,"PASS","REVIEW")</x:f>
        <x:v>PASS</x:v>
      </x:c>
      <x:c r="AE15" s="1559" t="str">
        <x:f>IF(T15&lt;&gt;"NET","N/A",IF(ABS(S15)&lt;=Model_Parameters!$B$7,"PASS","REVIEW"))</x:f>
        <x:v>PASS</x:v>
      </x:c>
      <x:c r="AF15" s="1559" t="str">
        <x:f>IF(ABS(X15)&lt;=Model_Parameters!$B$7,"WITHIN TOLERANCE","DISPLAY RATE / ADJUSTMENT")</x:f>
        <x:v>WITHIN TOLERANCE</x:v>
      </x:c>
    </x:row>
    <x:row r="16" ht="18" customHeight="1">
      <x:c r="A16" s="1552" t="str">
        <x:v>OSR009</x:v>
      </x:c>
      <x:c r="B16" s="1155" t="str">
        <x:v>John Lake</x:v>
      </x:c>
      <x:c r="C16" s="1155" t="str">
        <x:v>CANADIAN NATURAL RESOURCES LIMITED</x:v>
      </x:c>
      <x:c r="D16" s="1553" t="n">
        <x:v>2024</x:v>
      </x:c>
      <x:c r="E16" s="1554" t="n">
        <x:v>15720463</x:v>
      </x:c>
      <x:c r="F16" s="1554" t="n">
        <x:v>2928095</x:v>
      </x:c>
      <x:c r="G16" s="1554" t="n">
        <x:v>12792368</x:v>
      </x:c>
      <x:c r="H16" s="1555" t="n">
        <x:f>E16-F16-G16</x:f>
        <x:v>0</x:v>
      </x:c>
      <x:c r="I16" s="1554" t="n">
        <x:v>162384</x:v>
      </x:c>
      <x:c r="J16" s="1556" t="n">
        <x:v>78.78</x:v>
      </x:c>
      <x:c r="K16" s="1557" t="n">
        <x:f>IF(I16=0,0,G16/I16)</x:f>
        <x:v>78.77850034486157</x:v>
      </x:c>
      <x:c r="L16" s="1554" t="n">
        <x:v>5066465</x:v>
      </x:c>
      <x:c r="M16" s="1554" t="n">
        <x:v>1459878</x:v>
      </x:c>
      <x:c r="N16" s="1554" t="n">
        <x:v>0</x:v>
      </x:c>
      <x:c r="O16" s="1554" t="n">
        <x:v>0</x:v>
      </x:c>
      <x:c r="P16" s="1554" t="n">
        <x:v>94405</x:v>
      </x:c>
      <x:c r="Q16" s="1554" t="n">
        <x:v>6360430</x:v>
      </x:c>
      <x:c r="R16" s="1555" t="n">
        <x:f>MAX(0,G16-L16-M16-N16-O16+P16)</x:f>
        <x:v>6360430</x:v>
      </x:c>
      <x:c r="S16" s="1555" t="n">
        <x:f>IF(T16="NET",Q16-R16,"")</x:f>
        <x:v>0</x:v>
      </x:c>
      <x:c r="T16" s="1552" t="str">
        <x:v>NET</x:v>
      </x:c>
      <x:c r="U16" s="1558" t="n">
        <x:v>36.31</x:v>
      </x:c>
      <x:c r="V16" s="1554" t="n">
        <x:v>2309178</x:v>
      </x:c>
      <x:c r="W16" s="1555" t="n">
        <x:f>IF(T16="NET",Q16*U16/100,G16*U16/100)</x:f>
        <x:v>2309472.133</x:v>
      </x:c>
      <x:c r="X16" s="1555" t="n">
        <x:f>V16-W16</x:f>
        <x:v>-294.1329999999143</x:v>
      </x:c>
      <x:c r="Y16" s="1552" t="str">
        <x:v>POST</x:v>
      </x:c>
      <x:c r="Z16" s="1554" t="n">
        <x:v>0</x:v>
      </x:c>
      <x:c r="AA16" s="1155" t="str"/>
      <x:c r="AB16" s="1560" t="n">
        <x:v>2</x:v>
      </x:c>
      <x:c r="AC16" s="1155" t="str">
        <x:v>https://www.alberta.ca/royalty-oil-sands-project-data.aspx?dto=0&amp;dtp=2&amp;dtq=&amp;dts=0</x:v>
      </x:c>
      <x:c r="AD16" s="1559" t="str">
        <x:f>IF(ABS(H16)&lt;=Model_Parameters!$B$7,"PASS","REVIEW")</x:f>
        <x:v>PASS</x:v>
      </x:c>
      <x:c r="AE16" s="1559" t="str">
        <x:f>IF(T16&lt;&gt;"NET","N/A",IF(ABS(S16)&lt;=Model_Parameters!$B$7,"PASS","REVIEW"))</x:f>
        <x:v>PASS</x:v>
      </x:c>
      <x:c r="AF16" s="1559" t="str">
        <x:f>IF(ABS(X16)&lt;=Model_Parameters!$B$7,"WITHIN TOLERANCE","DISPLAY RATE / ADJUSTMENT")</x:f>
        <x:v>WITHIN TOLERANCE</x:v>
      </x:c>
    </x:row>
    <x:row r="17" ht="18" customHeight="1">
      <x:c r="A17" s="1552" t="str">
        <x:v>OSR010</x:v>
      </x:c>
      <x:c r="B17" s="1155" t="str">
        <x:v>Ashmont</x:v>
      </x:c>
      <x:c r="C17" s="1155" t="str">
        <x:v>CANADIAN NATURAL RESOURCES LIMITED</x:v>
      </x:c>
      <x:c r="D17" s="1553" t="n">
        <x:v>2024</x:v>
      </x:c>
      <x:c r="E17" s="1554" t="n">
        <x:v>13391116</x:v>
      </x:c>
      <x:c r="F17" s="1554" t="n">
        <x:v>2376310</x:v>
      </x:c>
      <x:c r="G17" s="1554" t="n">
        <x:v>11014806</x:v>
      </x:c>
      <x:c r="H17" s="1555" t="n">
        <x:f>E17-F17-G17</x:f>
        <x:v>0</x:v>
      </x:c>
      <x:c r="I17" s="1554" t="n">
        <x:v>139916</x:v>
      </x:c>
      <x:c r="J17" s="1556" t="n">
        <x:v>78.72</x:v>
      </x:c>
      <x:c r="K17" s="1557" t="n">
        <x:f>IF(I17=0,0,G17/I17)</x:f>
        <x:v>78.72442036650561</x:v>
      </x:c>
      <x:c r="L17" s="1554" t="n">
        <x:v>3309500</x:v>
      </x:c>
      <x:c r="M17" s="1554" t="n">
        <x:v>969463</x:v>
      </x:c>
      <x:c r="N17" s="1554" t="n">
        <x:v>0</x:v>
      </x:c>
      <x:c r="O17" s="1554" t="n">
        <x:v>0</x:v>
      </x:c>
      <x:c r="P17" s="1554" t="n">
        <x:v>48458</x:v>
      </x:c>
      <x:c r="Q17" s="1554" t="n">
        <x:v>6784301</x:v>
      </x:c>
      <x:c r="R17" s="1555" t="n">
        <x:f>MAX(0,G17-L17-M17-N17-O17+P17)</x:f>
        <x:v>6784301</x:v>
      </x:c>
      <x:c r="S17" s="1555" t="n">
        <x:f>IF(T17="NET",Q17-R17,"")</x:f>
        <x:v>0</x:v>
      </x:c>
      <x:c r="T17" s="1552" t="str">
        <x:v>NET</x:v>
      </x:c>
      <x:c r="U17" s="1558" t="n">
        <x:v>36.31</x:v>
      </x:c>
      <x:c r="V17" s="1554" t="n">
        <x:v>2463066</x:v>
      </x:c>
      <x:c r="W17" s="1555" t="n">
        <x:f>IF(T17="NET",Q17*U17/100,G17*U17/100)</x:f>
        <x:v>2463379.6931</x:v>
      </x:c>
      <x:c r="X17" s="1555" t="n">
        <x:f>V17-W17</x:f>
        <x:v>-313.6930999998003</x:v>
      </x:c>
      <x:c r="Y17" s="1552" t="str">
        <x:v>POST</x:v>
      </x:c>
      <x:c r="Z17" s="1554" t="n">
        <x:v>0</x:v>
      </x:c>
      <x:c r="AA17" s="1155" t="str"/>
      <x:c r="AB17" s="1560" t="n">
        <x:v>2</x:v>
      </x:c>
      <x:c r="AC17" s="1155" t="str">
        <x:v>https://www.alberta.ca/royalty-oil-sands-project-data.aspx?dto=0&amp;dtp=2&amp;dtq=&amp;dts=0</x:v>
      </x:c>
      <x:c r="AD17" s="1559" t="str">
        <x:f>IF(ABS(H17)&lt;=Model_Parameters!$B$7,"PASS","REVIEW")</x:f>
        <x:v>PASS</x:v>
      </x:c>
      <x:c r="AE17" s="1559" t="str">
        <x:f>IF(T17&lt;&gt;"NET","N/A",IF(ABS(S17)&lt;=Model_Parameters!$B$7,"PASS","REVIEW"))</x:f>
        <x:v>PASS</x:v>
      </x:c>
      <x:c r="AF17" s="1559" t="str">
        <x:f>IF(ABS(X17)&lt;=Model_Parameters!$B$7,"WITHIN TOLERANCE","DISPLAY RATE / ADJUSTMENT")</x:f>
        <x:v>WITHIN TOLERANCE</x:v>
      </x:c>
    </x:row>
    <x:row r="18" ht="18" customHeight="1">
      <x:c r="A18" s="1552" t="str">
        <x:v>OSR011</x:v>
      </x:c>
      <x:c r="B18" s="1155" t="str">
        <x:v>Frog Lake</x:v>
      </x:c>
      <x:c r="C18" s="1155" t="str">
        <x:v>WEST LAKE ENERGY CORP.</x:v>
      </x:c>
      <x:c r="D18" s="1553" t="n">
        <x:v>2024</x:v>
      </x:c>
      <x:c r="E18" s="1554" t="n">
        <x:v>0</x:v>
      </x:c>
      <x:c r="F18" s="1554" t="n">
        <x:v>0</x:v>
      </x:c>
      <x:c r="G18" s="1554" t="n">
        <x:v>0</x:v>
      </x:c>
      <x:c r="H18" s="1555" t="n">
        <x:f>E18-F18-G18</x:f>
        <x:v>0</x:v>
      </x:c>
      <x:c r="I18" s="1554" t="n">
        <x:v>0</x:v>
      </x:c>
      <x:c r="J18" s="1556" t="n">
        <x:v>0</x:v>
      </x:c>
      <x:c r="K18" s="1557" t="n">
        <x:f>IF(I18=0,0,G18/I18)</x:f>
        <x:v>0</x:v>
      </x:c>
      <x:c r="L18" s="1554" t="n">
        <x:v>0</x:v>
      </x:c>
      <x:c r="M18" s="1554" t="n">
        <x:v>0</x:v>
      </x:c>
      <x:c r="N18" s="1554" t="n">
        <x:v>0</x:v>
      </x:c>
      <x:c r="O18" s="1554" t="n">
        <x:v>254860</x:v>
      </x:c>
      <x:c r="P18" s="1554" t="n">
        <x:v>0</x:v>
      </x:c>
      <x:c r="Q18" s="1554" t="n">
        <x:v>0</x:v>
      </x:c>
      <x:c r="R18" s="1555" t="n">
        <x:f>MAX(0,G18-L18-M18-N18-O18+P18)</x:f>
        <x:v>0</x:v>
      </x:c>
      <x:c r="S18" s="1555" t="n">
        <x:f>IF(T18="NET",Q18-R18,"")</x:f>
        <x:v>0</x:v>
      </x:c>
      <x:c r="T18" s="1552" t="str">
        <x:v>NET</x:v>
      </x:c>
      <x:c r="U18" s="1558" t="n">
        <x:v>0</x:v>
      </x:c>
      <x:c r="V18" s="1554" t="n">
        <x:v>0</x:v>
      </x:c>
      <x:c r="W18" s="1555" t="n">
        <x:f>IF(T18="NET",Q18*U18/100,G18*U18/100)</x:f>
        <x:v>0</x:v>
      </x:c>
      <x:c r="X18" s="1555" t="n">
        <x:f>V18-W18</x:f>
        <x:v>0</x:v>
      </x:c>
      <x:c r="Y18" s="1552" t="str">
        <x:v>POST</x:v>
      </x:c>
      <x:c r="Z18" s="1554" t="n">
        <x:v>254860</x:v>
      </x:c>
      <x:c r="AA18" s="1155" t="str"/>
      <x:c r="AB18" s="1560" t="n">
        <x:v>2</x:v>
      </x:c>
      <x:c r="AC18" s="1155" t="str">
        <x:v>https://www.alberta.ca/royalty-oil-sands-project-data.aspx?dto=0&amp;dtp=2&amp;dtq=&amp;dts=0</x:v>
      </x:c>
      <x:c r="AD18" s="1559" t="str">
        <x:f>IF(ABS(H18)&lt;=Model_Parameters!$B$7,"PASS","REVIEW")</x:f>
        <x:v>PASS</x:v>
      </x:c>
      <x:c r="AE18" s="1559" t="str">
        <x:f>IF(T18&lt;&gt;"NET","N/A",IF(ABS(S18)&lt;=Model_Parameters!$B$7,"PASS","REVIEW"))</x:f>
        <x:v>PASS</x:v>
      </x:c>
      <x:c r="AF18" s="1559" t="str">
        <x:f>IF(ABS(X18)&lt;=Model_Parameters!$B$7,"WITHIN TOLERANCE","DISPLAY RATE / ADJUSTMENT")</x:f>
        <x:v>WITHIN TOLERANCE</x:v>
      </x:c>
    </x:row>
    <x:row r="19" ht="18" customHeight="1">
      <x:c r="A19" s="1552" t="str">
        <x:v>OSR012</x:v>
      </x:c>
      <x:c r="B19" s="1155" t="str">
        <x:v>Lindbergh North</x:v>
      </x:c>
      <x:c r="C19" s="1155" t="str">
        <x:v>CANADIAN NATURAL RESOURCES LIMITED</x:v>
      </x:c>
      <x:c r="D19" s="1553" t="n">
        <x:v>2024</x:v>
      </x:c>
      <x:c r="E19" s="1554" t="n">
        <x:v>3892824</x:v>
      </x:c>
      <x:c r="F19" s="1554" t="n">
        <x:v>664632</x:v>
      </x:c>
      <x:c r="G19" s="1554" t="n">
        <x:v>3228192</x:v>
      </x:c>
      <x:c r="H19" s="1555" t="n">
        <x:f>E19-F19-G19</x:f>
        <x:v>0</x:v>
      </x:c>
      <x:c r="I19" s="1554" t="n">
        <x:v>40941</x:v>
      </x:c>
      <x:c r="J19" s="1556" t="n">
        <x:v>78.85</x:v>
      </x:c>
      <x:c r="K19" s="1557" t="n">
        <x:f>IF(I19=0,0,G19/I19)</x:f>
        <x:v>78.84985711145306</x:v>
      </x:c>
      <x:c r="L19" s="1554" t="n">
        <x:v>2901347</x:v>
      </x:c>
      <x:c r="M19" s="1554" t="n">
        <x:v>1504326</x:v>
      </x:c>
      <x:c r="N19" s="1554" t="n">
        <x:v>4369</x:v>
      </x:c>
      <x:c r="O19" s="1554" t="n">
        <x:v>592314</x:v>
      </x:c>
      <x:c r="P19" s="1554" t="n">
        <x:v>28033</x:v>
      </x:c>
      <x:c r="Q19" s="1554" t="n">
        <x:v>0</x:v>
      </x:c>
      <x:c r="R19" s="1555" t="n">
        <x:f>MAX(0,G19-L19-M19-N19-O19+P19)</x:f>
        <x:v>0</x:v>
      </x:c>
      <x:c r="S19" s="1555" t="str">
        <x:f>IF(T19="NET",Q19-R19,"")</x:f>
      </x:c>
      <x:c r="T19" s="1552" t="str">
        <x:v>GROSS</x:v>
      </x:c>
      <x:c r="U19" s="1558" t="n">
        <x:v>7.03</x:v>
      </x:c>
      <x:c r="V19" s="1554" t="n">
        <x:v>226927</x:v>
      </x:c>
      <x:c r="W19" s="1555" t="n">
        <x:f>IF(T19="NET",Q19*U19/100,G19*U19/100)</x:f>
        <x:v>226941.89760000003</x:v>
      </x:c>
      <x:c r="X19" s="1555" t="n">
        <x:f>V19-W19</x:f>
        <x:v>-14.897600000025705</x:v>
      </x:c>
      <x:c r="Y19" s="1552" t="str">
        <x:v>POST</x:v>
      </x:c>
      <x:c r="Z19" s="1554" t="n">
        <x:v>1746131</x:v>
      </x:c>
      <x:c r="AA19" s="1155" t="str"/>
      <x:c r="AB19" s="1560" t="n">
        <x:v>2</x:v>
      </x:c>
      <x:c r="AC19" s="1155" t="str">
        <x:v>https://www.alberta.ca/royalty-oil-sands-project-data.aspx?dto=0&amp;dtp=2&amp;dtq=&amp;dts=0</x:v>
      </x:c>
      <x:c r="AD19" s="1559" t="str">
        <x:f>IF(ABS(H19)&lt;=Model_Parameters!$B$7,"PASS","REVIEW")</x:f>
        <x:v>PASS</x:v>
      </x:c>
      <x:c r="AE19" s="1559" t="str">
        <x:f>IF(T19&lt;&gt;"NET","N/A",IF(ABS(S19)&lt;=Model_Parameters!$B$7,"PASS","REVIEW"))</x:f>
        <x:v>N/A</x:v>
      </x:c>
      <x:c r="AF19" s="1559" t="str">
        <x:f>IF(ABS(X19)&lt;=Model_Parameters!$B$7,"WITHIN TOLERANCE","DISPLAY RATE / ADJUSTMENT")</x:f>
        <x:v>WITHIN TOLERANCE</x:v>
      </x:c>
    </x:row>
    <x:row r="20" ht="18" customHeight="1">
      <x:c r="A20" s="1552" t="str">
        <x:v>OSR013</x:v>
      </x:c>
      <x:c r="B20" s="1155" t="str">
        <x:v>CNRL Cold Lake</x:v>
      </x:c>
      <x:c r="C20" s="1155" t="str">
        <x:v>CANADIAN NATURAL RESOURCES LIMITED</x:v>
      </x:c>
      <x:c r="D20" s="1553" t="n">
        <x:v>2024</x:v>
      </x:c>
      <x:c r="E20" s="1554" t="n">
        <x:v>14446163</x:v>
      </x:c>
      <x:c r="F20" s="1554" t="n">
        <x:v>2578434</x:v>
      </x:c>
      <x:c r="G20" s="1554" t="n">
        <x:v>11867729</x:v>
      </x:c>
      <x:c r="H20" s="1555" t="n">
        <x:f>E20-F20-G20</x:f>
        <x:v>0</x:v>
      </x:c>
      <x:c r="I20" s="1554" t="n">
        <x:v>150938</x:v>
      </x:c>
      <x:c r="J20" s="1556" t="n">
        <x:v>78.63</x:v>
      </x:c>
      <x:c r="K20" s="1557" t="n">
        <x:f>IF(I20=0,0,G20/I20)</x:f>
        <x:v>78.62651552292995</x:v>
      </x:c>
      <x:c r="L20" s="1554" t="n">
        <x:v>4262677</x:v>
      </x:c>
      <x:c r="M20" s="1554" t="n">
        <x:v>1387318</x:v>
      </x:c>
      <x:c r="N20" s="1554" t="n">
        <x:v>0</x:v>
      </x:c>
      <x:c r="O20" s="1554" t="n">
        <x:v>0</x:v>
      </x:c>
      <x:c r="P20" s="1554" t="n">
        <x:v>117624</x:v>
      </x:c>
      <x:c r="Q20" s="1554" t="n">
        <x:v>6335358</x:v>
      </x:c>
      <x:c r="R20" s="1555" t="n">
        <x:f>MAX(0,G20-L20-M20-N20-O20+P20)</x:f>
        <x:v>6335358</x:v>
      </x:c>
      <x:c r="S20" s="1555" t="n">
        <x:f>IF(T20="NET",Q20-R20,"")</x:f>
        <x:v>0</x:v>
      </x:c>
      <x:c r="T20" s="1552" t="str">
        <x:v>NET</x:v>
      </x:c>
      <x:c r="U20" s="1558" t="n">
        <x:v>36.31</x:v>
      </x:c>
      <x:c r="V20" s="1554" t="n">
        <x:v>2300076</x:v>
      </x:c>
      <x:c r="W20" s="1555" t="n">
        <x:f>IF(T20="NET",Q20*U20/100,G20*U20/100)</x:f>
        <x:v>2300368.4898</x:v>
      </x:c>
      <x:c r="X20" s="1555" t="n">
        <x:f>V20-W20</x:f>
        <x:v>-292.4898000000976</x:v>
      </x:c>
      <x:c r="Y20" s="1552" t="str">
        <x:v>POST</x:v>
      </x:c>
      <x:c r="Z20" s="1554" t="n">
        <x:v>0</x:v>
      </x:c>
      <x:c r="AA20" s="1155" t="str"/>
      <x:c r="AB20" s="1560" t="n">
        <x:v>2</x:v>
      </x:c>
      <x:c r="AC20" s="1155" t="str">
        <x:v>https://www.alberta.ca/royalty-oil-sands-project-data.aspx?dto=0&amp;dtp=2&amp;dtq=&amp;dts=0</x:v>
      </x:c>
      <x:c r="AD20" s="1559" t="str">
        <x:f>IF(ABS(H20)&lt;=Model_Parameters!$B$7,"PASS","REVIEW")</x:f>
        <x:v>PASS</x:v>
      </x:c>
      <x:c r="AE20" s="1559" t="str">
        <x:f>IF(T20&lt;&gt;"NET","N/A",IF(ABS(S20)&lt;=Model_Parameters!$B$7,"PASS","REVIEW"))</x:f>
        <x:v>PASS</x:v>
      </x:c>
      <x:c r="AF20" s="1559" t="str">
        <x:f>IF(ABS(X20)&lt;=Model_Parameters!$B$7,"WITHIN TOLERANCE","DISPLAY RATE / ADJUSTMENT")</x:f>
        <x:v>WITHIN TOLERANCE</x:v>
      </x:c>
    </x:row>
    <x:row r="21" ht="18" customHeight="1">
      <x:c r="A21" s="1552" t="str">
        <x:v>OSR015</x:v>
      </x:c>
      <x:c r="B21" s="1155" t="str">
        <x:v>Fishing Lake</x:v>
      </x:c>
      <x:c r="C21" s="1155" t="str">
        <x:v>CANADIAN NATURAL RESOURCES LIMITED</x:v>
      </x:c>
      <x:c r="D21" s="1553" t="n">
        <x:v>2024</x:v>
      </x:c>
      <x:c r="E21" s="1554" t="n">
        <x:v>30282332</x:v>
      </x:c>
      <x:c r="F21" s="1554" t="n">
        <x:v>5310152</x:v>
      </x:c>
      <x:c r="G21" s="1554" t="n">
        <x:v>24972180</x:v>
      </x:c>
      <x:c r="H21" s="1555" t="n">
        <x:f>E21-F21-G21</x:f>
        <x:v>0</x:v>
      </x:c>
      <x:c r="I21" s="1554" t="n">
        <x:v>316817</x:v>
      </x:c>
      <x:c r="J21" s="1556" t="n">
        <x:v>78.82</x:v>
      </x:c>
      <x:c r="K21" s="1557" t="n">
        <x:f>IF(I21=0,0,G21/I21)</x:f>
        <x:v>78.82209603651319</x:v>
      </x:c>
      <x:c r="L21" s="1554" t="n">
        <x:v>9909020</x:v>
      </x:c>
      <x:c r="M21" s="1554" t="n">
        <x:v>5262041</x:v>
      </x:c>
      <x:c r="N21" s="1554" t="n">
        <x:v>0</x:v>
      </x:c>
      <x:c r="O21" s="1554" t="n">
        <x:v>0</x:v>
      </x:c>
      <x:c r="P21" s="1554" t="n">
        <x:v>370290</x:v>
      </x:c>
      <x:c r="Q21" s="1554" t="n">
        <x:v>10171409</x:v>
      </x:c>
      <x:c r="R21" s="1555" t="n">
        <x:f>MAX(0,G21-L21-M21-N21-O21+P21)</x:f>
        <x:v>10171409</x:v>
      </x:c>
      <x:c r="S21" s="1555" t="n">
        <x:f>IF(T21="NET",Q21-R21,"")</x:f>
        <x:v>0</x:v>
      </x:c>
      <x:c r="T21" s="1552" t="str">
        <x:v>NET</x:v>
      </x:c>
      <x:c r="U21" s="1558" t="n">
        <x:v>36.31</x:v>
      </x:c>
      <x:c r="V21" s="1554" t="n">
        <x:v>3692769</x:v>
      </x:c>
      <x:c r="W21" s="1555" t="n">
        <x:f>IF(T21="NET",Q21*U21/100,G21*U21/100)</x:f>
        <x:v>3693238.6079</x:v>
      </x:c>
      <x:c r="X21" s="1555" t="n">
        <x:f>V21-W21</x:f>
        <x:v>-469.6079000001773</x:v>
      </x:c>
      <x:c r="Y21" s="1552" t="str">
        <x:v>POST</x:v>
      </x:c>
      <x:c r="Z21" s="1554" t="n">
        <x:v>0</x:v>
      </x:c>
      <x:c r="AA21" s="1155" t="str"/>
      <x:c r="AB21" s="1560" t="n">
        <x:v>2</x:v>
      </x:c>
      <x:c r="AC21" s="1155" t="str">
        <x:v>https://www.alberta.ca/royalty-oil-sands-project-data.aspx?dto=0&amp;dtp=2&amp;dtq=&amp;dts=0</x:v>
      </x:c>
      <x:c r="AD21" s="1559" t="str">
        <x:f>IF(ABS(H21)&lt;=Model_Parameters!$B$7,"PASS","REVIEW")</x:f>
        <x:v>PASS</x:v>
      </x:c>
      <x:c r="AE21" s="1559" t="str">
        <x:f>IF(T21&lt;&gt;"NET","N/A",IF(ABS(S21)&lt;=Model_Parameters!$B$7,"PASS","REVIEW"))</x:f>
        <x:v>PASS</x:v>
      </x:c>
      <x:c r="AF21" s="1559" t="str">
        <x:f>IF(ABS(X21)&lt;=Model_Parameters!$B$7,"WITHIN TOLERANCE","DISPLAY RATE / ADJUSTMENT")</x:f>
        <x:v>WITHIN TOLERANCE</x:v>
      </x:c>
    </x:row>
    <x:row r="22" ht="18" customHeight="1">
      <x:c r="A22" s="1552" t="str">
        <x:v>OSR016</x:v>
      </x:c>
      <x:c r="B22" s="1155" t="str">
        <x:v>Foster Creek</x:v>
      </x:c>
      <x:c r="C22" s="1155" t="str">
        <x:v>CENOVUS ENERGY INC.</x:v>
      </x:c>
      <x:c r="D22" s="1553" t="n">
        <x:v>2024</x:v>
      </x:c>
      <x:c r="E22" s="1554" t="n">
        <x:v>7875068360</x:v>
      </x:c>
      <x:c r="F22" s="1554" t="n">
        <x:v>2862744154</x:v>
      </x:c>
      <x:c r="G22" s="1554" t="n">
        <x:v>5012324206</x:v>
      </x:c>
      <x:c r="H22" s="1555" t="n">
        <x:f>E22-F22-G22</x:f>
        <x:v>0</x:v>
      </x:c>
      <x:c r="I22" s="1554" t="n">
        <x:v>71162039</x:v>
      </x:c>
      <x:c r="J22" s="1556" t="n">
        <x:v>70.44</x:v>
      </x:c>
      <x:c r="K22" s="1557" t="n">
        <x:f>IF(I22=0,0,G22/I22)</x:f>
        <x:v>70.43536520925153</x:v>
      </x:c>
      <x:c r="L22" s="1554" t="n">
        <x:v>660689499</x:v>
      </x:c>
      <x:c r="M22" s="1554" t="n">
        <x:v>791021695</x:v>
      </x:c>
      <x:c r="N22" s="1554" t="n">
        <x:v>0</x:v>
      </x:c>
      <x:c r="O22" s="1554" t="n">
        <x:v>0</x:v>
      </x:c>
      <x:c r="P22" s="1554" t="n">
        <x:v>42904</x:v>
      </x:c>
      <x:c r="Q22" s="1554" t="n">
        <x:v>3560655916</x:v>
      </x:c>
      <x:c r="R22" s="1555" t="n">
        <x:f>MAX(0,G22-L22-M22-N22-O22+P22)</x:f>
        <x:v>3560655916</x:v>
      </x:c>
      <x:c r="S22" s="1555" t="n">
        <x:f>IF(T22="NET",Q22-R22,"")</x:f>
        <x:v>0</x:v>
      </x:c>
      <x:c r="T22" s="1552" t="str">
        <x:v>NET</x:v>
      </x:c>
      <x:c r="U22" s="1558" t="n">
        <x:v>36.31</x:v>
      </x:c>
      <x:c r="V22" s="1554" t="n">
        <x:v>1292709661</x:v>
      </x:c>
      <x:c r="W22" s="1555" t="n">
        <x:f>IF(T22="NET",Q22*U22/100,G22*U22/100)</x:f>
        <x:v>1292874163.0996</x:v>
      </x:c>
      <x:c r="X22" s="1555" t="n">
        <x:f>V22-W22</x:f>
        <x:v>-164502.09960007668</x:v>
      </x:c>
      <x:c r="Y22" s="1552" t="str">
        <x:v>POST</x:v>
      </x:c>
      <x:c r="Z22" s="1554" t="n">
        <x:v>0</x:v>
      </x:c>
      <x:c r="AA22" s="1155" t="str"/>
      <x:c r="AB22" s="1560" t="n">
        <x:v>2</x:v>
      </x:c>
      <x:c r="AC22" s="1155" t="str">
        <x:v>https://www.alberta.ca/royalty-oil-sands-project-data.aspx?dto=0&amp;dtp=2&amp;dtq=&amp;dts=0</x:v>
      </x:c>
      <x:c r="AD22" s="1559" t="str">
        <x:f>IF(ABS(H22)&lt;=Model_Parameters!$B$7,"PASS","REVIEW")</x:f>
        <x:v>PASS</x:v>
      </x:c>
      <x:c r="AE22" s="1559" t="str">
        <x:f>IF(T22&lt;&gt;"NET","N/A",IF(ABS(S22)&lt;=Model_Parameters!$B$7,"PASS","REVIEW"))</x:f>
        <x:v>PASS</x:v>
      </x:c>
      <x:c r="AF22" s="1559" t="str">
        <x:f>IF(ABS(X22)&lt;=Model_Parameters!$B$7,"WITHIN TOLERANCE","DISPLAY RATE / ADJUSTMENT")</x:f>
        <x:v>DISPLAY RATE / ADJUSTMENT</x:v>
      </x:c>
    </x:row>
    <x:row r="23" ht="18" customHeight="1">
      <x:c r="A23" s="1552" t="str">
        <x:v>OSR017</x:v>
      </x:c>
      <x:c r="B23" s="1155" t="str">
        <x:v>Lindbergh Primary</x:v>
      </x:c>
      <x:c r="C23" s="1155" t="str">
        <x:v>CANADIAN NATURAL RESOURCES LIMITED</x:v>
      </x:c>
      <x:c r="D23" s="1553" t="n">
        <x:v>2024</x:v>
      </x:c>
      <x:c r="E23" s="1554" t="n">
        <x:v>1684216</x:v>
      </x:c>
      <x:c r="F23" s="1554" t="n">
        <x:v>296324</x:v>
      </x:c>
      <x:c r="G23" s="1554" t="n">
        <x:v>1387891</x:v>
      </x:c>
      <x:c r="H23" s="1555" t="n">
        <x:f>E23-F23-G23</x:f>
        <x:v>1</x:v>
      </x:c>
      <x:c r="I23" s="1554" t="n">
        <x:v>18288</x:v>
      </x:c>
      <x:c r="J23" s="1556" t="n">
        <x:v>75.89</x:v>
      </x:c>
      <x:c r="K23" s="1557" t="n">
        <x:f>IF(I23=0,0,G23/I23)</x:f>
        <x:v>75.89080271216098</x:v>
      </x:c>
      <x:c r="L23" s="1554" t="n">
        <x:v>505668</x:v>
      </x:c>
      <x:c r="M23" s="1554" t="n">
        <x:v>272531</x:v>
      </x:c>
      <x:c r="N23" s="1554" t="n">
        <x:v>3640</x:v>
      </x:c>
      <x:c r="O23" s="1554" t="n">
        <x:v>96102</x:v>
      </x:c>
      <x:c r="P23" s="1554" t="n">
        <x:v>4454</x:v>
      </x:c>
      <x:c r="Q23" s="1554" t="n">
        <x:v>0</x:v>
      </x:c>
      <x:c r="R23" s="1555" t="n">
        <x:f>MAX(0,G23-L23-M23-N23-O23+P23)</x:f>
        <x:v>514404</x:v>
      </x:c>
      <x:c r="S23" s="1555" t="str">
        <x:f>IF(T23="NET",Q23-R23,"")</x:f>
      </x:c>
      <x:c r="T23" s="1552" t="str">
        <x:v>GROSS</x:v>
      </x:c>
      <x:c r="U23" s="1558" t="n">
        <x:v>6.92</x:v>
      </x:c>
      <x:c r="V23" s="1554" t="n">
        <x:v>96102</x:v>
      </x:c>
      <x:c r="W23" s="1555" t="n">
        <x:f>IF(T23="NET",Q23*U23/100,G23*U23/100)</x:f>
        <x:v>96042.05720000001</x:v>
      </x:c>
      <x:c r="X23" s="1555" t="n">
        <x:f>V23-W23</x:f>
        <x:v>59.9427999999898</x:v>
      </x:c>
      <x:c r="Y23" s="1552" t="str">
        <x:v>PRE</x:v>
      </x:c>
      <x:c r="Z23" s="1554" t="n">
        <x:v>35511</x:v>
      </x:c>
      <x:c r="AA23" s="1155" t="str">
        <x:v>Project achieved payout in reporting year, therefore has both pre and post payout periods reported.</x:v>
      </x:c>
      <x:c r="AB23" s="1560" t="n">
        <x:v>2</x:v>
      </x:c>
      <x:c r="AC23" s="1155" t="str">
        <x:v>https://www.alberta.ca/royalty-oil-sands-project-data.aspx?dto=0&amp;dtp=2&amp;dtq=&amp;dts=0</x:v>
      </x:c>
      <x:c r="AD23" s="1559" t="str">
        <x:f>IF(ABS(H23)&lt;=Model_Parameters!$B$7,"PASS","REVIEW")</x:f>
        <x:v>PASS</x:v>
      </x:c>
      <x:c r="AE23" s="1559" t="str">
        <x:f>IF(T23&lt;&gt;"NET","N/A",IF(ABS(S23)&lt;=Model_Parameters!$B$7,"PASS","REVIEW"))</x:f>
        <x:v>N/A</x:v>
      </x:c>
      <x:c r="AF23" s="1559" t="str">
        <x:f>IF(ABS(X23)&lt;=Model_Parameters!$B$7,"WITHIN TOLERANCE","DISPLAY RATE / ADJUSTMENT")</x:f>
        <x:v>WITHIN TOLERANCE</x:v>
      </x:c>
    </x:row>
    <x:row r="24" ht="18" customHeight="1">
      <x:c r="A24" s="1552" t="str">
        <x:v>OSR017</x:v>
      </x:c>
      <x:c r="B24" s="1155" t="str">
        <x:v>Lindbergh Primary</x:v>
      </x:c>
      <x:c r="C24" s="1155" t="str">
        <x:v>CANADIAN NATURAL RESOURCES LIMITED</x:v>
      </x:c>
      <x:c r="D24" s="1553" t="n">
        <x:v>2024</x:v>
      </x:c>
      <x:c r="E24" s="1554" t="n">
        <x:v>3608824</x:v>
      </x:c>
      <x:c r="F24" s="1554" t="n">
        <x:v>608697</x:v>
      </x:c>
      <x:c r="G24" s="1554" t="n">
        <x:v>3000127</x:v>
      </x:c>
      <x:c r="H24" s="1555" t="n">
        <x:f>E24-F24-G24</x:f>
        <x:v>0</x:v>
      </x:c>
      <x:c r="I24" s="1554" t="n">
        <x:v>37526</x:v>
      </x:c>
      <x:c r="J24" s="1556" t="n">
        <x:v>79.95</x:v>
      </x:c>
      <x:c r="K24" s="1557" t="n">
        <x:f>IF(I24=0,0,G24/I24)</x:f>
        <x:v>79.94795608378192</x:v>
      </x:c>
      <x:c r="L24" s="1554" t="n">
        <x:v>1035998</x:v>
      </x:c>
      <x:c r="M24" s="1554" t="n">
        <x:v>486273</x:v>
      </x:c>
      <x:c r="N24" s="1554" t="n">
        <x:v>0</x:v>
      </x:c>
      <x:c r="O24" s="1554" t="n">
        <x:v>35614</x:v>
      </x:c>
      <x:c r="P24" s="1554" t="n">
        <x:v>101771</x:v>
      </x:c>
      <x:c r="Q24" s="1554" t="n">
        <x:v>1544013</x:v>
      </x:c>
      <x:c r="R24" s="1555" t="n">
        <x:f>MAX(0,G24-L24-M24-N24-O24+P24)</x:f>
        <x:v>1544013</x:v>
      </x:c>
      <x:c r="S24" s="1555" t="n">
        <x:f>IF(T24="NET",Q24-R24,"")</x:f>
        <x:v>0</x:v>
      </x:c>
      <x:c r="T24" s="1552" t="str">
        <x:v>NET</x:v>
      </x:c>
      <x:c r="U24" s="1558" t="n">
        <x:v>36.31</x:v>
      </x:c>
      <x:c r="V24" s="1554" t="n">
        <x:v>560560</x:v>
      </x:c>
      <x:c r="W24" s="1555" t="n">
        <x:f>IF(T24="NET",Q24*U24/100,G24*U24/100)</x:f>
        <x:v>560631.1203000001</x:v>
      </x:c>
      <x:c r="X24" s="1555" t="n">
        <x:f>V24-W24</x:f>
        <x:v>-71.1203000000678</x:v>
      </x:c>
      <x:c r="Y24" s="1552" t="str">
        <x:v>POST</x:v>
      </x:c>
      <x:c r="Z24" s="1554" t="n">
        <x:v>0</x:v>
      </x:c>
      <x:c r="AA24" s="1155" t="str">
        <x:v>Project achieved payout in reporting year, therefore has both pre and post payout periods reported.</x:v>
      </x:c>
      <x:c r="AB24" s="1560" t="n">
        <x:v>2</x:v>
      </x:c>
      <x:c r="AC24" s="1155" t="str">
        <x:v>https://www.alberta.ca/royalty-oil-sands-project-data.aspx?dto=0&amp;dtp=2&amp;dtq=&amp;dts=0</x:v>
      </x:c>
      <x:c r="AD24" s="1559" t="str">
        <x:f>IF(ABS(H24)&lt;=Model_Parameters!$B$7,"PASS","REVIEW")</x:f>
        <x:v>PASS</x:v>
      </x:c>
      <x:c r="AE24" s="1559" t="str">
        <x:f>IF(T24&lt;&gt;"NET","N/A",IF(ABS(S24)&lt;=Model_Parameters!$B$7,"PASS","REVIEW"))</x:f>
        <x:v>PASS</x:v>
      </x:c>
      <x:c r="AF24" s="1559" t="str">
        <x:f>IF(ABS(X24)&lt;=Model_Parameters!$B$7,"WITHIN TOLERANCE","DISPLAY RATE / ADJUSTMENT")</x:f>
        <x:v>WITHIN TOLERANCE</x:v>
      </x:c>
    </x:row>
    <x:row r="25" ht="18" customHeight="1">
      <x:c r="A25" s="1552" t="str">
        <x:v>OSR018</x:v>
      </x:c>
      <x:c r="B25" s="1155" t="str">
        <x:v>Marwayne</x:v>
      </x:c>
      <x:c r="C25" s="1155" t="str">
        <x:v>CANADIAN NATURAL RESOURCES LIMITED</x:v>
      </x:c>
      <x:c r="D25" s="1553" t="n">
        <x:v>2024</x:v>
      </x:c>
      <x:c r="E25" s="1554" t="n">
        <x:v>789498</x:v>
      </x:c>
      <x:c r="F25" s="1554" t="n">
        <x:v>147556</x:v>
      </x:c>
      <x:c r="G25" s="1554" t="n">
        <x:v>641942</x:v>
      </x:c>
      <x:c r="H25" s="1555" t="n">
        <x:f>E25-F25-G25</x:f>
        <x:v>0</x:v>
      </x:c>
      <x:c r="I25" s="1554" t="n">
        <x:v>7983</x:v>
      </x:c>
      <x:c r="J25" s="1556" t="n">
        <x:v>80.41</x:v>
      </x:c>
      <x:c r="K25" s="1557" t="n">
        <x:f>IF(I25=0,0,G25/I25)</x:f>
        <x:v>80.41362896154328</x:v>
      </x:c>
      <x:c r="L25" s="1554" t="n">
        <x:v>801553</x:v>
      </x:c>
      <x:c r="M25" s="1554" t="n">
        <x:v>1484780</x:v>
      </x:c>
      <x:c r="N25" s="1554" t="n">
        <x:v>152347</x:v>
      </x:c>
      <x:c r="O25" s="1554" t="n">
        <x:v>4672667</x:v>
      </x:c>
      <x:c r="P25" s="1554" t="n">
        <x:v>169236</x:v>
      </x:c>
      <x:c r="Q25" s="1554" t="n">
        <x:v>0</x:v>
      </x:c>
      <x:c r="R25" s="1555" t="n">
        <x:f>MAX(0,G25-L25-M25-N25-O25+P25)</x:f>
        <x:v>0</x:v>
      </x:c>
      <x:c r="S25" s="1555" t="str">
        <x:f>IF(T25="NET",Q25-R25,"")</x:f>
      </x:c>
      <x:c r="T25" s="1552" t="str">
        <x:v>GROSS</x:v>
      </x:c>
      <x:c r="U25" s="1558" t="n">
        <x:v>7.03</x:v>
      </x:c>
      <x:c r="V25" s="1554" t="n">
        <x:v>45126</x:v>
      </x:c>
      <x:c r="W25" s="1555" t="n">
        <x:f>IF(T25="NET",Q25*U25/100,G25*U25/100)</x:f>
        <x:v>45128.5226</x:v>
      </x:c>
      <x:c r="X25" s="1555" t="n">
        <x:f>V25-W25</x:f>
        <x:v>-2.5225999999966007</x:v>
      </x:c>
      <x:c r="Y25" s="1552" t="str">
        <x:v>POST</x:v>
      </x:c>
      <x:c r="Z25" s="1554" t="n">
        <x:v>6300169</x:v>
      </x:c>
      <x:c r="AA25" s="1155" t="str"/>
      <x:c r="AB25" s="1560" t="n">
        <x:v>2</x:v>
      </x:c>
      <x:c r="AC25" s="1155" t="str">
        <x:v>https://www.alberta.ca/royalty-oil-sands-project-data.aspx?dto=0&amp;dtp=2&amp;dtq=&amp;dts=0</x:v>
      </x:c>
      <x:c r="AD25" s="1559" t="str">
        <x:f>IF(ABS(H25)&lt;=Model_Parameters!$B$7,"PASS","REVIEW")</x:f>
        <x:v>PASS</x:v>
      </x:c>
      <x:c r="AE25" s="1559" t="str">
        <x:f>IF(T25&lt;&gt;"NET","N/A",IF(ABS(S25)&lt;=Model_Parameters!$B$7,"PASS","REVIEW"))</x:f>
        <x:v>N/A</x:v>
      </x:c>
      <x:c r="AF25" s="1559" t="str">
        <x:f>IF(ABS(X25)&lt;=Model_Parameters!$B$7,"WITHIN TOLERANCE","DISPLAY RATE / ADJUSTMENT")</x:f>
        <x:v>WITHIN TOLERANCE</x:v>
      </x:c>
    </x:row>
    <x:row r="26" ht="18" customHeight="1">
      <x:c r="A26" s="1552" t="str">
        <x:v>OSR020</x:v>
      </x:c>
      <x:c r="B26" s="1155" t="str">
        <x:v>JACOS Hangingstone SAGD Project</x:v>
      </x:c>
      <x:c r="C26" s="1155" t="str">
        <x:v>GREENFIRE RESOURCES OPERATING CORPORATION</x:v>
      </x:c>
      <x:c r="D26" s="1553" t="n">
        <x:v>2024</x:v>
      </x:c>
      <x:c r="E26" s="1554" t="n">
        <x:v>102337735</x:v>
      </x:c>
      <x:c r="F26" s="1554" t="n">
        <x:v>33650920</x:v>
      </x:c>
      <x:c r="G26" s="1554" t="n">
        <x:v>68686815</x:v>
      </x:c>
      <x:c r="H26" s="1555" t="n">
        <x:f>E26-F26-G26</x:f>
        <x:v>0</x:v>
      </x:c>
      <x:c r="I26" s="1554" t="n">
        <x:v>1077378</x:v>
      </x:c>
      <x:c r="J26" s="1556" t="n">
        <x:v>63.75</x:v>
      </x:c>
      <x:c r="K26" s="1557" t="n">
        <x:f>IF(I26=0,0,G26/I26)</x:f>
        <x:v>63.753682551527874</x:v>
      </x:c>
      <x:c r="L26" s="1554" t="n">
        <x:v>54740811</x:v>
      </x:c>
      <x:c r="M26" s="1554" t="n">
        <x:v>37385973</x:v>
      </x:c>
      <x:c r="N26" s="1554" t="n">
        <x:v>1355127</x:v>
      </x:c>
      <x:c r="O26" s="1554" t="n">
        <x:v>46699102</x:v>
      </x:c>
      <x:c r="P26" s="1554" t="n">
        <x:v>0</x:v>
      </x:c>
      <x:c r="Q26" s="1554" t="n">
        <x:v>0</x:v>
      </x:c>
      <x:c r="R26" s="1555" t="n">
        <x:f>MAX(0,G26-L26-M26-N26-O26+P26)</x:f>
        <x:v>0</x:v>
      </x:c>
      <x:c r="S26" s="1555" t="str">
        <x:f>IF(T26="NET",Q26-R26,"")</x:f>
      </x:c>
      <x:c r="T26" s="1552" t="str">
        <x:v>GROSS</x:v>
      </x:c>
      <x:c r="U26" s="1558" t="n">
        <x:v>7.03</x:v>
      </x:c>
      <x:c r="V26" s="1554" t="n">
        <x:v>4828367</x:v>
      </x:c>
      <x:c r="W26" s="1555" t="n">
        <x:f>IF(T26="NET",Q26*U26/100,G26*U26/100)</x:f>
        <x:v>4828683.0945</x:v>
      </x:c>
      <x:c r="X26" s="1555" t="n">
        <x:f>V26-W26</x:f>
        <x:v>-316.0944999996573</x:v>
      </x:c>
      <x:c r="Y26" s="1552" t="str">
        <x:v>POST</x:v>
      </x:c>
      <x:c r="Z26" s="1554" t="n">
        <x:v>71494198</x:v>
      </x:c>
      <x:c r="AA26" s="1155" t="str"/>
      <x:c r="AB26" s="1560" t="n">
        <x:v>3</x:v>
      </x:c>
      <x:c r="AC26" s="1155" t="str">
        <x:v>https://www.alberta.ca/royalty-oil-sands-project-data.aspx?dto=0&amp;dtp=3&amp;dtq=&amp;dts=0</x:v>
      </x:c>
      <x:c r="AD26" s="1559" t="str">
        <x:f>IF(ABS(H26)&lt;=Model_Parameters!$B$7,"PASS","REVIEW")</x:f>
        <x:v>PASS</x:v>
      </x:c>
      <x:c r="AE26" s="1559" t="str">
        <x:f>IF(T26&lt;&gt;"NET","N/A",IF(ABS(S26)&lt;=Model_Parameters!$B$7,"PASS","REVIEW"))</x:f>
        <x:v>N/A</x:v>
      </x:c>
      <x:c r="AF26" s="1559" t="str">
        <x:f>IF(ABS(X26)&lt;=Model_Parameters!$B$7,"WITHIN TOLERANCE","DISPLAY RATE / ADJUSTMENT")</x:f>
        <x:v>WITHIN TOLERANCE</x:v>
      </x:c>
    </x:row>
    <x:row r="27" ht="18" customHeight="1">
      <x:c r="A27" s="1552" t="str">
        <x:v>OSR021</x:v>
      </x:c>
      <x:c r="B27" s="1155" t="str">
        <x:v>Edward Lake</x:v>
      </x:c>
      <x:c r="C27" s="1155" t="str">
        <x:v>CANADIAN NATURAL RESOURCES LIMITED</x:v>
      </x:c>
      <x:c r="D27" s="1553" t="n">
        <x:v>2024</x:v>
      </x:c>
      <x:c r="E27" s="1554" t="n">
        <x:v>26869766</x:v>
      </x:c>
      <x:c r="F27" s="1554" t="n">
        <x:v>4773252</x:v>
      </x:c>
      <x:c r="G27" s="1554" t="n">
        <x:v>22096514</x:v>
      </x:c>
      <x:c r="H27" s="1555" t="n">
        <x:f>E27-F27-G27</x:f>
        <x:v>0</x:v>
      </x:c>
      <x:c r="I27" s="1554" t="n">
        <x:v>279587</x:v>
      </x:c>
      <x:c r="J27" s="1556" t="n">
        <x:v>79.03</x:v>
      </x:c>
      <x:c r="K27" s="1557" t="n">
        <x:f>IF(I27=0,0,G27/I27)</x:f>
        <x:v>79.03269465318488</x:v>
      </x:c>
      <x:c r="L27" s="1554" t="n">
        <x:v>6166683</x:v>
      </x:c>
      <x:c r="M27" s="1554" t="n">
        <x:v>1726274</x:v>
      </x:c>
      <x:c r="N27" s="1554" t="n">
        <x:v>0</x:v>
      </x:c>
      <x:c r="O27" s="1554" t="n">
        <x:v>0</x:v>
      </x:c>
      <x:c r="P27" s="1554" t="n">
        <x:v>169003</x:v>
      </x:c>
      <x:c r="Q27" s="1554" t="n">
        <x:v>14372560</x:v>
      </x:c>
      <x:c r="R27" s="1555" t="n">
        <x:f>MAX(0,G27-L27-M27-N27-O27+P27)</x:f>
        <x:v>14372560</x:v>
      </x:c>
      <x:c r="S27" s="1555" t="n">
        <x:f>IF(T27="NET",Q27-R27,"")</x:f>
        <x:v>0</x:v>
      </x:c>
      <x:c r="T27" s="1552" t="str">
        <x:v>NET</x:v>
      </x:c>
      <x:c r="U27" s="1558" t="n">
        <x:v>36.31</x:v>
      </x:c>
      <x:c r="V27" s="1554" t="n">
        <x:v>5218013</x:v>
      </x:c>
      <x:c r="W27" s="1555" t="n">
        <x:f>IF(T27="NET",Q27*U27/100,G27*U27/100)</x:f>
        <x:v>5218676.536</x:v>
      </x:c>
      <x:c r="X27" s="1555" t="n">
        <x:f>V27-W27</x:f>
        <x:v>-663.5360000003129</x:v>
      </x:c>
      <x:c r="Y27" s="1552" t="str">
        <x:v>POST</x:v>
      </x:c>
      <x:c r="Z27" s="1554" t="n">
        <x:v>0</x:v>
      </x:c>
      <x:c r="AA27" s="1155" t="str"/>
      <x:c r="AB27" s="1560" t="n">
        <x:v>3</x:v>
      </x:c>
      <x:c r="AC27" s="1155" t="str">
        <x:v>https://www.alberta.ca/royalty-oil-sands-project-data.aspx?dto=0&amp;dtp=3&amp;dtq=&amp;dts=0</x:v>
      </x:c>
      <x:c r="AD27" s="1559" t="str">
        <x:f>IF(ABS(H27)&lt;=Model_Parameters!$B$7,"PASS","REVIEW")</x:f>
        <x:v>PASS</x:v>
      </x:c>
      <x:c r="AE27" s="1559" t="str">
        <x:f>IF(T27&lt;&gt;"NET","N/A",IF(ABS(S27)&lt;=Model_Parameters!$B$7,"PASS","REVIEW"))</x:f>
        <x:v>PASS</x:v>
      </x:c>
      <x:c r="AF27" s="1559" t="str">
        <x:f>IF(ABS(X27)&lt;=Model_Parameters!$B$7,"WITHIN TOLERANCE","DISPLAY RATE / ADJUSTMENT")</x:f>
        <x:v>WITHIN TOLERANCE</x:v>
      </x:c>
    </x:row>
    <x:row r="28" ht="18" customHeight="1">
      <x:c r="A28" s="1552" t="str">
        <x:v>OSR024</x:v>
      </x:c>
      <x:c r="B28" s="1155" t="str">
        <x:v>Elk Point Project</x:v>
      </x:c>
      <x:c r="C28" s="1155" t="str">
        <x:v>CANADIAN NATURAL RESOURCES LIMITED</x:v>
      </x:c>
      <x:c r="D28" s="1553" t="n">
        <x:v>2024</x:v>
      </x:c>
      <x:c r="E28" s="1554" t="n">
        <x:v>23766270</x:v>
      </x:c>
      <x:c r="F28" s="1554" t="n">
        <x:v>4367196</x:v>
      </x:c>
      <x:c r="G28" s="1554" t="n">
        <x:v>19399074</x:v>
      </x:c>
      <x:c r="H28" s="1555" t="n">
        <x:f>E28-F28-G28</x:f>
        <x:v>0</x:v>
      </x:c>
      <x:c r="I28" s="1554" t="n">
        <x:v>248238</x:v>
      </x:c>
      <x:c r="J28" s="1556" t="n">
        <x:v>78.15</x:v>
      </x:c>
      <x:c r="K28" s="1557" t="n">
        <x:f>IF(I28=0,0,G28/I28)</x:f>
        <x:v>78.14707659584754</x:v>
      </x:c>
      <x:c r="L28" s="1554" t="n">
        <x:v>9508586</x:v>
      </x:c>
      <x:c r="M28" s="1554" t="n">
        <x:v>7006786</x:v>
      </x:c>
      <x:c r="N28" s="1554" t="n">
        <x:v>0</x:v>
      </x:c>
      <x:c r="O28" s="1554" t="n">
        <x:v>0</x:v>
      </x:c>
      <x:c r="P28" s="1554" t="n">
        <x:v>501036</x:v>
      </x:c>
      <x:c r="Q28" s="1554" t="n">
        <x:v>3384738</x:v>
      </x:c>
      <x:c r="R28" s="1555" t="n">
        <x:f>MAX(0,G28-L28-M28-N28-O28+P28)</x:f>
        <x:v>3384738</x:v>
      </x:c>
      <x:c r="S28" s="1555" t="str">
        <x:f>IF(T28="NET",Q28-R28,"")</x:f>
      </x:c>
      <x:c r="T28" s="1552" t="str">
        <x:v>GROSS</x:v>
      </x:c>
      <x:c r="U28" s="1558" t="n">
        <x:v>7.03</x:v>
      </x:c>
      <x:c r="V28" s="1554" t="n">
        <x:v>1363666</x:v>
      </x:c>
      <x:c r="W28" s="1555" t="n">
        <x:f>IF(T28="NET",Q28*U28/100,G28*U28/100)</x:f>
        <x:v>1363754.9022</x:v>
      </x:c>
      <x:c r="X28" s="1555" t="n">
        <x:f>V28-W28</x:f>
        <x:v>-88.90219999989495</x:v>
      </x:c>
      <x:c r="Y28" s="1552" t="str">
        <x:v>POST</x:v>
      </x:c>
      <x:c r="Z28" s="1554" t="n">
        <x:v>0</x:v>
      </x:c>
      <x:c r="AA28" s="1155" t="str"/>
      <x:c r="AB28" s="1560" t="n">
        <x:v>3</x:v>
      </x:c>
      <x:c r="AC28" s="1155" t="str">
        <x:v>https://www.alberta.ca/royalty-oil-sands-project-data.aspx?dto=0&amp;dtp=3&amp;dtq=&amp;dts=0</x:v>
      </x:c>
      <x:c r="AD28" s="1559" t="str">
        <x:f>IF(ABS(H28)&lt;=Model_Parameters!$B$7,"PASS","REVIEW")</x:f>
        <x:v>PASS</x:v>
      </x:c>
      <x:c r="AE28" s="1559" t="str">
        <x:f>IF(T28&lt;&gt;"NET","N/A",IF(ABS(S28)&lt;=Model_Parameters!$B$7,"PASS","REVIEW"))</x:f>
        <x:v>N/A</x:v>
      </x:c>
      <x:c r="AF28" s="1559" t="str">
        <x:f>IF(ABS(X28)&lt;=Model_Parameters!$B$7,"WITHIN TOLERANCE","DISPLAY RATE / ADJUSTMENT")</x:f>
        <x:v>WITHIN TOLERANCE</x:v>
      </x:c>
    </x:row>
    <x:row r="29" ht="18" customHeight="1">
      <x:c r="A29" s="1552" t="str">
        <x:v>OSR025</x:v>
      </x:c>
      <x:c r="B29" s="1155" t="str">
        <x:v>Moosehills Project</x:v>
      </x:c>
      <x:c r="C29" s="1155" t="str">
        <x:v>CANADIAN NATURAL RESOURCES LIMITED</x:v>
      </x:c>
      <x:c r="D29" s="1553" t="n">
        <x:v>2024</x:v>
      </x:c>
      <x:c r="E29" s="1554" t="n">
        <x:v>9600114</x:v>
      </x:c>
      <x:c r="F29" s="1554" t="n">
        <x:v>1677264</x:v>
      </x:c>
      <x:c r="G29" s="1554" t="n">
        <x:v>7922850</x:v>
      </x:c>
      <x:c r="H29" s="1555" t="n">
        <x:f>E29-F29-G29</x:f>
        <x:v>0</x:v>
      </x:c>
      <x:c r="I29" s="1554" t="n">
        <x:v>100503</x:v>
      </x:c>
      <x:c r="J29" s="1556" t="n">
        <x:v>78.83</x:v>
      </x:c>
      <x:c r="K29" s="1557" t="n">
        <x:f>IF(I29=0,0,G29/I29)</x:f>
        <x:v>78.83197516492045</x:v>
      </x:c>
      <x:c r="L29" s="1554" t="n">
        <x:v>5381343</x:v>
      </x:c>
      <x:c r="M29" s="1554" t="n">
        <x:v>6154809</x:v>
      </x:c>
      <x:c r="N29" s="1554" t="n">
        <x:v>5361</x:v>
      </x:c>
      <x:c r="O29" s="1554" t="n">
        <x:v>1073859</x:v>
      </x:c>
      <x:c r="P29" s="1554" t="n">
        <x:v>452857</x:v>
      </x:c>
      <x:c r="Q29" s="1554" t="n">
        <x:v>0</x:v>
      </x:c>
      <x:c r="R29" s="1555" t="n">
        <x:f>MAX(0,G29-L29-M29-N29-O29+P29)</x:f>
        <x:v>0</x:v>
      </x:c>
      <x:c r="S29" s="1555" t="str">
        <x:f>IF(T29="NET",Q29-R29,"")</x:f>
      </x:c>
      <x:c r="T29" s="1552" t="str">
        <x:v>GROSS</x:v>
      </x:c>
      <x:c r="U29" s="1558" t="n">
        <x:v>7.03</x:v>
      </x:c>
      <x:c r="V29" s="1554" t="n">
        <x:v>556940</x:v>
      </x:c>
      <x:c r="W29" s="1555" t="n">
        <x:f>IF(T29="NET",Q29*U29/100,G29*U29/100)</x:f>
        <x:v>556976.355</x:v>
      </x:c>
      <x:c r="X29" s="1555" t="n">
        <x:f>V29-W29</x:f>
        <x:v>-36.35499999998137</x:v>
      </x:c>
      <x:c r="Y29" s="1552" t="str">
        <x:v>POST</x:v>
      </x:c>
      <x:c r="Z29" s="1554" t="n">
        <x:v>4239665</x:v>
      </x:c>
      <x:c r="AA29" s="1155" t="str"/>
      <x:c r="AB29" s="1560" t="n">
        <x:v>3</x:v>
      </x:c>
      <x:c r="AC29" s="1155" t="str">
        <x:v>https://www.alberta.ca/royalty-oil-sands-project-data.aspx?dto=0&amp;dtp=3&amp;dtq=&amp;dts=0</x:v>
      </x:c>
      <x:c r="AD29" s="1559" t="str">
        <x:f>IF(ABS(H29)&lt;=Model_Parameters!$B$7,"PASS","REVIEW")</x:f>
        <x:v>PASS</x:v>
      </x:c>
      <x:c r="AE29" s="1559" t="str">
        <x:f>IF(T29&lt;&gt;"NET","N/A",IF(ABS(S29)&lt;=Model_Parameters!$B$7,"PASS","REVIEW"))</x:f>
        <x:v>N/A</x:v>
      </x:c>
      <x:c r="AF29" s="1559" t="str">
        <x:f>IF(ABS(X29)&lt;=Model_Parameters!$B$7,"WITHIN TOLERANCE","DISPLAY RATE / ADJUSTMENT")</x:f>
        <x:v>WITHIN TOLERANCE</x:v>
      </x:c>
    </x:row>
    <x:row r="30" ht="18" customHeight="1">
      <x:c r="A30" s="1552" t="str">
        <x:v>OSR027</x:v>
      </x:c>
      <x:c r="B30" s="1155" t="str">
        <x:v>Beartrap</x:v>
      </x:c>
      <x:c r="C30" s="1155" t="str">
        <x:v>CANADIAN NATURAL RESOURCES LIMITED</x:v>
      </x:c>
      <x:c r="D30" s="1553" t="n">
        <x:v>2024</x:v>
      </x:c>
      <x:c r="E30" s="1554" t="n">
        <x:v>17630472</x:v>
      </x:c>
      <x:c r="F30" s="1554" t="n">
        <x:v>3310695</x:v>
      </x:c>
      <x:c r="G30" s="1554" t="n">
        <x:v>14319777</x:v>
      </x:c>
      <x:c r="H30" s="1555" t="n">
        <x:f>E30-F30-G30</x:f>
        <x:v>0</x:v>
      </x:c>
      <x:c r="I30" s="1554" t="n">
        <x:v>181441</x:v>
      </x:c>
      <x:c r="J30" s="1556" t="n">
        <x:v>78.92</x:v>
      </x:c>
      <x:c r="K30" s="1557" t="n">
        <x:f>IF(I30=0,0,G30/I30)</x:f>
        <x:v>78.92249822256271</x:v>
      </x:c>
      <x:c r="L30" s="1554" t="n">
        <x:v>19039480</x:v>
      </x:c>
      <x:c r="M30" s="1554" t="n">
        <x:v>6399308</x:v>
      </x:c>
      <x:c r="N30" s="1554" t="n">
        <x:v>0</x:v>
      </x:c>
      <x:c r="O30" s="1554" t="n">
        <x:v>0</x:v>
      </x:c>
      <x:c r="P30" s="1554" t="n">
        <x:v>16934506</x:v>
      </x:c>
      <x:c r="Q30" s="1554" t="n">
        <x:v>5815495</x:v>
      </x:c>
      <x:c r="R30" s="1555" t="n">
        <x:f>MAX(0,G30-L30-M30-N30-O30+P30)</x:f>
        <x:v>5815495</x:v>
      </x:c>
      <x:c r="S30" s="1555" t="n">
        <x:f>IF(T30="NET",Q30-R30,"")</x:f>
        <x:v>0</x:v>
      </x:c>
      <x:c r="T30" s="1552" t="str">
        <x:v>NET</x:v>
      </x:c>
      <x:c r="U30" s="1558" t="n">
        <x:v>36.31</x:v>
      </x:c>
      <x:c r="V30" s="1554" t="n">
        <x:v>2111338</x:v>
      </x:c>
      <x:c r="W30" s="1555" t="n">
        <x:f>IF(T30="NET",Q30*U30/100,G30*U30/100)</x:f>
        <x:v>2111606.2345000003</x:v>
      </x:c>
      <x:c r="X30" s="1555" t="n">
        <x:f>V30-W30</x:f>
        <x:v>-268.2345000002533</x:v>
      </x:c>
      <x:c r="Y30" s="1552" t="str">
        <x:v>POST</x:v>
      </x:c>
      <x:c r="Z30" s="1554" t="n">
        <x:v>0</x:v>
      </x:c>
      <x:c r="AA30" s="1155" t="str"/>
      <x:c r="AB30" s="1560" t="n">
        <x:v>3</x:v>
      </x:c>
      <x:c r="AC30" s="1155" t="str">
        <x:v>https://www.alberta.ca/royalty-oil-sands-project-data.aspx?dto=0&amp;dtp=3&amp;dtq=&amp;dts=0</x:v>
      </x:c>
      <x:c r="AD30" s="1559" t="str">
        <x:f>IF(ABS(H30)&lt;=Model_Parameters!$B$7,"PASS","REVIEW")</x:f>
        <x:v>PASS</x:v>
      </x:c>
      <x:c r="AE30" s="1559" t="str">
        <x:f>IF(T30&lt;&gt;"NET","N/A",IF(ABS(S30)&lt;=Model_Parameters!$B$7,"PASS","REVIEW"))</x:f>
        <x:v>PASS</x:v>
      </x:c>
      <x:c r="AF30" s="1559" t="str">
        <x:f>IF(ABS(X30)&lt;=Model_Parameters!$B$7,"WITHIN TOLERANCE","DISPLAY RATE / ADJUSTMENT")</x:f>
        <x:v>WITHIN TOLERANCE</x:v>
      </x:c>
    </x:row>
    <x:row r="31" ht="18" customHeight="1">
      <x:c r="A31" s="1552" t="str">
        <x:v>OSR028</x:v>
      </x:c>
      <x:c r="B31" s="1155" t="str">
        <x:v>Swimming</x:v>
      </x:c>
      <x:c r="C31" s="1155" t="str">
        <x:v>GEAR ENERGY LTD.</x:v>
      </x:c>
      <x:c r="D31" s="1553" t="n">
        <x:v>2024</x:v>
      </x:c>
      <x:c r="E31" s="1554" t="n">
        <x:v>513482</x:v>
      </x:c>
      <x:c r="F31" s="1554" t="n">
        <x:v>0</x:v>
      </x:c>
      <x:c r="G31" s="1554" t="n">
        <x:v>513482</x:v>
      </x:c>
      <x:c r="H31" s="1555" t="n">
        <x:f>E31-F31-G31</x:f>
        <x:v>0</x:v>
      </x:c>
      <x:c r="I31" s="1554" t="n">
        <x:v>6941</x:v>
      </x:c>
      <x:c r="J31" s="1556" t="n">
        <x:v>73.98</x:v>
      </x:c>
      <x:c r="K31" s="1557" t="n">
        <x:f>IF(I31=0,0,G31/I31)</x:f>
        <x:v>73.97810113816453</x:v>
      </x:c>
      <x:c r="L31" s="1554" t="n">
        <x:v>277318</x:v>
      </x:c>
      <x:c r="M31" s="1554" t="n">
        <x:v>283947</x:v>
      </x:c>
      <x:c r="N31" s="1554" t="n">
        <x:v>40125</x:v>
      </x:c>
      <x:c r="O31" s="1554" t="n">
        <x:v>1255913</x:v>
      </x:c>
      <x:c r="P31" s="1554" t="n">
        <x:v>0</x:v>
      </x:c>
      <x:c r="Q31" s="1554" t="n">
        <x:v>0</x:v>
      </x:c>
      <x:c r="R31" s="1555" t="n">
        <x:f>MAX(0,G31-L31-M31-N31-O31+P31)</x:f>
        <x:v>0</x:v>
      </x:c>
      <x:c r="S31" s="1555" t="str">
        <x:f>IF(T31="NET",Q31-R31,"")</x:f>
      </x:c>
      <x:c r="T31" s="1552" t="str">
        <x:v>GROSS</x:v>
      </x:c>
      <x:c r="U31" s="1558" t="n">
        <x:v>7.03</x:v>
      </x:c>
      <x:c r="V31" s="1554" t="n">
        <x:v>36095</x:v>
      </x:c>
      <x:c r="W31" s="1555" t="n">
        <x:f>IF(T31="NET",Q31*U31/100,G31*U31/100)</x:f>
        <x:v>36097.7846</x:v>
      </x:c>
      <x:c r="X31" s="1555" t="n">
        <x:f>V31-W31</x:f>
        <x:v>-2.7845999999990454</x:v>
      </x:c>
      <x:c r="Y31" s="1552" t="str">
        <x:v>POST</x:v>
      </x:c>
      <x:c r="Z31" s="1554" t="n">
        <x:v>1343821</x:v>
      </x:c>
      <x:c r="AA31" s="1155" t="str"/>
      <x:c r="AB31" s="1560" t="n">
        <x:v>3</x:v>
      </x:c>
      <x:c r="AC31" s="1155" t="str">
        <x:v>https://www.alberta.ca/royalty-oil-sands-project-data.aspx?dto=0&amp;dtp=3&amp;dtq=&amp;dts=0</x:v>
      </x:c>
      <x:c r="AD31" s="1559" t="str">
        <x:f>IF(ABS(H31)&lt;=Model_Parameters!$B$7,"PASS","REVIEW")</x:f>
        <x:v>PASS</x:v>
      </x:c>
      <x:c r="AE31" s="1559" t="str">
        <x:f>IF(T31&lt;&gt;"NET","N/A",IF(ABS(S31)&lt;=Model_Parameters!$B$7,"PASS","REVIEW"))</x:f>
        <x:v>N/A</x:v>
      </x:c>
      <x:c r="AF31" s="1559" t="str">
        <x:f>IF(ABS(X31)&lt;=Model_Parameters!$B$7,"WITHIN TOLERANCE","DISPLAY RATE / ADJUSTMENT")</x:f>
        <x:v>WITHIN TOLERANCE</x:v>
      </x:c>
    </x:row>
    <x:row r="32" ht="18" customHeight="1">
      <x:c r="A32" s="1552" t="str">
        <x:v>OSR030</x:v>
      </x:c>
      <x:c r="B32" s="1155" t="str">
        <x:v>Primrose</x:v>
      </x:c>
      <x:c r="C32" s="1155" t="str">
        <x:v>CANADIAN NATURAL RESOURCES LIMITED</x:v>
      </x:c>
      <x:c r="D32" s="1553" t="n">
        <x:v>2024</x:v>
      </x:c>
      <x:c r="E32" s="1554" t="n">
        <x:v>2970807662</x:v>
      </x:c>
      <x:c r="F32" s="1554" t="n">
        <x:v>802900177</x:v>
      </x:c>
      <x:c r="G32" s="1554" t="n">
        <x:v>2167907485</x:v>
      </x:c>
      <x:c r="H32" s="1555" t="n">
        <x:f>E32-F32-G32</x:f>
        <x:v>0</x:v>
      </x:c>
      <x:c r="I32" s="1554" t="n">
        <x:v>27964645</x:v>
      </x:c>
      <x:c r="J32" s="1556" t="n">
        <x:v>77.52</x:v>
      </x:c>
      <x:c r="K32" s="1557" t="n">
        <x:f>IF(I32=0,0,G32/I32)</x:f>
        <x:v>77.52315414695948</x:v>
      </x:c>
      <x:c r="L32" s="1554" t="n">
        <x:v>456077594</x:v>
      </x:c>
      <x:c r="M32" s="1554" t="n">
        <x:v>356377189</x:v>
      </x:c>
      <x:c r="N32" s="1554" t="n">
        <x:v>0</x:v>
      </x:c>
      <x:c r="O32" s="1554" t="n">
        <x:v>0</x:v>
      </x:c>
      <x:c r="P32" s="1554" t="n">
        <x:v>3285</x:v>
      </x:c>
      <x:c r="Q32" s="1554" t="n">
        <x:v>1355455987</x:v>
      </x:c>
      <x:c r="R32" s="1555" t="n">
        <x:f>MAX(0,G32-L32-M32-N32-O32+P32)</x:f>
        <x:v>1355455987</x:v>
      </x:c>
      <x:c r="S32" s="1555" t="n">
        <x:f>IF(T32="NET",Q32-R32,"")</x:f>
        <x:v>0</x:v>
      </x:c>
      <x:c r="T32" s="1552" t="str">
        <x:v>NET</x:v>
      </x:c>
      <x:c r="U32" s="1558" t="n">
        <x:v>36.31</x:v>
      </x:c>
      <x:c r="V32" s="1554" t="n">
        <x:v>492103447</x:v>
      </x:c>
      <x:c r="W32" s="1555" t="n">
        <x:f>IF(T32="NET",Q32*U32/100,G32*U32/100)</x:f>
        <x:v>492166068.8797</x:v>
      </x:c>
      <x:c r="X32" s="1555" t="n">
        <x:f>V32-W32</x:f>
        <x:v>-62621.879700005054</x:v>
      </x:c>
      <x:c r="Y32" s="1552" t="str">
        <x:v>POST</x:v>
      </x:c>
      <x:c r="Z32" s="1554" t="n">
        <x:v>0</x:v>
      </x:c>
      <x:c r="AA32" s="1155" t="str"/>
      <x:c r="AB32" s="1560" t="n">
        <x:v>3</x:v>
      </x:c>
      <x:c r="AC32" s="1155" t="str">
        <x:v>https://www.alberta.ca/royalty-oil-sands-project-data.aspx?dto=0&amp;dtp=3&amp;dtq=&amp;dts=0</x:v>
      </x:c>
      <x:c r="AD32" s="1559" t="str">
        <x:f>IF(ABS(H32)&lt;=Model_Parameters!$B$7,"PASS","REVIEW")</x:f>
        <x:v>PASS</x:v>
      </x:c>
      <x:c r="AE32" s="1559" t="str">
        <x:f>IF(T32&lt;&gt;"NET","N/A",IF(ABS(S32)&lt;=Model_Parameters!$B$7,"PASS","REVIEW"))</x:f>
        <x:v>PASS</x:v>
      </x:c>
      <x:c r="AF32" s="1559" t="str">
        <x:f>IF(ABS(X32)&lt;=Model_Parameters!$B$7,"WITHIN TOLERANCE","DISPLAY RATE / ADJUSTMENT")</x:f>
        <x:v>DISPLAY RATE / ADJUSTMENT</x:v>
      </x:c>
    </x:row>
    <x:row r="33" ht="18" customHeight="1">
      <x:c r="A33" s="1552" t="str">
        <x:v>OSR033</x:v>
      </x:c>
      <x:c r="B33" s="1155" t="str">
        <x:v>Muskeg River Mine</x:v>
      </x:c>
      <x:c r="C33" s="1155" t="str">
        <x:v>CANADIAN NATURAL RESOURCES LIMITED</x:v>
      </x:c>
      <x:c r="D33" s="1553" t="n">
        <x:v>2024</x:v>
      </x:c>
      <x:c r="E33" s="1554" t="n">
        <x:v>4865892122</x:v>
      </x:c>
      <x:c r="F33" s="1554" t="n">
        <x:v>0</x:v>
      </x:c>
      <x:c r="G33" s="1554" t="n">
        <x:v>4865892122</x:v>
      </x:c>
      <x:c r="H33" s="1555" t="n">
        <x:f>E33-F33-G33</x:f>
        <x:v>0</x:v>
      </x:c>
      <x:c r="I33" s="1554" t="n">
        <x:v>65397598</x:v>
      </x:c>
      <x:c r="J33" s="1556" t="n">
        <x:v>74.4</x:v>
      </x:c>
      <x:c r="K33" s="1557" t="n">
        <x:f>IF(I33=0,0,G33/I33)</x:f>
        <x:v>74.40475293909113</x:v>
      </x:c>
      <x:c r="L33" s="1554" t="n">
        <x:v>1340738551</x:v>
      </x:c>
      <x:c r="M33" s="1554" t="n">
        <x:v>331931498</x:v>
      </x:c>
      <x:c r="N33" s="1554" t="n">
        <x:v>0</x:v>
      </x:c>
      <x:c r="O33" s="1554" t="n">
        <x:v>0</x:v>
      </x:c>
      <x:c r="P33" s="1554" t="n">
        <x:v>155558187</x:v>
      </x:c>
      <x:c r="Q33" s="1554" t="n">
        <x:v>3348780260</x:v>
      </x:c>
      <x:c r="R33" s="1555" t="n">
        <x:f>MAX(0,G33-L33-M33-N33-O33+P33)</x:f>
        <x:v>3348780260</x:v>
      </x:c>
      <x:c r="S33" s="1555" t="n">
        <x:f>IF(T33="NET",Q33-R33,"")</x:f>
        <x:v>0</x:v>
      </x:c>
      <x:c r="T33" s="1552" t="str">
        <x:v>NET</x:v>
      </x:c>
      <x:c r="U33" s="1558" t="n">
        <x:v>36.31</x:v>
      </x:c>
      <x:c r="V33" s="1554" t="n">
        <x:v>1215787399</x:v>
      </x:c>
      <x:c r="W33" s="1555" t="n">
        <x:f>IF(T33="NET",Q33*U33/100,G33*U33/100)</x:f>
        <x:v>1215942112.4060001</x:v>
      </x:c>
      <x:c r="X33" s="1555" t="n">
        <x:f>V33-W33</x:f>
        <x:v>-154713.40600013733</x:v>
      </x:c>
      <x:c r="Y33" s="1552" t="str">
        <x:v>POST</x:v>
      </x:c>
      <x:c r="Z33" s="1554" t="n">
        <x:v>0</x:v>
      </x:c>
      <x:c r="AA33" s="1155" t="str">
        <x:v>Project is subject to the Bitumen Valuation Methodology (BVM) in one or more production months.</x:v>
      </x:c>
      <x:c r="AB33" s="1560" t="n">
        <x:v>3</x:v>
      </x:c>
      <x:c r="AC33" s="1155" t="str">
        <x:v>https://www.alberta.ca/royalty-oil-sands-project-data.aspx?dto=0&amp;dtp=3&amp;dtq=&amp;dts=0</x:v>
      </x:c>
      <x:c r="AD33" s="1559" t="str">
        <x:f>IF(ABS(H33)&lt;=Model_Parameters!$B$7,"PASS","REVIEW")</x:f>
        <x:v>PASS</x:v>
      </x:c>
      <x:c r="AE33" s="1559" t="str">
        <x:f>IF(T33&lt;&gt;"NET","N/A",IF(ABS(S33)&lt;=Model_Parameters!$B$7,"PASS","REVIEW"))</x:f>
        <x:v>PASS</x:v>
      </x:c>
      <x:c r="AF33" s="1559" t="str">
        <x:f>IF(ABS(X33)&lt;=Model_Parameters!$B$7,"WITHIN TOLERANCE","DISPLAY RATE / ADJUSTMENT")</x:f>
        <x:v>DISPLAY RATE / ADJUSTMENT</x:v>
      </x:c>
    </x:row>
    <x:row r="34" ht="18" customHeight="1">
      <x:c r="A34" s="1552" t="str">
        <x:v>OSR035</x:v>
      </x:c>
      <x:c r="B34" s="1155" t="str">
        <x:v>Passage Elk Project</x:v>
      </x:c>
      <x:c r="C34" s="1155" t="str">
        <x:v>GEAR ENERGY LTD.</x:v>
      </x:c>
      <x:c r="D34" s="1553" t="n">
        <x:v>2024</x:v>
      </x:c>
      <x:c r="E34" s="1554" t="n">
        <x:v>449441</x:v>
      </x:c>
      <x:c r="F34" s="1554" t="n">
        <x:v>0</x:v>
      </x:c>
      <x:c r="G34" s="1554" t="n">
        <x:v>449441</x:v>
      </x:c>
      <x:c r="H34" s="1555" t="n">
        <x:f>E34-F34-G34</x:f>
        <x:v>0</x:v>
      </x:c>
      <x:c r="I34" s="1554" t="n">
        <x:v>6450</x:v>
      </x:c>
      <x:c r="J34" s="1556" t="n">
        <x:v>69.68</x:v>
      </x:c>
      <x:c r="K34" s="1557" t="n">
        <x:f>IF(I34=0,0,G34/I34)</x:f>
        <x:v>69.68077519379845</x:v>
      </x:c>
      <x:c r="L34" s="1554" t="n">
        <x:v>964123</x:v>
      </x:c>
      <x:c r="M34" s="1554" t="n">
        <x:v>707764</x:v>
      </x:c>
      <x:c r="N34" s="1554" t="n">
        <x:v>59002</x:v>
      </x:c>
      <x:c r="O34" s="1554" t="n">
        <x:v>1850991</x:v>
      </x:c>
      <x:c r="P34" s="1554" t="n">
        <x:v>0</x:v>
      </x:c>
      <x:c r="Q34" s="1554" t="n">
        <x:v>0</x:v>
      </x:c>
      <x:c r="R34" s="1555" t="n">
        <x:f>MAX(0,G34-L34-M34-N34-O34+P34)</x:f>
        <x:v>0</x:v>
      </x:c>
      <x:c r="S34" s="1555" t="str">
        <x:f>IF(T34="NET",Q34-R34,"")</x:f>
      </x:c>
      <x:c r="T34" s="1552" t="str">
        <x:v>GROSS</x:v>
      </x:c>
      <x:c r="U34" s="1558" t="n">
        <x:v>7.03</x:v>
      </x:c>
      <x:c r="V34" s="1554" t="n">
        <x:v>31594</x:v>
      </x:c>
      <x:c r="W34" s="1555" t="n">
        <x:f>IF(T34="NET",Q34*U34/100,G34*U34/100)</x:f>
        <x:v>31595.7023</x:v>
      </x:c>
      <x:c r="X34" s="1555" t="n">
        <x:f>V34-W34</x:f>
        <x:v>-1.7023000000008324</x:v>
      </x:c>
      <x:c r="Y34" s="1552" t="str">
        <x:v>POST</x:v>
      </x:c>
      <x:c r="Z34" s="1554" t="n">
        <x:v>3132439</x:v>
      </x:c>
      <x:c r="AA34" s="1155" t="str"/>
      <x:c r="AB34" s="1560" t="n">
        <x:v>3</x:v>
      </x:c>
      <x:c r="AC34" s="1155" t="str">
        <x:v>https://www.alberta.ca/royalty-oil-sands-project-data.aspx?dto=0&amp;dtp=3&amp;dtq=&amp;dts=0</x:v>
      </x:c>
      <x:c r="AD34" s="1559" t="str">
        <x:f>IF(ABS(H34)&lt;=Model_Parameters!$B$7,"PASS","REVIEW")</x:f>
        <x:v>PASS</x:v>
      </x:c>
      <x:c r="AE34" s="1559" t="str">
        <x:f>IF(T34&lt;&gt;"NET","N/A",IF(ABS(S34)&lt;=Model_Parameters!$B$7,"PASS","REVIEW"))</x:f>
        <x:v>N/A</x:v>
      </x:c>
      <x:c r="AF34" s="1559" t="str">
        <x:f>IF(ABS(X34)&lt;=Model_Parameters!$B$7,"WITHIN TOLERANCE","DISPLAY RATE / ADJUSTMENT")</x:f>
        <x:v>WITHIN TOLERANCE</x:v>
      </x:c>
    </x:row>
    <x:row r="35" ht="18" customHeight="1">
      <x:c r="A35" s="1552" t="str">
        <x:v>OSR037</x:v>
      </x:c>
      <x:c r="B35" s="1155" t="str">
        <x:v>Cold Lake</x:v>
      </x:c>
      <x:c r="C35" s="1155" t="str">
        <x:v>IMPERIAL OIL RESOURCES LIMITED</x:v>
      </x:c>
      <x:c r="D35" s="1553" t="n">
        <x:v>2024</x:v>
      </x:c>
      <x:c r="E35" s="1554" t="n">
        <x:v>5923528347</x:v>
      </x:c>
      <x:c r="F35" s="1554" t="n">
        <x:v>1947369764</x:v>
      </x:c>
      <x:c r="G35" s="1554" t="n">
        <x:v>3976158583</x:v>
      </x:c>
      <x:c r="H35" s="1555" t="n">
        <x:f>E35-F35-G35</x:f>
        <x:v>0</x:v>
      </x:c>
      <x:c r="I35" s="1554" t="n">
        <x:v>52528539</x:v>
      </x:c>
      <x:c r="J35" s="1556" t="n">
        <x:v>75.7</x:v>
      </x:c>
      <x:c r="K35" s="1557" t="n">
        <x:f>IF(I35=0,0,G35/I35)</x:f>
        <x:v>75.69520604789713</x:v>
      </x:c>
      <x:c r="L35" s="1554" t="n">
        <x:v>980201087</x:v>
      </x:c>
      <x:c r="M35" s="1554" t="n">
        <x:v>190866966</x:v>
      </x:c>
      <x:c r="N35" s="1554" t="n">
        <x:v>0</x:v>
      </x:c>
      <x:c r="O35" s="1554" t="n">
        <x:v>81801949</x:v>
      </x:c>
      <x:c r="P35" s="1554" t="n">
        <x:v>182041</x:v>
      </x:c>
      <x:c r="Q35" s="1554" t="n">
        <x:v>2723470622</x:v>
      </x:c>
      <x:c r="R35" s="1555" t="n">
        <x:f>MAX(0,G35-L35-M35-N35-O35+P35)</x:f>
        <x:v>2723470622</x:v>
      </x:c>
      <x:c r="S35" s="1555" t="n">
        <x:f>IF(T35="NET",Q35-R35,"")</x:f>
        <x:v>0</x:v>
      </x:c>
      <x:c r="T35" s="1552" t="str">
        <x:v>NET</x:v>
      </x:c>
      <x:c r="U35" s="1558" t="n">
        <x:v>36.31</x:v>
      </x:c>
      <x:c r="V35" s="1554" t="n">
        <x:v>988766359</x:v>
      </x:c>
      <x:c r="W35" s="1555" t="n">
        <x:f>IF(T35="NET",Q35*U35/100,G35*U35/100)</x:f>
        <x:v>988892182.8482001</x:v>
      </x:c>
      <x:c r="X35" s="1555" t="n">
        <x:f>V35-W35</x:f>
        <x:v>-125823.84820008278</x:v>
      </x:c>
      <x:c r="Y35" s="1552" t="str">
        <x:v>POST</x:v>
      </x:c>
      <x:c r="Z35" s="1554" t="n">
        <x:v>0</x:v>
      </x:c>
      <x:c r="AA35" s="1155" t="str"/>
      <x:c r="AB35" s="1560" t="n">
        <x:v>3</x:v>
      </x:c>
      <x:c r="AC35" s="1155" t="str">
        <x:v>https://www.alberta.ca/royalty-oil-sands-project-data.aspx?dto=0&amp;dtp=3&amp;dtq=&amp;dts=0</x:v>
      </x:c>
      <x:c r="AD35" s="1559" t="str">
        <x:f>IF(ABS(H35)&lt;=Model_Parameters!$B$7,"PASS","REVIEW")</x:f>
        <x:v>PASS</x:v>
      </x:c>
      <x:c r="AE35" s="1559" t="str">
        <x:f>IF(T35&lt;&gt;"NET","N/A",IF(ABS(S35)&lt;=Model_Parameters!$B$7,"PASS","REVIEW"))</x:f>
        <x:v>PASS</x:v>
      </x:c>
      <x:c r="AF35" s="1559" t="str">
        <x:f>IF(ABS(X35)&lt;=Model_Parameters!$B$7,"WITHIN TOLERANCE","DISPLAY RATE / ADJUSTMENT")</x:f>
        <x:v>DISPLAY RATE / ADJUSTMENT</x:v>
      </x:c>
    </x:row>
    <x:row r="36" ht="18" customHeight="1">
      <x:c r="A36" s="1552" t="str">
        <x:v>OSR038</x:v>
      </x:c>
      <x:c r="B36" s="1155" t="str">
        <x:v>Woodenhouse</x:v>
      </x:c>
      <x:c r="C36" s="1155" t="str">
        <x:v>CANADIAN NATURAL RESOURCES LIMITED</x:v>
      </x:c>
      <x:c r="D36" s="1553" t="n">
        <x:v>2024</x:v>
      </x:c>
      <x:c r="E36" s="1554" t="n">
        <x:v>34943495</x:v>
      </x:c>
      <x:c r="F36" s="1554" t="n">
        <x:v>5170483</x:v>
      </x:c>
      <x:c r="G36" s="1554" t="n">
        <x:v>29773012</x:v>
      </x:c>
      <x:c r="H36" s="1555" t="n">
        <x:f>E36-F36-G36</x:f>
        <x:v>0</x:v>
      </x:c>
      <x:c r="I36" s="1554" t="n">
        <x:v>384375</x:v>
      </x:c>
      <x:c r="J36" s="1556" t="n">
        <x:v>77.46</x:v>
      </x:c>
      <x:c r="K36" s="1557" t="n">
        <x:f>IF(I36=0,0,G36/I36)</x:f>
        <x:v>77.45824260162601</x:v>
      </x:c>
      <x:c r="L36" s="1554" t="n">
        <x:v>14497306</x:v>
      </x:c>
      <x:c r="M36" s="1554" t="n">
        <x:v>5056044</x:v>
      </x:c>
      <x:c r="N36" s="1554" t="n">
        <x:v>0</x:v>
      </x:c>
      <x:c r="O36" s="1554" t="n">
        <x:v>223509</x:v>
      </x:c>
      <x:c r="P36" s="1554" t="n">
        <x:v>1179300</x:v>
      </x:c>
      <x:c r="Q36" s="1554" t="n">
        <x:v>11175453</x:v>
      </x:c>
      <x:c r="R36" s="1555" t="n">
        <x:f>MAX(0,G36-L36-M36-N36-O36+P36)</x:f>
        <x:v>11175453</x:v>
      </x:c>
      <x:c r="S36" s="1555" t="n">
        <x:f>IF(T36="NET",Q36-R36,"")</x:f>
        <x:v>0</x:v>
      </x:c>
      <x:c r="T36" s="1552" t="str">
        <x:v>NET</x:v>
      </x:c>
      <x:c r="U36" s="1558" t="n">
        <x:v>36.31</x:v>
      </x:c>
      <x:c r="V36" s="1554" t="n">
        <x:v>4057291</x:v>
      </x:c>
      <x:c r="W36" s="1555" t="n">
        <x:f>IF(T36="NET",Q36*U36/100,G36*U36/100)</x:f>
        <x:v>4057806.9843</x:v>
      </x:c>
      <x:c r="X36" s="1555" t="n">
        <x:f>V36-W36</x:f>
        <x:v>-515.9843000001274</x:v>
      </x:c>
      <x:c r="Y36" s="1552" t="str">
        <x:v>POST</x:v>
      </x:c>
      <x:c r="Z36" s="1554" t="n">
        <x:v>0</x:v>
      </x:c>
      <x:c r="AA36" s="1155" t="str"/>
      <x:c r="AB36" s="1560" t="n">
        <x:v>4</x:v>
      </x:c>
      <x:c r="AC36" s="1155" t="str">
        <x:v>https://www.alberta.ca/royalty-oil-sands-project-data.aspx?dto=0&amp;dtp=4&amp;dtq=&amp;dts=0</x:v>
      </x:c>
      <x:c r="AD36" s="1559" t="str">
        <x:f>IF(ABS(H36)&lt;=Model_Parameters!$B$7,"PASS","REVIEW")</x:f>
        <x:v>PASS</x:v>
      </x:c>
      <x:c r="AE36" s="1559" t="str">
        <x:f>IF(T36&lt;&gt;"NET","N/A",IF(ABS(S36)&lt;=Model_Parameters!$B$7,"PASS","REVIEW"))</x:f>
        <x:v>PASS</x:v>
      </x:c>
      <x:c r="AF36" s="1559" t="str">
        <x:f>IF(ABS(X36)&lt;=Model_Parameters!$B$7,"WITHIN TOLERANCE","DISPLAY RATE / ADJUSTMENT")</x:f>
        <x:v>WITHIN TOLERANCE</x:v>
      </x:c>
    </x:row>
    <x:row r="37" ht="18" customHeight="1">
      <x:c r="A37" s="1552" t="str">
        <x:v>OSR040</x:v>
      </x:c>
      <x:c r="B37" s="1155" t="str">
        <x:v>Seal I</x:v>
      </x:c>
      <x:c r="C37" s="1155" t="str">
        <x:v>BAYTEX ENERGY LTD.</x:v>
      </x:c>
      <x:c r="D37" s="1553" t="n">
        <x:v>2024</x:v>
      </x:c>
      <x:c r="E37" s="1554" t="n">
        <x:v>21292244</x:v>
      </x:c>
      <x:c r="F37" s="1554" t="n">
        <x:v>6579990</x:v>
      </x:c>
      <x:c r="G37" s="1554" t="n">
        <x:v>14823670</x:v>
      </x:c>
      <x:c r="H37" s="1555" t="n">
        <x:f>E37-F37-G37</x:f>
        <x:v>-111416</x:v>
      </x:c>
      <x:c r="I37" s="1554" t="n">
        <x:v>209065</x:v>
      </x:c>
      <x:c r="J37" s="1556" t="n">
        <x:v>70.9</x:v>
      </x:c>
      <x:c r="K37" s="1557" t="n">
        <x:f>IF(I37=0,0,G37/I37)</x:f>
        <x:v>70.90459904814293</x:v>
      </x:c>
      <x:c r="L37" s="1554" t="n">
        <x:v>12274915</x:v>
      </x:c>
      <x:c r="M37" s="1554" t="n">
        <x:v>711337</x:v>
      </x:c>
      <x:c r="N37" s="1554" t="n">
        <x:v>11898</x:v>
      </x:c>
      <x:c r="O37" s="1554" t="n">
        <x:v>1653905</x:v>
      </x:c>
      <x:c r="P37" s="1554" t="n">
        <x:v>2831051</x:v>
      </x:c>
      <x:c r="Q37" s="1554" t="n">
        <x:v>2891250</x:v>
      </x:c>
      <x:c r="R37" s="1555" t="n">
        <x:f>MAX(0,G37-L37-M37-N37-O37+P37)</x:f>
        <x:v>3002666</x:v>
      </x:c>
      <x:c r="S37" s="1555" t="n">
        <x:f>IF(T37="NET",Q37-R37,"")</x:f>
        <x:v>-111416</x:v>
      </x:c>
      <x:c r="T37" s="1552" t="str">
        <x:v>NET</x:v>
      </x:c>
      <x:c r="U37" s="1558" t="n">
        <x:v>36.58</x:v>
      </x:c>
      <x:c r="V37" s="1554" t="n">
        <x:v>1057629</x:v>
      </x:c>
      <x:c r="W37" s="1555" t="n">
        <x:f>IF(T37="NET",Q37*U37/100,G37*U37/100)</x:f>
        <x:v>1057619.25</x:v>
      </x:c>
      <x:c r="X37" s="1555" t="n">
        <x:f>V37-W37</x:f>
        <x:v>9.75</x:v>
      </x:c>
      <x:c r="Y37" s="1552" t="str">
        <x:v>POST</x:v>
      </x:c>
      <x:c r="Z37" s="1554" t="n">
        <x:v>0</x:v>
      </x:c>
      <x:c r="AA37" s="1155" t="str"/>
      <x:c r="AB37" s="1560" t="n">
        <x:v>4</x:v>
      </x:c>
      <x:c r="AC37" s="1155" t="str">
        <x:v>https://www.alberta.ca/royalty-oil-sands-project-data.aspx?dto=0&amp;dtp=4&amp;dtq=&amp;dts=0</x:v>
      </x:c>
      <x:c r="AD37" s="1559" t="str">
        <x:f>IF(ABS(H37)&lt;=Model_Parameters!$B$7,"PASS","REVIEW")</x:f>
        <x:v>REVIEW</x:v>
      </x:c>
      <x:c r="AE37" s="1559" t="str">
        <x:f>IF(T37&lt;&gt;"NET","N/A",IF(ABS(S37)&lt;=Model_Parameters!$B$7,"PASS","REVIEW"))</x:f>
        <x:v>REVIEW</x:v>
      </x:c>
      <x:c r="AF37" s="1559" t="str">
        <x:f>IF(ABS(X37)&lt;=Model_Parameters!$B$7,"WITHIN TOLERANCE","DISPLAY RATE / ADJUSTMENT")</x:f>
        <x:v>WITHIN TOLERANCE</x:v>
      </x:c>
    </x:row>
    <x:row r="38" ht="18" customHeight="1">
      <x:c r="A38" s="1552" t="str">
        <x:v>OSR042</x:v>
      </x:c>
      <x:c r="B38" s="1155" t="str">
        <x:v>Christina Lake Thermal Project</x:v>
      </x:c>
      <x:c r="C38" s="1155" t="str">
        <x:v>CENOVUS ENERGY INC.</x:v>
      </x:c>
      <x:c r="D38" s="1553" t="n">
        <x:v>2024</x:v>
      </x:c>
      <x:c r="E38" s="1554" t="n">
        <x:v>9758709634</x:v>
      </x:c>
      <x:c r="F38" s="1554" t="n">
        <x:v>3911614385</x:v>
      </x:c>
      <x:c r="G38" s="1554" t="n">
        <x:v>5847095249</x:v>
      </x:c>
      <x:c r="H38" s="1555" t="n">
        <x:f>E38-F38-G38</x:f>
        <x:v>0</x:v>
      </x:c>
      <x:c r="I38" s="1554" t="n">
        <x:v>85066681</x:v>
      </x:c>
      <x:c r="J38" s="1556" t="n">
        <x:v>68.74</x:v>
      </x:c>
      <x:c r="K38" s="1557" t="n">
        <x:f>IF(I38=0,0,G38/I38)</x:f>
        <x:v>68.7354341354872</x:v>
      </x:c>
      <x:c r="L38" s="1554" t="n">
        <x:v>669130565</x:v>
      </x:c>
      <x:c r="M38" s="1554" t="n">
        <x:v>660475589</x:v>
      </x:c>
      <x:c r="N38" s="1554" t="n">
        <x:v>0</x:v>
      </x:c>
      <x:c r="O38" s="1554" t="n">
        <x:v>0</x:v>
      </x:c>
      <x:c r="P38" s="1554" t="n">
        <x:v>972951</x:v>
      </x:c>
      <x:c r="Q38" s="1554" t="n">
        <x:v>4518462046</x:v>
      </x:c>
      <x:c r="R38" s="1555" t="n">
        <x:f>MAX(0,G38-L38-M38-N38-O38+P38)</x:f>
        <x:v>4518462046</x:v>
      </x:c>
      <x:c r="S38" s="1555" t="n">
        <x:f>IF(T38="NET",Q38-R38,"")</x:f>
        <x:v>0</x:v>
      </x:c>
      <x:c r="T38" s="1552" t="str">
        <x:v>NET</x:v>
      </x:c>
      <x:c r="U38" s="1558" t="n">
        <x:v>36.31</x:v>
      </x:c>
      <x:c r="V38" s="1554" t="n">
        <x:v>1640444816</x:v>
      </x:c>
      <x:c r="W38" s="1555" t="n">
        <x:f>IF(T38="NET",Q38*U38/100,G38*U38/100)</x:f>
        <x:v>1640653568.9026</x:v>
      </x:c>
      <x:c r="X38" s="1555" t="n">
        <x:f>V38-W38</x:f>
        <x:v>-208752.90260004997</x:v>
      </x:c>
      <x:c r="Y38" s="1552" t="str">
        <x:v>POST</x:v>
      </x:c>
      <x:c r="Z38" s="1554" t="n">
        <x:v>0</x:v>
      </x:c>
      <x:c r="AA38" s="1155" t="str"/>
      <x:c r="AB38" s="1560" t="n">
        <x:v>4</x:v>
      </x:c>
      <x:c r="AC38" s="1155" t="str">
        <x:v>https://www.alberta.ca/royalty-oil-sands-project-data.aspx?dto=0&amp;dtp=4&amp;dtq=&amp;dts=0</x:v>
      </x:c>
      <x:c r="AD38" s="1559" t="str">
        <x:f>IF(ABS(H38)&lt;=Model_Parameters!$B$7,"PASS","REVIEW")</x:f>
        <x:v>PASS</x:v>
      </x:c>
      <x:c r="AE38" s="1559" t="str">
        <x:f>IF(T38&lt;&gt;"NET","N/A",IF(ABS(S38)&lt;=Model_Parameters!$B$7,"PASS","REVIEW"))</x:f>
        <x:v>PASS</x:v>
      </x:c>
      <x:c r="AF38" s="1559" t="str">
        <x:f>IF(ABS(X38)&lt;=Model_Parameters!$B$7,"WITHIN TOLERANCE","DISPLAY RATE / ADJUSTMENT")</x:f>
        <x:v>DISPLAY RATE / ADJUSTMENT</x:v>
      </x:c>
    </x:row>
    <x:row r="39" ht="18" customHeight="1">
      <x:c r="A39" s="1552" t="str">
        <x:v>OSR045</x:v>
      </x:c>
      <x:c r="B39" s="1155" t="str">
        <x:v>Syncrude Mine</x:v>
      </x:c>
      <x:c r="C39" s="1155" t="str">
        <x:v>SUNCOR ENERGY (SYNCRUDE) OPERATING INC.</x:v>
      </x:c>
      <x:c r="D39" s="1553" t="n">
        <x:v>2024</x:v>
      </x:c>
      <x:c r="E39" s="1554" t="n">
        <x:v>9568752196</x:v>
      </x:c>
      <x:c r="F39" s="1554" t="n">
        <x:v>0</x:v>
      </x:c>
      <x:c r="G39" s="1554" t="n">
        <x:v>9568752196</x:v>
      </x:c>
      <x:c r="H39" s="1555" t="n">
        <x:f>E39-F39-G39</x:f>
        <x:v>0</x:v>
      </x:c>
      <x:c r="I39" s="1554" t="n">
        <x:v>131894506</x:v>
      </x:c>
      <x:c r="J39" s="1556" t="n">
        <x:v>72.55</x:v>
      </x:c>
      <x:c r="K39" s="1557" t="n">
        <x:f>IF(I39=0,0,G39/I39)</x:f>
        <x:v>72.5485275027301</x:v>
      </x:c>
      <x:c r="L39" s="1554" t="n">
        <x:v>3558122572</x:v>
      </x:c>
      <x:c r="M39" s="1554" t="n">
        <x:v>944748153</x:v>
      </x:c>
      <x:c r="N39" s="1554" t="n">
        <x:v>0</x:v>
      </x:c>
      <x:c r="O39" s="1554" t="n">
        <x:v>0</x:v>
      </x:c>
      <x:c r="P39" s="1554" t="n">
        <x:v>16422866</x:v>
      </x:c>
      <x:c r="Q39" s="1554" t="n">
        <x:v>5082304337</x:v>
      </x:c>
      <x:c r="R39" s="1555" t="n">
        <x:f>MAX(0,G39-L39-M39-N39-O39+P39)</x:f>
        <x:v>5082304337</x:v>
      </x:c>
      <x:c r="S39" s="1555" t="n">
        <x:f>IF(T39="NET",Q39-R39,"")</x:f>
        <x:v>0</x:v>
      </x:c>
      <x:c r="T39" s="1552" t="str">
        <x:v>NET</x:v>
      </x:c>
      <x:c r="U39" s="1558" t="n">
        <x:v>36.31</x:v>
      </x:c>
      <x:c r="V39" s="1554" t="n">
        <x:v>1845149902</x:v>
      </x:c>
      <x:c r="W39" s="1555" t="n">
        <x:f>IF(T39="NET",Q39*U39/100,G39*U39/100)</x:f>
        <x:v>1845384704.7647</x:v>
      </x:c>
      <x:c r="X39" s="1555" t="n">
        <x:f>V39-W39</x:f>
        <x:v>-234802.7646999359</x:v>
      </x:c>
      <x:c r="Y39" s="1552" t="str">
        <x:v>POST</x:v>
      </x:c>
      <x:c r="Z39" s="1554" t="n">
        <x:v>0</x:v>
      </x:c>
      <x:c r="AA39" s="1155" t="str">
        <x:v>Project is subject to the Bitumen Valuation Methodology (BVM) in one or more production months.</x:v>
      </x:c>
      <x:c r="AB39" s="1560" t="n">
        <x:v>4</x:v>
      </x:c>
      <x:c r="AC39" s="1155" t="str">
        <x:v>https://www.alberta.ca/royalty-oil-sands-project-data.aspx?dto=0&amp;dtp=4&amp;dtq=&amp;dts=0</x:v>
      </x:c>
      <x:c r="AD39" s="1559" t="str">
        <x:f>IF(ABS(H39)&lt;=Model_Parameters!$B$7,"PASS","REVIEW")</x:f>
        <x:v>PASS</x:v>
      </x:c>
      <x:c r="AE39" s="1559" t="str">
        <x:f>IF(T39&lt;&gt;"NET","N/A",IF(ABS(S39)&lt;=Model_Parameters!$B$7,"PASS","REVIEW"))</x:f>
        <x:v>PASS</x:v>
      </x:c>
      <x:c r="AF39" s="1559" t="str">
        <x:f>IF(ABS(X39)&lt;=Model_Parameters!$B$7,"WITHIN TOLERANCE","DISPLAY RATE / ADJUSTMENT")</x:f>
        <x:v>DISPLAY RATE / ADJUSTMENT</x:v>
      </x:c>
    </x:row>
    <x:row r="40" ht="18" customHeight="1">
      <x:c r="A40" s="1552" t="str">
        <x:v>OSR046</x:v>
      </x:c>
      <x:c r="B40" s="1155" t="str">
        <x:v>MacKay River</x:v>
      </x:c>
      <x:c r="C40" s="1155" t="str">
        <x:v>SUNCOR ENERGY INC.</x:v>
      </x:c>
      <x:c r="D40" s="1553" t="n">
        <x:v>2024</x:v>
      </x:c>
      <x:c r="E40" s="1554" t="n">
        <x:v>1552667096</x:v>
      </x:c>
      <x:c r="F40" s="1554" t="n">
        <x:v>748153162</x:v>
      </x:c>
      <x:c r="G40" s="1554" t="n">
        <x:v>804513934</x:v>
      </x:c>
      <x:c r="H40" s="1555" t="n">
        <x:f>E40-F40-G40</x:f>
        <x:v>0</x:v>
      </x:c>
      <x:c r="I40" s="1554" t="n">
        <x:v>11821493</x:v>
      </x:c>
      <x:c r="J40" s="1556" t="n">
        <x:v>68.06</x:v>
      </x:c>
      <x:c r="K40" s="1557" t="n">
        <x:f>IF(I40=0,0,G40/I40)</x:f>
        <x:v>68.05518846054386</x:v>
      </x:c>
      <x:c r="L40" s="1554" t="n">
        <x:v>209807024</x:v>
      </x:c>
      <x:c r="M40" s="1554" t="n">
        <x:v>233442505</x:v>
      </x:c>
      <x:c r="N40" s="1554" t="n">
        <x:v>0</x:v>
      </x:c>
      <x:c r="O40" s="1554" t="n">
        <x:v>0</x:v>
      </x:c>
      <x:c r="P40" s="1554" t="n">
        <x:v>5925290</x:v>
      </x:c>
      <x:c r="Q40" s="1554" t="n">
        <x:v>367189695</x:v>
      </x:c>
      <x:c r="R40" s="1555" t="n">
        <x:f>MAX(0,G40-L40-M40-N40-O40+P40)</x:f>
        <x:v>367189695</x:v>
      </x:c>
      <x:c r="S40" s="1555" t="n">
        <x:f>IF(T40="NET",Q40-R40,"")</x:f>
        <x:v>0</x:v>
      </x:c>
      <x:c r="T40" s="1552" t="str">
        <x:v>NET</x:v>
      </x:c>
      <x:c r="U40" s="1558" t="n">
        <x:v>36.31</x:v>
      </x:c>
      <x:c r="V40" s="1554" t="n">
        <x:v>133309614</x:v>
      </x:c>
      <x:c r="W40" s="1555" t="n">
        <x:f>IF(T40="NET",Q40*U40/100,G40*U40/100)</x:f>
        <x:v>133326578.2545</x:v>
      </x:c>
      <x:c r="X40" s="1555" t="n">
        <x:f>V40-W40</x:f>
        <x:v>-16964.25450000167</x:v>
      </x:c>
      <x:c r="Y40" s="1552" t="str">
        <x:v>POST</x:v>
      </x:c>
      <x:c r="Z40" s="1554" t="n">
        <x:v>0</x:v>
      </x:c>
      <x:c r="AA40" s="1155" t="str"/>
      <x:c r="AB40" s="1560" t="n">
        <x:v>4</x:v>
      </x:c>
      <x:c r="AC40" s="1155" t="str">
        <x:v>https://www.alberta.ca/royalty-oil-sands-project-data.aspx?dto=0&amp;dtp=4&amp;dtq=&amp;dts=0</x:v>
      </x:c>
      <x:c r="AD40" s="1559" t="str">
        <x:f>IF(ABS(H40)&lt;=Model_Parameters!$B$7,"PASS","REVIEW")</x:f>
        <x:v>PASS</x:v>
      </x:c>
      <x:c r="AE40" s="1559" t="str">
        <x:f>IF(T40&lt;&gt;"NET","N/A",IF(ABS(S40)&lt;=Model_Parameters!$B$7,"PASS","REVIEW"))</x:f>
        <x:v>PASS</x:v>
      </x:c>
      <x:c r="AF40" s="1559" t="str">
        <x:f>IF(ABS(X40)&lt;=Model_Parameters!$B$7,"WITHIN TOLERANCE","DISPLAY RATE / ADJUSTMENT")</x:f>
        <x:v>DISPLAY RATE / ADJUSTMENT</x:v>
      </x:c>
    </x:row>
    <x:row r="41" ht="18" customHeight="1">
      <x:c r="A41" s="1552" t="str">
        <x:v>OSR047</x:v>
      </x:c>
      <x:c r="B41" s="1155" t="str">
        <x:v>Suncor Oil Sands</x:v>
      </x:c>
      <x:c r="C41" s="1155" t="str">
        <x:v>SUNCOR ENERGY INC.</x:v>
      </x:c>
      <x:c r="D41" s="1553" t="n">
        <x:v>2024</x:v>
      </x:c>
      <x:c r="E41" s="1554" t="n">
        <x:v>6555407117</x:v>
      </x:c>
      <x:c r="F41" s="1554" t="n">
        <x:v>0</x:v>
      </x:c>
      <x:c r="G41" s="1554" t="n">
        <x:v>6555407117</x:v>
      </x:c>
      <x:c r="H41" s="1555" t="n">
        <x:f>E41-F41-G41</x:f>
        <x:v>0</x:v>
      </x:c>
      <x:c r="I41" s="1554" t="n">
        <x:v>95276136</x:v>
      </x:c>
      <x:c r="J41" s="1556" t="n">
        <x:v>68.8</x:v>
      </x:c>
      <x:c r="K41" s="1557" t="n">
        <x:f>IF(I41=0,0,G41/I41)</x:f>
        <x:v>68.80429236760818</x:v>
      </x:c>
      <x:c r="L41" s="1554" t="n">
        <x:v>3613709789</x:v>
      </x:c>
      <x:c r="M41" s="1554" t="n">
        <x:v>965356752</x:v>
      </x:c>
      <x:c r="N41" s="1554" t="n">
        <x:v>42656258</x:v>
      </x:c>
      <x:c r="O41" s="1554" t="n">
        <x:v>1684975717</x:v>
      </x:c>
      <x:c r="P41" s="1554" t="n">
        <x:v>123935432</x:v>
      </x:c>
      <x:c r="Q41" s="1554" t="n">
        <x:v>372644033</x:v>
      </x:c>
      <x:c r="R41" s="1555" t="n">
        <x:f>MAX(0,G41-L41-M41-N41-O41+P41)</x:f>
        <x:v>372644033</x:v>
      </x:c>
      <x:c r="S41" s="1555" t="str">
        <x:f>IF(T41="NET",Q41-R41,"")</x:f>
      </x:c>
      <x:c r="T41" s="1552" t="str">
        <x:v>GROSS</x:v>
      </x:c>
      <x:c r="U41" s="1558" t="n">
        <x:v>7.03</x:v>
      </x:c>
      <x:c r="V41" s="1554" t="n">
        <x:v>460814965</x:v>
      </x:c>
      <x:c r="W41" s="1555" t="n">
        <x:f>IF(T41="NET",Q41*U41/100,G41*U41/100)</x:f>
        <x:v>460845120.3251</x:v>
      </x:c>
      <x:c r="X41" s="1555" t="n">
        <x:f>V41-W41</x:f>
        <x:v>-30155.325100004673</x:v>
      </x:c>
      <x:c r="Y41" s="1552" t="str">
        <x:v>POST</x:v>
      </x:c>
      <x:c r="Z41" s="1554" t="n">
        <x:v>0</x:v>
      </x:c>
      <x:c r="AA41" s="1155" t="str">
        <x:v>Project is subject to the Bitumen Valuation Methodology (BVM) in one or more production months.</x:v>
      </x:c>
      <x:c r="AB41" s="1560" t="n">
        <x:v>4</x:v>
      </x:c>
      <x:c r="AC41" s="1155" t="str">
        <x:v>https://www.alberta.ca/royalty-oil-sands-project-data.aspx?dto=0&amp;dtp=4&amp;dtq=&amp;dts=0</x:v>
      </x:c>
      <x:c r="AD41" s="1559" t="str">
        <x:f>IF(ABS(H41)&lt;=Model_Parameters!$B$7,"PASS","REVIEW")</x:f>
        <x:v>PASS</x:v>
      </x:c>
      <x:c r="AE41" s="1559" t="str">
        <x:f>IF(T41&lt;&gt;"NET","N/A",IF(ABS(S41)&lt;=Model_Parameters!$B$7,"PASS","REVIEW"))</x:f>
        <x:v>N/A</x:v>
      </x:c>
      <x:c r="AF41" s="1559" t="str">
        <x:f>IF(ABS(X41)&lt;=Model_Parameters!$B$7,"WITHIN TOLERANCE","DISPLAY RATE / ADJUSTMENT")</x:f>
        <x:v>DISPLAY RATE / ADJUSTMENT</x:v>
      </x:c>
    </x:row>
    <x:row r="42" ht="18" customHeight="1">
      <x:c r="A42" s="1552" t="str">
        <x:v>OSR048</x:v>
      </x:c>
      <x:c r="B42" s="1155" t="str">
        <x:v>West Marwayne</x:v>
      </x:c>
      <x:c r="C42" s="1155" t="str">
        <x:v>CANADIAN NATURAL RESOURCES LIMITED</x:v>
      </x:c>
      <x:c r="D42" s="1553" t="n">
        <x:v>2024</x:v>
      </x:c>
      <x:c r="E42" s="1554" t="n">
        <x:v>1801901</x:v>
      </x:c>
      <x:c r="F42" s="1554" t="n">
        <x:v>310466</x:v>
      </x:c>
      <x:c r="G42" s="1554" t="n">
        <x:v>1491435</x:v>
      </x:c>
      <x:c r="H42" s="1555" t="n">
        <x:f>E42-F42-G42</x:f>
        <x:v>0</x:v>
      </x:c>
      <x:c r="I42" s="1554" t="n">
        <x:v>18684</x:v>
      </x:c>
      <x:c r="J42" s="1556" t="n">
        <x:v>79.82</x:v>
      </x:c>
      <x:c r="K42" s="1557" t="n">
        <x:f>IF(I42=0,0,G42/I42)</x:f>
        <x:v>79.82418111753371</x:v>
      </x:c>
      <x:c r="L42" s="1554" t="n">
        <x:v>666134</x:v>
      </x:c>
      <x:c r="M42" s="1554" t="n">
        <x:v>608550</x:v>
      </x:c>
      <x:c r="N42" s="1554" t="n">
        <x:v>16706</x:v>
      </x:c>
      <x:c r="O42" s="1554" t="n">
        <x:v>571106</x:v>
      </x:c>
      <x:c r="P42" s="1554" t="n">
        <x:v>8938</x:v>
      </x:c>
      <x:c r="Q42" s="1554" t="n">
        <x:v>0</x:v>
      </x:c>
      <x:c r="R42" s="1555" t="n">
        <x:f>MAX(0,G42-L42-M42-N42-O42+P42)</x:f>
        <x:v>0</x:v>
      </x:c>
      <x:c r="S42" s="1555" t="str">
        <x:f>IF(T42="NET",Q42-R42,"")</x:f>
      </x:c>
      <x:c r="T42" s="1552" t="str">
        <x:v>GROSS</x:v>
      </x:c>
      <x:c r="U42" s="1558" t="n">
        <x:v>7.03</x:v>
      </x:c>
      <x:c r="V42" s="1554" t="n">
        <x:v>104841</x:v>
      </x:c>
      <x:c r="W42" s="1555" t="n">
        <x:f>IF(T42="NET",Q42*U42/100,G42*U42/100)</x:f>
        <x:v>104847.88050000001</x:v>
      </x:c>
      <x:c r="X42" s="1555" t="n">
        <x:f>V42-W42</x:f>
        <x:v>-6.880500000013853</x:v>
      </x:c>
      <x:c r="Y42" s="1552" t="str">
        <x:v>POST</x:v>
      </x:c>
      <x:c r="Z42" s="1554" t="n">
        <x:v>362123</x:v>
      </x:c>
      <x:c r="AA42" s="1155" t="str"/>
      <x:c r="AB42" s="1560" t="n">
        <x:v>4</x:v>
      </x:c>
      <x:c r="AC42" s="1155" t="str">
        <x:v>https://www.alberta.ca/royalty-oil-sands-project-data.aspx?dto=0&amp;dtp=4&amp;dtq=&amp;dts=0</x:v>
      </x:c>
      <x:c r="AD42" s="1559" t="str">
        <x:f>IF(ABS(H42)&lt;=Model_Parameters!$B$7,"PASS","REVIEW")</x:f>
        <x:v>PASS</x:v>
      </x:c>
      <x:c r="AE42" s="1559" t="str">
        <x:f>IF(T42&lt;&gt;"NET","N/A",IF(ABS(S42)&lt;=Model_Parameters!$B$7,"PASS","REVIEW"))</x:f>
        <x:v>N/A</x:v>
      </x:c>
      <x:c r="AF42" s="1559" t="str">
        <x:f>IF(ABS(X42)&lt;=Model_Parameters!$B$7,"WITHIN TOLERANCE","DISPLAY RATE / ADJUSTMENT")</x:f>
        <x:v>WITHIN TOLERANCE</x:v>
      </x:c>
    </x:row>
    <x:row r="43" ht="18" customHeight="1">
      <x:c r="A43" s="1552" t="str">
        <x:v>OSR049</x:v>
      </x:c>
      <x:c r="B43" s="1155" t="str">
        <x:v>Wabasca North</x:v>
      </x:c>
      <x:c r="C43" s="1155" t="str">
        <x:v>CANADIAN NATURAL RESOURCES LIMITED</x:v>
      </x:c>
      <x:c r="D43" s="1553" t="n">
        <x:v>2024</x:v>
      </x:c>
      <x:c r="E43" s="1554" t="n">
        <x:v>13625</x:v>
      </x:c>
      <x:c r="F43" s="1554" t="n">
        <x:v>2031</x:v>
      </x:c>
      <x:c r="G43" s="1554" t="n">
        <x:v>11594</x:v>
      </x:c>
      <x:c r="H43" s="1555" t="n">
        <x:f>E43-F43-G43</x:f>
        <x:v>0</x:v>
      </x:c>
      <x:c r="I43" s="1554" t="n">
        <x:v>159</x:v>
      </x:c>
      <x:c r="J43" s="1556" t="n">
        <x:v>72.83</x:v>
      </x:c>
      <x:c r="K43" s="1557" t="n">
        <x:f>IF(I43=0,0,G43/I43)</x:f>
        <x:v>72.91823899371069</x:v>
      </x:c>
      <x:c r="L43" s="1554" t="n">
        <x:v>388419</x:v>
      </x:c>
      <x:c r="M43" s="1554" t="n">
        <x:v>43439</x:v>
      </x:c>
      <x:c r="N43" s="1554" t="n">
        <x:v>0</x:v>
      </x:c>
      <x:c r="O43" s="1554" t="n">
        <x:v>732</x:v>
      </x:c>
      <x:c r="P43" s="1554" t="n">
        <x:v>0</x:v>
      </x:c>
      <x:c r="Q43" s="1554" t="n">
        <x:v>0</x:v>
      </x:c>
      <x:c r="R43" s="1555" t="n">
        <x:f>MAX(0,G43-L43-M43-N43-O43+P43)</x:f>
        <x:v>0</x:v>
      </x:c>
      <x:c r="S43" s="1555" t="str">
        <x:f>IF(T43="NET",Q43-R43,"")</x:f>
      </x:c>
      <x:c r="T43" s="1552" t="str">
        <x:v>GROSS</x:v>
      </x:c>
      <x:c r="U43" s="1558" t="n">
        <x:v>6.32</x:v>
      </x:c>
      <x:c r="V43" s="1554" t="n">
        <x:v>732</x:v>
      </x:c>
      <x:c r="W43" s="1555" t="n">
        <x:f>IF(T43="NET",Q43*U43/100,G43*U43/100)</x:f>
        <x:v>732.7408</x:v>
      </x:c>
      <x:c r="X43" s="1555" t="n">
        <x:f>V43-W43</x:f>
        <x:v>-0.7408000000000357</x:v>
      </x:c>
      <x:c r="Y43" s="1552" t="str">
        <x:v>PRE</x:v>
      </x:c>
      <x:c r="Z43" s="1554" t="n">
        <x:v>18975971</x:v>
      </x:c>
      <x:c r="AA43" s="1155" t="str"/>
      <x:c r="AB43" s="1560" t="n">
        <x:v>4</x:v>
      </x:c>
      <x:c r="AC43" s="1155" t="str">
        <x:v>https://www.alberta.ca/royalty-oil-sands-project-data.aspx?dto=0&amp;dtp=4&amp;dtq=&amp;dts=0</x:v>
      </x:c>
      <x:c r="AD43" s="1559" t="str">
        <x:f>IF(ABS(H43)&lt;=Model_Parameters!$B$7,"PASS","REVIEW")</x:f>
        <x:v>PASS</x:v>
      </x:c>
      <x:c r="AE43" s="1559" t="str">
        <x:f>IF(T43&lt;&gt;"NET","N/A",IF(ABS(S43)&lt;=Model_Parameters!$B$7,"PASS","REVIEW"))</x:f>
        <x:v>N/A</x:v>
      </x:c>
      <x:c r="AF43" s="1559" t="str">
        <x:f>IF(ABS(X43)&lt;=Model_Parameters!$B$7,"WITHIN TOLERANCE","DISPLAY RATE / ADJUSTMENT")</x:f>
        <x:v>WITHIN TOLERANCE</x:v>
      </x:c>
    </x:row>
    <x:row r="44" ht="18" customHeight="1">
      <x:c r="A44" s="1552" t="str">
        <x:v>OSR050</x:v>
      </x:c>
      <x:c r="B44" s="1155" t="str">
        <x:v>Firebag</x:v>
      </x:c>
      <x:c r="C44" s="1155" t="str">
        <x:v>SUNCOR ENERGY INC.</x:v>
      </x:c>
      <x:c r="D44" s="1553" t="n">
        <x:v>2024</x:v>
      </x:c>
      <x:c r="E44" s="1554" t="n">
        <x:v>8943179732</x:v>
      </x:c>
      <x:c r="F44" s="1554" t="n">
        <x:v>3384848949</x:v>
      </x:c>
      <x:c r="G44" s="1554" t="n">
        <x:v>5558330783</x:v>
      </x:c>
      <x:c r="H44" s="1555" t="n">
        <x:f>E44-F44-G44</x:f>
        <x:v>0</x:v>
      </x:c>
      <x:c r="I44" s="1554" t="n">
        <x:v>85582807</x:v>
      </x:c>
      <x:c r="J44" s="1556" t="n">
        <x:v>64.95</x:v>
      </x:c>
      <x:c r="K44" s="1557" t="n">
        <x:f>IF(I44=0,0,G44/I44)</x:f>
        <x:v>64.94681557944226</x:v>
      </x:c>
      <x:c r="L44" s="1554" t="n">
        <x:v>912755470</x:v>
      </x:c>
      <x:c r="M44" s="1554" t="n">
        <x:v>280979571</x:v>
      </x:c>
      <x:c r="N44" s="1554" t="n">
        <x:v>0</x:v>
      </x:c>
      <x:c r="O44" s="1554" t="n">
        <x:v>0</x:v>
      </x:c>
      <x:c r="P44" s="1554" t="n">
        <x:v>26191</x:v>
      </x:c>
      <x:c r="Q44" s="1554" t="n">
        <x:v>4364621933</x:v>
      </x:c>
      <x:c r="R44" s="1555" t="n">
        <x:f>MAX(0,G44-L44-M44-N44-O44+P44)</x:f>
        <x:v>4364621933</x:v>
      </x:c>
      <x:c r="S44" s="1555" t="n">
        <x:f>IF(T44="NET",Q44-R44,"")</x:f>
        <x:v>0</x:v>
      </x:c>
      <x:c r="T44" s="1552" t="str">
        <x:v>NET</x:v>
      </x:c>
      <x:c r="U44" s="1558" t="n">
        <x:v>36.31</x:v>
      </x:c>
      <x:c r="V44" s="1554" t="n">
        <x:v>1584592578</x:v>
      </x:c>
      <x:c r="W44" s="1555" t="n">
        <x:f>IF(T44="NET",Q44*U44/100,G44*U44/100)</x:f>
        <x:v>1584794223.8723001</x:v>
      </x:c>
      <x:c r="X44" s="1555" t="n">
        <x:f>V44-W44</x:f>
        <x:v>-201645.872300148</x:v>
      </x:c>
      <x:c r="Y44" s="1552" t="str">
        <x:v>POST</x:v>
      </x:c>
      <x:c r="Z44" s="1554" t="n">
        <x:v>0</x:v>
      </x:c>
      <x:c r="AA44" s="1155" t="str">
        <x:v>Project is subject to the Bitumen Valuation Methodology (BVM) in one or more production months.</x:v>
      </x:c>
      <x:c r="AB44" s="1560" t="n">
        <x:v>4</x:v>
      </x:c>
      <x:c r="AC44" s="1155" t="str">
        <x:v>https://www.alberta.ca/royalty-oil-sands-project-data.aspx?dto=0&amp;dtp=4&amp;dtq=&amp;dts=0</x:v>
      </x:c>
      <x:c r="AD44" s="1559" t="str">
        <x:f>IF(ABS(H44)&lt;=Model_Parameters!$B$7,"PASS","REVIEW")</x:f>
        <x:v>PASS</x:v>
      </x:c>
      <x:c r="AE44" s="1559" t="str">
        <x:f>IF(T44&lt;&gt;"NET","N/A",IF(ABS(S44)&lt;=Model_Parameters!$B$7,"PASS","REVIEW"))</x:f>
        <x:v>PASS</x:v>
      </x:c>
      <x:c r="AF44" s="1559" t="str">
        <x:f>IF(ABS(X44)&lt;=Model_Parameters!$B$7,"WITHIN TOLERANCE","DISPLAY RATE / ADJUSTMENT")</x:f>
        <x:v>DISPLAY RATE / ADJUSTMENT</x:v>
      </x:c>
    </x:row>
    <x:row r="45" ht="18" customHeight="1">
      <x:c r="A45" s="1552" t="str">
        <x:v>OSR052</x:v>
      </x:c>
      <x:c r="B45" s="1155" t="str">
        <x:v>Mann North</x:v>
      </x:c>
      <x:c r="C45" s="1155" t="str">
        <x:v>CANADIAN NATURAL RESOURCES LIMITED</x:v>
      </x:c>
      <x:c r="D45" s="1553" t="n">
        <x:v>2024</x:v>
      </x:c>
      <x:c r="E45" s="1554" t="n">
        <x:v>101136</x:v>
      </x:c>
      <x:c r="F45" s="1554" t="n">
        <x:v>20311</x:v>
      </x:c>
      <x:c r="G45" s="1554" t="n">
        <x:v>80825</x:v>
      </x:c>
      <x:c r="H45" s="1555" t="n">
        <x:f>E45-F45-G45</x:f>
        <x:v>0</x:v>
      </x:c>
      <x:c r="I45" s="1554" t="n">
        <x:v>1012</x:v>
      </x:c>
      <x:c r="J45" s="1556" t="n">
        <x:v>79.88</x:v>
      </x:c>
      <x:c r="K45" s="1557" t="n">
        <x:f>IF(I45=0,0,G45/I45)</x:f>
        <x:v>79.86660079051383</x:v>
      </x:c>
      <x:c r="L45" s="1554" t="n">
        <x:v>180529</x:v>
      </x:c>
      <x:c r="M45" s="1554" t="n">
        <x:v>52155</x:v>
      </x:c>
      <x:c r="N45" s="1554" t="n">
        <x:v>19702</x:v>
      </x:c>
      <x:c r="O45" s="1554" t="n">
        <x:v>609894</x:v>
      </x:c>
      <x:c r="P45" s="1554" t="n">
        <x:v>0</x:v>
      </x:c>
      <x:c r="Q45" s="1554" t="n">
        <x:v>0</x:v>
      </x:c>
      <x:c r="R45" s="1555" t="n">
        <x:f>MAX(0,G45-L45-M45-N45-O45+P45)</x:f>
        <x:v>0</x:v>
      </x:c>
      <x:c r="S45" s="1555" t="str">
        <x:f>IF(T45="NET",Q45-R45,"")</x:f>
      </x:c>
      <x:c r="T45" s="1552" t="str">
        <x:v>GROSS</x:v>
      </x:c>
      <x:c r="U45" s="1558" t="n">
        <x:v>7.03</x:v>
      </x:c>
      <x:c r="V45" s="1554" t="n">
        <x:v>5682</x:v>
      </x:c>
      <x:c r="W45" s="1555" t="n">
        <x:f>IF(T45="NET",Q45*U45/100,G45*U45/100)</x:f>
        <x:v>5681.9975</x:v>
      </x:c>
      <x:c r="X45" s="1555" t="n">
        <x:f>V45-W45</x:f>
        <x:v>0.0024999999995998223</x:v>
      </x:c>
      <x:c r="Y45" s="1552" t="str">
        <x:v>POST</x:v>
      </x:c>
      <x:c r="Z45" s="1554" t="n">
        <x:v>781455</x:v>
      </x:c>
      <x:c r="AA45" s="1155" t="str"/>
      <x:c r="AB45" s="1560" t="n">
        <x:v>5</x:v>
      </x:c>
      <x:c r="AC45" s="1155" t="str">
        <x:v>https://www.alberta.ca/royalty-oil-sands-project-data.aspx?dto=0&amp;dtp=5&amp;dtq=&amp;dts=0</x:v>
      </x:c>
      <x:c r="AD45" s="1559" t="str">
        <x:f>IF(ABS(H45)&lt;=Model_Parameters!$B$7,"PASS","REVIEW")</x:f>
        <x:v>PASS</x:v>
      </x:c>
      <x:c r="AE45" s="1559" t="str">
        <x:f>IF(T45&lt;&gt;"NET","N/A",IF(ABS(S45)&lt;=Model_Parameters!$B$7,"PASS","REVIEW"))</x:f>
        <x:v>N/A</x:v>
      </x:c>
      <x:c r="AF45" s="1559" t="str">
        <x:f>IF(ABS(X45)&lt;=Model_Parameters!$B$7,"WITHIN TOLERANCE","DISPLAY RATE / ADJUSTMENT")</x:f>
        <x:v>WITHIN TOLERANCE</x:v>
      </x:c>
    </x:row>
    <x:row r="46" ht="18" customHeight="1">
      <x:c r="A46" s="1552" t="str">
        <x:v>OSR053</x:v>
      </x:c>
      <x:c r="B46" s="1155" t="str">
        <x:v>Peace River</x:v>
      </x:c>
      <x:c r="C46" s="1155" t="str">
        <x:v>BAYTEX ENERGY LTD.</x:v>
      </x:c>
      <x:c r="D46" s="1553" t="n">
        <x:v>2024</x:v>
      </x:c>
      <x:c r="E46" s="1554" t="n">
        <x:v>376677</x:v>
      </x:c>
      <x:c r="F46" s="1554" t="n">
        <x:v>115886</x:v>
      </x:c>
      <x:c r="G46" s="1554" t="n">
        <x:v>260791</x:v>
      </x:c>
      <x:c r="H46" s="1555" t="n">
        <x:f>E46-F46-G46</x:f>
        <x:v>0</x:v>
      </x:c>
      <x:c r="I46" s="1554" t="n">
        <x:v>3705</x:v>
      </x:c>
      <x:c r="J46" s="1556" t="n">
        <x:v>70.39</x:v>
      </x:c>
      <x:c r="K46" s="1557" t="n">
        <x:f>IF(I46=0,0,G46/I46)</x:f>
        <x:v>70.3889338731444</x:v>
      </x:c>
      <x:c r="L46" s="1554" t="n">
        <x:v>678992</x:v>
      </x:c>
      <x:c r="M46" s="1554" t="n">
        <x:v>80147</x:v>
      </x:c>
      <x:c r="N46" s="1554" t="n">
        <x:v>159022</x:v>
      </x:c>
      <x:c r="O46" s="1554" t="n">
        <x:v>4880570</x:v>
      </x:c>
      <x:c r="P46" s="1554" t="n">
        <x:v>0</x:v>
      </x:c>
      <x:c r="Q46" s="1554" t="n">
        <x:v>0</x:v>
      </x:c>
      <x:c r="R46" s="1555" t="n">
        <x:f>MAX(0,G46-L46-M46-N46-O46+P46)</x:f>
        <x:v>0</x:v>
      </x:c>
      <x:c r="S46" s="1555" t="str">
        <x:f>IF(T46="NET",Q46-R46,"")</x:f>
      </x:c>
      <x:c r="T46" s="1552" t="str">
        <x:v>GROSS</x:v>
      </x:c>
      <x:c r="U46" s="1558" t="n">
        <x:v>7.03</x:v>
      </x:c>
      <x:c r="V46" s="1554" t="n">
        <x:v>18332</x:v>
      </x:c>
      <x:c r="W46" s="1555" t="n">
        <x:f>IF(T46="NET",Q46*U46/100,G46*U46/100)</x:f>
        <x:v>18333.6073</x:v>
      </x:c>
      <x:c r="X46" s="1555" t="n">
        <x:f>V46-W46</x:f>
        <x:v>-1.6072999999996682</x:v>
      </x:c>
      <x:c r="Y46" s="1552" t="str">
        <x:v>POST</x:v>
      </x:c>
      <x:c r="Z46" s="1554" t="n">
        <x:v>5537940</x:v>
      </x:c>
      <x:c r="AA46" s="1155" t="str"/>
      <x:c r="AB46" s="1560" t="n">
        <x:v>5</x:v>
      </x:c>
      <x:c r="AC46" s="1155" t="str">
        <x:v>https://www.alberta.ca/royalty-oil-sands-project-data.aspx?dto=0&amp;dtp=5&amp;dtq=&amp;dts=0</x:v>
      </x:c>
      <x:c r="AD46" s="1559" t="str">
        <x:f>IF(ABS(H46)&lt;=Model_Parameters!$B$7,"PASS","REVIEW")</x:f>
        <x:v>PASS</x:v>
      </x:c>
      <x:c r="AE46" s="1559" t="str">
        <x:f>IF(T46&lt;&gt;"NET","N/A",IF(ABS(S46)&lt;=Model_Parameters!$B$7,"PASS","REVIEW"))</x:f>
        <x:v>N/A</x:v>
      </x:c>
      <x:c r="AF46" s="1559" t="str">
        <x:f>IF(ABS(X46)&lt;=Model_Parameters!$B$7,"WITHIN TOLERANCE","DISPLAY RATE / ADJUSTMENT")</x:f>
        <x:v>WITHIN TOLERANCE</x:v>
      </x:c>
    </x:row>
    <x:row r="47" ht="18" customHeight="1">
      <x:c r="A47" s="1552" t="str">
        <x:v>OSR055</x:v>
      </x:c>
      <x:c r="B47" s="1155" t="str">
        <x:v>Long Lake Project</x:v>
      </x:c>
      <x:c r="C47" s="1155" t="str">
        <x:v>CNOOC PETROLEUM NORTH AMERICA ULC</x:v>
      </x:c>
      <x:c r="D47" s="1553" t="n">
        <x:v>2024</x:v>
      </x:c>
      <x:c r="E47" s="1554" t="n">
        <x:v>2999199881</x:v>
      </x:c>
      <x:c r="F47" s="1554" t="n">
        <x:v>1244263841</x:v>
      </x:c>
      <x:c r="G47" s="1554" t="n">
        <x:v>1754936040</x:v>
      </x:c>
      <x:c r="H47" s="1555" t="n">
        <x:f>E47-F47-G47</x:f>
        <x:v>0</x:v>
      </x:c>
      <x:c r="I47" s="1554" t="n">
        <x:v>26295270</x:v>
      </x:c>
      <x:c r="J47" s="1556" t="n">
        <x:v>66.74</x:v>
      </x:c>
      <x:c r="K47" s="1557" t="n">
        <x:f>IF(I47=0,0,G47/I47)</x:f>
        <x:v>66.73960906277061</x:v>
      </x:c>
      <x:c r="L47" s="1554" t="n">
        <x:v>343047789</x:v>
      </x:c>
      <x:c r="M47" s="1554" t="n">
        <x:v>164848797</x:v>
      </x:c>
      <x:c r="N47" s="1554" t="n">
        <x:v>124240760</x:v>
      </x:c>
      <x:c r="O47" s="1554" t="n">
        <x:v>236596472</x:v>
      </x:c>
      <x:c r="P47" s="1554" t="n">
        <x:v>4871452</x:v>
      </x:c>
      <x:c r="Q47" s="1554" t="n">
        <x:v>0</x:v>
      </x:c>
      <x:c r="R47" s="1555" t="n">
        <x:f>MAX(0,G47-L47-M47-N47-O47+P47)</x:f>
        <x:v>891073674</x:v>
      </x:c>
      <x:c r="S47" s="1555" t="str">
        <x:f>IF(T47="NET",Q47-R47,"")</x:f>
      </x:c>
      <x:c r="T47" s="1552" t="str">
        <x:v>GROSS</x:v>
      </x:c>
      <x:c r="U47" s="1558" t="n">
        <x:v>7.05</x:v>
      </x:c>
      <x:c r="V47" s="1554" t="n">
        <x:v>123673797</x:v>
      </x:c>
      <x:c r="W47" s="1555" t="n">
        <x:f>IF(T47="NET",Q47*U47/100,G47*U47/100)</x:f>
        <x:v>123722990.82</x:v>
      </x:c>
      <x:c r="X47" s="1555" t="n">
        <x:f>V47-W47</x:f>
        <x:v>-49193.81999999285</x:v>
      </x:c>
      <x:c r="Y47" s="1552" t="str">
        <x:v>PRE</x:v>
      </x:c>
      <x:c r="Z47" s="1554" t="n">
        <x:v>3318368514</x:v>
      </x:c>
      <x:c r="AA47" s="1155" t="str"/>
      <x:c r="AB47" s="1560" t="n">
        <x:v>5</x:v>
      </x:c>
      <x:c r="AC47" s="1155" t="str">
        <x:v>https://www.alberta.ca/royalty-oil-sands-project-data.aspx?dto=0&amp;dtp=5&amp;dtq=&amp;dts=0</x:v>
      </x:c>
      <x:c r="AD47" s="1559" t="str">
        <x:f>IF(ABS(H47)&lt;=Model_Parameters!$B$7,"PASS","REVIEW")</x:f>
        <x:v>PASS</x:v>
      </x:c>
      <x:c r="AE47" s="1559" t="str">
        <x:f>IF(T47&lt;&gt;"NET","N/A",IF(ABS(S47)&lt;=Model_Parameters!$B$7,"PASS","REVIEW"))</x:f>
        <x:v>N/A</x:v>
      </x:c>
      <x:c r="AF47" s="1559" t="str">
        <x:f>IF(ABS(X47)&lt;=Model_Parameters!$B$7,"WITHIN TOLERANCE","DISPLAY RATE / ADJUSTMENT")</x:f>
        <x:v>DISPLAY RATE / ADJUSTMENT</x:v>
      </x:c>
    </x:row>
    <x:row r="48" ht="18" customHeight="1">
      <x:c r="A48" s="1552" t="str">
        <x:v>OSR057</x:v>
      </x:c>
      <x:c r="B48" s="1155" t="str">
        <x:v>Dawson Seal</x:v>
      </x:c>
      <x:c r="C48" s="1155" t="str">
        <x:v>OBSIDIAN ENERGY LTD.</x:v>
      </x:c>
      <x:c r="D48" s="1553" t="n">
        <x:v>2024</x:v>
      </x:c>
      <x:c r="E48" s="1554" t="n">
        <x:v>48726391</x:v>
      </x:c>
      <x:c r="F48" s="1554" t="n">
        <x:v>28361375</x:v>
      </x:c>
      <x:c r="G48" s="1554" t="n">
        <x:v>20366101</x:v>
      </x:c>
      <x:c r="H48" s="1555" t="n">
        <x:f>E48-F48-G48</x:f>
        <x:v>-1085</x:v>
      </x:c>
      <x:c r="I48" s="1554" t="n">
        <x:v>321639</x:v>
      </x:c>
      <x:c r="J48" s="1556" t="n">
        <x:v>63.32</x:v>
      </x:c>
      <x:c r="K48" s="1557" t="n">
        <x:f>IF(I48=0,0,G48/I48)</x:f>
        <x:v>63.31974978158743</x:v>
      </x:c>
      <x:c r="L48" s="1554" t="n">
        <x:v>4662553</x:v>
      </x:c>
      <x:c r="M48" s="1554" t="n">
        <x:v>2593357</x:v>
      </x:c>
      <x:c r="N48" s="1554" t="n">
        <x:v>5946987</x:v>
      </x:c>
      <x:c r="O48" s="1554" t="n">
        <x:v>1455287</x:v>
      </x:c>
      <x:c r="P48" s="1554" t="n">
        <x:v>472494</x:v>
      </x:c>
      <x:c r="Q48" s="1554" t="n">
        <x:v>0</x:v>
      </x:c>
      <x:c r="R48" s="1555" t="n">
        <x:f>MAX(0,G48-L48-M48-N48-O48+P48)</x:f>
        <x:v>6180411</x:v>
      </x:c>
      <x:c r="S48" s="1555" t="str">
        <x:f>IF(T48="NET",Q48-R48,"")</x:f>
      </x:c>
      <x:c r="T48" s="1552" t="str">
        <x:v>GROSS</x:v>
      </x:c>
      <x:c r="U48" s="1558" t="n">
        <x:v>7.15</x:v>
      </x:c>
      <x:c r="V48" s="1554" t="n">
        <x:v>1455287</x:v>
      </x:c>
      <x:c r="W48" s="1555" t="n">
        <x:f>IF(T48="NET",Q48*U48/100,G48*U48/100)</x:f>
        <x:v>1456176.2215</x:v>
      </x:c>
      <x:c r="X48" s="1555" t="n">
        <x:f>V48-W48</x:f>
        <x:v>-889.2214999999851</x:v>
      </x:c>
      <x:c r="Y48" s="1552" t="str">
        <x:v>PRE</x:v>
      </x:c>
      <x:c r="Z48" s="1554" t="n">
        <x:v>178643149</x:v>
      </x:c>
      <x:c r="AA48" s="1155" t="str"/>
      <x:c r="AB48" s="1560" t="n">
        <x:v>5</x:v>
      </x:c>
      <x:c r="AC48" s="1155" t="str">
        <x:v>https://www.alberta.ca/royalty-oil-sands-project-data.aspx?dto=0&amp;dtp=5&amp;dtq=&amp;dts=0</x:v>
      </x:c>
      <x:c r="AD48" s="1559" t="str">
        <x:f>IF(ABS(H48)&lt;=Model_Parameters!$B$7,"PASS","REVIEW")</x:f>
        <x:v>REVIEW</x:v>
      </x:c>
      <x:c r="AE48" s="1559" t="str">
        <x:f>IF(T48&lt;&gt;"NET","N/A",IF(ABS(S48)&lt;=Model_Parameters!$B$7,"PASS","REVIEW"))</x:f>
        <x:v>N/A</x:v>
      </x:c>
      <x:c r="AF48" s="1559" t="str">
        <x:f>IF(ABS(X48)&lt;=Model_Parameters!$B$7,"WITHIN TOLERANCE","DISPLAY RATE / ADJUSTMENT")</x:f>
        <x:v>WITHIN TOLERANCE</x:v>
      </x:c>
    </x:row>
    <x:row r="49" ht="18" customHeight="1">
      <x:c r="A49" s="1552" t="str">
        <x:v>OSR058</x:v>
      </x:c>
      <x:c r="B49" s="1155" t="str">
        <x:v>Lindbergh Louis</x:v>
      </x:c>
      <x:c r="C49" s="1155" t="str">
        <x:v>GEAR ENERGY LTD.</x:v>
      </x:c>
      <x:c r="D49" s="1553" t="n">
        <x:v>2024</x:v>
      </x:c>
      <x:c r="E49" s="1554" t="n">
        <x:v>541650</x:v>
      </x:c>
      <x:c r="F49" s="1554" t="n">
        <x:v>0</x:v>
      </x:c>
      <x:c r="G49" s="1554" t="n">
        <x:v>541650</x:v>
      </x:c>
      <x:c r="H49" s="1555" t="n">
        <x:f>E49-F49-G49</x:f>
        <x:v>0</x:v>
      </x:c>
      <x:c r="I49" s="1554" t="n">
        <x:v>7348</x:v>
      </x:c>
      <x:c r="J49" s="1556" t="n">
        <x:v>73.72</x:v>
      </x:c>
      <x:c r="K49" s="1557" t="n">
        <x:f>IF(I49=0,0,G49/I49)</x:f>
        <x:v>73.71393576483396</x:v>
      </x:c>
      <x:c r="L49" s="1554" t="n">
        <x:v>307030</x:v>
      </x:c>
      <x:c r="M49" s="1554" t="n">
        <x:v>85127</x:v>
      </x:c>
      <x:c r="N49" s="1554" t="n">
        <x:v>0</x:v>
      </x:c>
      <x:c r="O49" s="1554" t="n">
        <x:v>0</x:v>
      </x:c>
      <x:c r="P49" s="1554" t="n">
        <x:v>0</x:v>
      </x:c>
      <x:c r="Q49" s="1554" t="n">
        <x:v>149493</x:v>
      </x:c>
      <x:c r="R49" s="1555" t="n">
        <x:f>MAX(0,G49-L49-M49-N49-O49+P49)</x:f>
        <x:v>149493</x:v>
      </x:c>
      <x:c r="S49" s="1555" t="n">
        <x:f>IF(T49="NET",Q49-R49,"")</x:f>
        <x:v>0</x:v>
      </x:c>
      <x:c r="T49" s="1552" t="str">
        <x:v>NET</x:v>
      </x:c>
      <x:c r="U49" s="1558" t="n">
        <x:v>36.31</x:v>
      </x:c>
      <x:c r="V49" s="1554" t="n">
        <x:v>54274</x:v>
      </x:c>
      <x:c r="W49" s="1555" t="n">
        <x:f>IF(T49="NET",Q49*U49/100,G49*U49/100)</x:f>
        <x:v>54280.9083</x:v>
      </x:c>
      <x:c r="X49" s="1555" t="n">
        <x:f>V49-W49</x:f>
        <x:v>-6.908300000002782</x:v>
      </x:c>
      <x:c r="Y49" s="1552" t="str">
        <x:v>POST</x:v>
      </x:c>
      <x:c r="Z49" s="1554" t="n">
        <x:v>0</x:v>
      </x:c>
      <x:c r="AA49" s="1155" t="str"/>
      <x:c r="AB49" s="1560" t="n">
        <x:v>5</x:v>
      </x:c>
      <x:c r="AC49" s="1155" t="str">
        <x:v>https://www.alberta.ca/royalty-oil-sands-project-data.aspx?dto=0&amp;dtp=5&amp;dtq=&amp;dts=0</x:v>
      </x:c>
      <x:c r="AD49" s="1559" t="str">
        <x:f>IF(ABS(H49)&lt;=Model_Parameters!$B$7,"PASS","REVIEW")</x:f>
        <x:v>PASS</x:v>
      </x:c>
      <x:c r="AE49" s="1559" t="str">
        <x:f>IF(T49&lt;&gt;"NET","N/A",IF(ABS(S49)&lt;=Model_Parameters!$B$7,"PASS","REVIEW"))</x:f>
        <x:v>PASS</x:v>
      </x:c>
      <x:c r="AF49" s="1559" t="str">
        <x:f>IF(ABS(X49)&lt;=Model_Parameters!$B$7,"WITHIN TOLERANCE","DISPLAY RATE / ADJUSTMENT")</x:f>
        <x:v>WITHIN TOLERANCE</x:v>
      </x:c>
    </x:row>
    <x:row r="50" ht="18" customHeight="1">
      <x:c r="A50" s="1552" t="str">
        <x:v>OSR059</x:v>
      </x:c>
      <x:c r="B50" s="1155" t="str">
        <x:v>Surmont Project</x:v>
      </x:c>
      <x:c r="C50" s="1155" t="str">
        <x:v>CONOCOPHILLIPS CANADA RESOURCES CORP.</x:v>
      </x:c>
      <x:c r="D50" s="1553" t="n">
        <x:v>2024</x:v>
      </x:c>
      <x:c r="E50" s="1554" t="n">
        <x:v>5554135327</x:v>
      </x:c>
      <x:c r="F50" s="1554" t="n">
        <x:v>2255084697</x:v>
      </x:c>
      <x:c r="G50" s="1554" t="n">
        <x:v>3299050630</x:v>
      </x:c>
      <x:c r="H50" s="1555" t="n">
        <x:f>E50-F50-G50</x:f>
        <x:v>0</x:v>
      </x:c>
      <x:c r="I50" s="1554" t="n">
        <x:v>47424118</x:v>
      </x:c>
      <x:c r="J50" s="1556" t="n">
        <x:v>69.56</x:v>
      </x:c>
      <x:c r="K50" s="1557" t="n">
        <x:f>IF(I50=0,0,G50/I50)</x:f>
        <x:v>69.56482838542195</x:v>
      </x:c>
      <x:c r="L50" s="1554" t="n">
        <x:v>607314897</x:v>
      </x:c>
      <x:c r="M50" s="1554" t="n">
        <x:v>136294694</x:v>
      </x:c>
      <x:c r="N50" s="1554" t="n">
        <x:v>81989520</x:v>
      </x:c>
      <x:c r="O50" s="1554" t="n">
        <x:v>233485658</x:v>
      </x:c>
      <x:c r="P50" s="1554" t="n">
        <x:v>3236383</x:v>
      </x:c>
      <x:c r="Q50" s="1554" t="n">
        <x:v>0</x:v>
      </x:c>
      <x:c r="R50" s="1555" t="n">
        <x:f>MAX(0,G50-L50-M50-N50-O50+P50)</x:f>
        <x:v>2243202244</x:v>
      </x:c>
      <x:c r="S50" s="1555" t="str">
        <x:f>IF(T50="NET",Q50-R50,"")</x:f>
      </x:c>
      <x:c r="T50" s="1552" t="str">
        <x:v>GROSS</x:v>
      </x:c>
      <x:c r="U50" s="1558" t="n">
        <x:v>7.08</x:v>
      </x:c>
      <x:c r="V50" s="1554" t="n">
        <x:v>233485658</x:v>
      </x:c>
      <x:c r="W50" s="1555" t="n">
        <x:f>IF(T50="NET",Q50*U50/100,G50*U50/100)</x:f>
        <x:v>233572784.604</x:v>
      </x:c>
      <x:c r="X50" s="1555" t="n">
        <x:f>V50-W50</x:f>
        <x:v>-87126.60400000215</x:v>
      </x:c>
      <x:c r="Y50" s="1552" t="str">
        <x:v>PRE</x:v>
      </x:c>
      <x:c r="Z50" s="1554" t="n">
        <x:v>1355405889</x:v>
      </x:c>
      <x:c r="AA50" s="1155" t="str"/>
      <x:c r="AB50" s="1560" t="n">
        <x:v>5</x:v>
      </x:c>
      <x:c r="AC50" s="1155" t="str">
        <x:v>https://www.alberta.ca/royalty-oil-sands-project-data.aspx?dto=0&amp;dtp=5&amp;dtq=&amp;dts=0</x:v>
      </x:c>
      <x:c r="AD50" s="1559" t="str">
        <x:f>IF(ABS(H50)&lt;=Model_Parameters!$B$7,"PASS","REVIEW")</x:f>
        <x:v>PASS</x:v>
      </x:c>
      <x:c r="AE50" s="1559" t="str">
        <x:f>IF(T50&lt;&gt;"NET","N/A",IF(ABS(S50)&lt;=Model_Parameters!$B$7,"PASS","REVIEW"))</x:f>
        <x:v>N/A</x:v>
      </x:c>
      <x:c r="AF50" s="1559" t="str">
        <x:f>IF(ABS(X50)&lt;=Model_Parameters!$B$7,"WITHIN TOLERANCE","DISPLAY RATE / ADJUSTMENT")</x:f>
        <x:v>DISPLAY RATE / ADJUSTMENT</x:v>
      </x:c>
    </x:row>
    <x:row r="51" ht="18" customHeight="1">
      <x:c r="A51" s="1552" t="str">
        <x:v>OSR060</x:v>
      </x:c>
      <x:c r="B51" s="1155" t="str">
        <x:v>Horizon Mine</x:v>
      </x:c>
      <x:c r="C51" s="1155" t="str">
        <x:v>CANADIAN NATURAL RESOURCES LIMITED</x:v>
      </x:c>
      <x:c r="D51" s="1553" t="n">
        <x:v>2024</x:v>
      </x:c>
      <x:c r="E51" s="1554" t="n">
        <x:v>7333812025</x:v>
      </x:c>
      <x:c r="F51" s="1554" t="n">
        <x:v>0</x:v>
      </x:c>
      <x:c r="G51" s="1554" t="n">
        <x:v>7333812025</x:v>
      </x:c>
      <x:c r="H51" s="1555" t="n">
        <x:f>E51-F51-G51</x:f>
        <x:v>0</x:v>
      </x:c>
      <x:c r="I51" s="1554" t="n">
        <x:v>103329240</x:v>
      </x:c>
      <x:c r="J51" s="1556" t="n">
        <x:v>70.98</x:v>
      </x:c>
      <x:c r="K51" s="1557" t="n">
        <x:f>IF(I51=0,0,G51/I51)</x:f>
        <x:v>70.97518596865709</x:v>
      </x:c>
      <x:c r="L51" s="1554" t="n">
        <x:v>2219050282</x:v>
      </x:c>
      <x:c r="M51" s="1554" t="n">
        <x:v>934806334</x:v>
      </x:c>
      <x:c r="N51" s="1554" t="n">
        <x:v>0</x:v>
      </x:c>
      <x:c r="O51" s="1554" t="n">
        <x:v>0</x:v>
      </x:c>
      <x:c r="P51" s="1554" t="n">
        <x:v>21932289</x:v>
      </x:c>
      <x:c r="Q51" s="1554" t="n">
        <x:v>4201887698</x:v>
      </x:c>
      <x:c r="R51" s="1555" t="n">
        <x:f>MAX(0,G51-L51-M51-N51-O51+P51)</x:f>
        <x:v>4201887698</x:v>
      </x:c>
      <x:c r="S51" s="1555" t="n">
        <x:f>IF(T51="NET",Q51-R51,"")</x:f>
        <x:v>0</x:v>
      </x:c>
      <x:c r="T51" s="1552" t="str">
        <x:v>NET</x:v>
      </x:c>
      <x:c r="U51" s="1558" t="n">
        <x:v>36.31</x:v>
      </x:c>
      <x:c r="V51" s="1554" t="n">
        <x:v>1525511296</x:v>
      </x:c>
      <x:c r="W51" s="1555" t="n">
        <x:f>IF(T51="NET",Q51*U51/100,G51*U51/100)</x:f>
        <x:v>1525705423.1438</x:v>
      </x:c>
      <x:c r="X51" s="1555" t="n">
        <x:f>V51-W51</x:f>
        <x:v>-194127.14380002022</x:v>
      </x:c>
      <x:c r="Y51" s="1552" t="str">
        <x:v>POST</x:v>
      </x:c>
      <x:c r="Z51" s="1554" t="n">
        <x:v>0</x:v>
      </x:c>
      <x:c r="AA51" s="1155" t="str">
        <x:v>Project is subject to the Bitumen Valuation Methodology (BVM) in one or more production months.</x:v>
      </x:c>
      <x:c r="AB51" s="1560" t="n">
        <x:v>5</x:v>
      </x:c>
      <x:c r="AC51" s="1155" t="str">
        <x:v>https://www.alberta.ca/royalty-oil-sands-project-data.aspx?dto=0&amp;dtp=5&amp;dtq=&amp;dts=0</x:v>
      </x:c>
      <x:c r="AD51" s="1559" t="str">
        <x:f>IF(ABS(H51)&lt;=Model_Parameters!$B$7,"PASS","REVIEW")</x:f>
        <x:v>PASS</x:v>
      </x:c>
      <x:c r="AE51" s="1559" t="str">
        <x:f>IF(T51&lt;&gt;"NET","N/A",IF(ABS(S51)&lt;=Model_Parameters!$B$7,"PASS","REVIEW"))</x:f>
        <x:v>PASS</x:v>
      </x:c>
      <x:c r="AF51" s="1559" t="str">
        <x:f>IF(ABS(X51)&lt;=Model_Parameters!$B$7,"WITHIN TOLERANCE","DISPLAY RATE / ADJUSTMENT")</x:f>
        <x:v>DISPLAY RATE / ADJUSTMENT</x:v>
      </x:c>
    </x:row>
    <x:row r="52" ht="18" customHeight="1">
      <x:c r="A52" s="1552" t="str">
        <x:v>OSR061</x:v>
      </x:c>
      <x:c r="B52" s="1155" t="str">
        <x:v>North Pelican Lake</x:v>
      </x:c>
      <x:c r="C52" s="1155" t="str">
        <x:v>CANADIAN NATURAL RESOURCES LIMITED</x:v>
      </x:c>
      <x:c r="D52" s="1553" t="n">
        <x:v>2024</x:v>
      </x:c>
      <x:c r="E52" s="1554" t="n">
        <x:v>473720866</x:v>
      </x:c>
      <x:c r="F52" s="1554" t="n">
        <x:v>50843000</x:v>
      </x:c>
      <x:c r="G52" s="1554" t="n">
        <x:v>422877866</x:v>
      </x:c>
      <x:c r="H52" s="1555" t="n">
        <x:f>E52-F52-G52</x:f>
        <x:v>0</x:v>
      </x:c>
      <x:c r="I52" s="1554" t="n">
        <x:v>5334635</x:v>
      </x:c>
      <x:c r="J52" s="1556" t="n">
        <x:v>79.27</x:v>
      </x:c>
      <x:c r="K52" s="1557" t="n">
        <x:f>IF(I52=0,0,G52/I52)</x:f>
        <x:v>79.27025297888234</x:v>
      </x:c>
      <x:c r="L52" s="1554" t="n">
        <x:v>59949159</x:v>
      </x:c>
      <x:c r="M52" s="1554" t="n">
        <x:v>90133454</x:v>
      </x:c>
      <x:c r="N52" s="1554" t="n">
        <x:v>0</x:v>
      </x:c>
      <x:c r="O52" s="1554" t="n">
        <x:v>0</x:v>
      </x:c>
      <x:c r="P52" s="1554" t="n">
        <x:v>4902566</x:v>
      </x:c>
      <x:c r="Q52" s="1554" t="n">
        <x:v>277697819</x:v>
      </x:c>
      <x:c r="R52" s="1555" t="n">
        <x:f>MAX(0,G52-L52-M52-N52-O52+P52)</x:f>
        <x:v>277697819</x:v>
      </x:c>
      <x:c r="S52" s="1555" t="n">
        <x:f>IF(T52="NET",Q52-R52,"")</x:f>
        <x:v>0</x:v>
      </x:c>
      <x:c r="T52" s="1552" t="str">
        <x:v>NET</x:v>
      </x:c>
      <x:c r="U52" s="1558" t="n">
        <x:v>36.31</x:v>
      </x:c>
      <x:c r="V52" s="1554" t="n">
        <x:v>100819248</x:v>
      </x:c>
      <x:c r="W52" s="1555" t="n">
        <x:f>IF(T52="NET",Q52*U52/100,G52*U52/100)</x:f>
        <x:v>100832078.07890001</x:v>
      </x:c>
      <x:c r="X52" s="1555" t="n">
        <x:f>V52-W52</x:f>
        <x:v>-12830.078900009394</x:v>
      </x:c>
      <x:c r="Y52" s="1552" t="str">
        <x:v>POST</x:v>
      </x:c>
      <x:c r="Z52" s="1554" t="n">
        <x:v>0</x:v>
      </x:c>
      <x:c r="AA52" s="1155" t="str"/>
      <x:c r="AB52" s="1560" t="n">
        <x:v>5</x:v>
      </x:c>
      <x:c r="AC52" s="1155" t="str">
        <x:v>https://www.alberta.ca/royalty-oil-sands-project-data.aspx?dto=0&amp;dtp=5&amp;dtq=&amp;dts=0</x:v>
      </x:c>
      <x:c r="AD52" s="1559" t="str">
        <x:f>IF(ABS(H52)&lt;=Model_Parameters!$B$7,"PASS","REVIEW")</x:f>
        <x:v>PASS</x:v>
      </x:c>
      <x:c r="AE52" s="1559" t="str">
        <x:f>IF(T52&lt;&gt;"NET","N/A",IF(ABS(S52)&lt;=Model_Parameters!$B$7,"PASS","REVIEW"))</x:f>
        <x:v>PASS</x:v>
      </x:c>
      <x:c r="AF52" s="1559" t="str">
        <x:f>IF(ABS(X52)&lt;=Model_Parameters!$B$7,"WITHIN TOLERANCE","DISPLAY RATE / ADJUSTMENT")</x:f>
        <x:v>DISPLAY RATE / ADJUSTMENT</x:v>
      </x:c>
    </x:row>
    <x:row r="53" ht="18" customHeight="1">
      <x:c r="A53" s="1552" t="str">
        <x:v>OSR064</x:v>
      </x:c>
      <x:c r="B53" s="1155" t="str">
        <x:v>Burnt Lake</x:v>
      </x:c>
      <x:c r="C53" s="1155" t="str">
        <x:v>CANADIAN NATURAL RESOURCES LIMITED</x:v>
      </x:c>
      <x:c r="D53" s="1553" t="n">
        <x:v>2024</x:v>
      </x:c>
      <x:c r="E53" s="1554" t="n">
        <x:v>2817005</x:v>
      </x:c>
      <x:c r="F53" s="1554" t="n">
        <x:v>822229</x:v>
      </x:c>
      <x:c r="G53" s="1554" t="n">
        <x:v>1994775</x:v>
      </x:c>
      <x:c r="H53" s="1555" t="n">
        <x:f>E53-F53-G53</x:f>
        <x:v>1</x:v>
      </x:c>
      <x:c r="I53" s="1554" t="n">
        <x:v>26135</x:v>
      </x:c>
      <x:c r="J53" s="1556" t="n">
        <x:v>76.33</x:v>
      </x:c>
      <x:c r="K53" s="1557" t="n">
        <x:f>IF(I53=0,0,G53/I53)</x:f>
        <x:v>76.3258083030419</x:v>
      </x:c>
      <x:c r="L53" s="1554" t="n">
        <x:v>1632642</x:v>
      </x:c>
      <x:c r="M53" s="1554" t="n">
        <x:v>1298764</x:v>
      </x:c>
      <x:c r="N53" s="1554" t="n">
        <x:v>899725</x:v>
      </x:c>
      <x:c r="O53" s="1554" t="n">
        <x:v>141500</x:v>
      </x:c>
      <x:c r="P53" s="1554" t="n">
        <x:v>0</x:v>
      </x:c>
      <x:c r="Q53" s="1554" t="n">
        <x:v>0</x:v>
      </x:c>
      <x:c r="R53" s="1555" t="n">
        <x:f>MAX(0,G53-L53-M53-N53-O53+P53)</x:f>
        <x:v>0</x:v>
      </x:c>
      <x:c r="S53" s="1555" t="str">
        <x:f>IF(T53="NET",Q53-R53,"")</x:f>
      </x:c>
      <x:c r="T53" s="1552" t="str">
        <x:v>GROSS</x:v>
      </x:c>
      <x:c r="U53" s="1558" t="n">
        <x:v>7.09</x:v>
      </x:c>
      <x:c r="V53" s="1554" t="n">
        <x:v>141500</x:v>
      </x:c>
      <x:c r="W53" s="1555" t="n">
        <x:f>IF(T53="NET",Q53*U53/100,G53*U53/100)</x:f>
        <x:v>141429.5475</x:v>
      </x:c>
      <x:c r="X53" s="1555" t="n">
        <x:f>V53-W53</x:f>
        <x:v>70.45250000001397</x:v>
      </x:c>
      <x:c r="Y53" s="1552" t="str">
        <x:v>PRE</x:v>
      </x:c>
      <x:c r="Z53" s="1554" t="n">
        <x:v>28584446</x:v>
      </x:c>
      <x:c r="AA53" s="1155" t="str"/>
      <x:c r="AB53" s="1560" t="n">
        <x:v>5</x:v>
      </x:c>
      <x:c r="AC53" s="1155" t="str">
        <x:v>https://www.alberta.ca/royalty-oil-sands-project-data.aspx?dto=0&amp;dtp=5&amp;dtq=&amp;dts=0</x:v>
      </x:c>
      <x:c r="AD53" s="1559" t="str">
        <x:f>IF(ABS(H53)&lt;=Model_Parameters!$B$7,"PASS","REVIEW")</x:f>
        <x:v>PASS</x:v>
      </x:c>
      <x:c r="AE53" s="1559" t="str">
        <x:f>IF(T53&lt;&gt;"NET","N/A",IF(ABS(S53)&lt;=Model_Parameters!$B$7,"PASS","REVIEW"))</x:f>
        <x:v>N/A</x:v>
      </x:c>
      <x:c r="AF53" s="1559" t="str">
        <x:f>IF(ABS(X53)&lt;=Model_Parameters!$B$7,"WITHIN TOLERANCE","DISPLAY RATE / ADJUSTMENT")</x:f>
        <x:v>WITHIN TOLERANCE</x:v>
      </x:c>
    </x:row>
    <x:row r="54" ht="18" customHeight="1">
      <x:c r="A54" s="1552" t="str">
        <x:v>OSR067</x:v>
      </x:c>
      <x:c r="B54" s="1155" t="str">
        <x:v>Alberta Reita Lake II</x:v>
      </x:c>
      <x:c r="C54" s="1155" t="str">
        <x:v>CANADIAN NATURAL RESOURCES LIMITED</x:v>
      </x:c>
      <x:c r="D54" s="1553" t="n">
        <x:v>2024</x:v>
      </x:c>
      <x:c r="E54" s="1554" t="n">
        <x:v>77504884</x:v>
      </x:c>
      <x:c r="F54" s="1554" t="n">
        <x:v>13681172</x:v>
      </x:c>
      <x:c r="G54" s="1554" t="n">
        <x:v>63823712</x:v>
      </x:c>
      <x:c r="H54" s="1555" t="n">
        <x:f>E54-F54-G54</x:f>
        <x:v>0</x:v>
      </x:c>
      <x:c r="I54" s="1554" t="n">
        <x:v>817727</x:v>
      </x:c>
      <x:c r="J54" s="1556" t="n">
        <x:v>78.05</x:v>
      </x:c>
      <x:c r="K54" s="1557" t="n">
        <x:f>IF(I54=0,0,G54/I54)</x:f>
        <x:v>78.05014632022667</x:v>
      </x:c>
      <x:c r="L54" s="1554" t="n">
        <x:v>12295561</x:v>
      </x:c>
      <x:c r="M54" s="1554" t="n">
        <x:v>18054834</x:v>
      </x:c>
      <x:c r="N54" s="1554" t="n">
        <x:v>0</x:v>
      </x:c>
      <x:c r="O54" s="1554" t="n">
        <x:v>0</x:v>
      </x:c>
      <x:c r="P54" s="1554" t="n">
        <x:v>656747</x:v>
      </x:c>
      <x:c r="Q54" s="1554" t="n">
        <x:v>34130064</x:v>
      </x:c>
      <x:c r="R54" s="1555" t="n">
        <x:f>MAX(0,G54-L54-M54-N54-O54+P54)</x:f>
        <x:v>34130064</x:v>
      </x:c>
      <x:c r="S54" s="1555" t="n">
        <x:f>IF(T54="NET",Q54-R54,"")</x:f>
        <x:v>0</x:v>
      </x:c>
      <x:c r="T54" s="1552" t="str">
        <x:v>NET</x:v>
      </x:c>
      <x:c r="U54" s="1558" t="n">
        <x:v>36.31</x:v>
      </x:c>
      <x:c r="V54" s="1554" t="n">
        <x:v>12391049</x:v>
      </x:c>
      <x:c r="W54" s="1555" t="n">
        <x:f>IF(T54="NET",Q54*U54/100,G54*U54/100)</x:f>
        <x:v>12392626.238400001</x:v>
      </x:c>
      <x:c r="X54" s="1555" t="n">
        <x:f>V54-W54</x:f>
        <x:v>-1577.2384000010788</x:v>
      </x:c>
      <x:c r="Y54" s="1552" t="str">
        <x:v>POST</x:v>
      </x:c>
      <x:c r="Z54" s="1554" t="n">
        <x:v>0</x:v>
      </x:c>
      <x:c r="AA54" s="1155" t="str"/>
      <x:c r="AB54" s="1560" t="n">
        <x:v>6</x:v>
      </x:c>
      <x:c r="AC54" s="1155" t="str">
        <x:v>https://www.alberta.ca/royalty-oil-sands-project-data.aspx?dto=0&amp;dtp=6&amp;dtq=&amp;dts=0</x:v>
      </x:c>
      <x:c r="AD54" s="1559" t="str">
        <x:f>IF(ABS(H54)&lt;=Model_Parameters!$B$7,"PASS","REVIEW")</x:f>
        <x:v>PASS</x:v>
      </x:c>
      <x:c r="AE54" s="1559" t="str">
        <x:f>IF(T54&lt;&gt;"NET","N/A",IF(ABS(S54)&lt;=Model_Parameters!$B$7,"PASS","REVIEW"))</x:f>
        <x:v>PASS</x:v>
      </x:c>
      <x:c r="AF54" s="1559" t="str">
        <x:f>IF(ABS(X54)&lt;=Model_Parameters!$B$7,"WITHIN TOLERANCE","DISPLAY RATE / ADJUSTMENT")</x:f>
        <x:v>DISPLAY RATE / ADJUSTMENT</x:v>
      </x:c>
    </x:row>
    <x:row r="55" ht="18" customHeight="1">
      <x:c r="A55" s="1552" t="str">
        <x:v>OSR068</x:v>
      </x:c>
      <x:c r="B55" s="1155" t="str">
        <x:v>Reita Lake (Baytex)</x:v>
      </x:c>
      <x:c r="C55" s="1155" t="str">
        <x:v>BAYTEX ENERGY LTD.</x:v>
      </x:c>
      <x:c r="D55" s="1553" t="n">
        <x:v>2024</x:v>
      </x:c>
      <x:c r="E55" s="1554" t="n">
        <x:v>40273985</x:v>
      </x:c>
      <x:c r="F55" s="1554" t="n">
        <x:v>0</x:v>
      </x:c>
      <x:c r="G55" s="1554" t="n">
        <x:v>40273985</x:v>
      </x:c>
      <x:c r="H55" s="1555" t="n">
        <x:f>E55-F55-G55</x:f>
        <x:v>0</x:v>
      </x:c>
      <x:c r="I55" s="1554" t="n">
        <x:v>554658</x:v>
      </x:c>
      <x:c r="J55" s="1556" t="n">
        <x:v>72.61</x:v>
      </x:c>
      <x:c r="K55" s="1557" t="n">
        <x:f>IF(I55=0,0,G55/I55)</x:f>
        <x:v>72.61048249551976</x:v>
      </x:c>
      <x:c r="L55" s="1554" t="n">
        <x:v>10601641</x:v>
      </x:c>
      <x:c r="M55" s="1554" t="n">
        <x:v>17291974</x:v>
      </x:c>
      <x:c r="N55" s="1554" t="n">
        <x:v>0</x:v>
      </x:c>
      <x:c r="O55" s="1554" t="n">
        <x:v>435839</x:v>
      </x:c>
      <x:c r="P55" s="1554" t="n">
        <x:v>0</x:v>
      </x:c>
      <x:c r="Q55" s="1554" t="n">
        <x:v>11944531</x:v>
      </x:c>
      <x:c r="R55" s="1555" t="n">
        <x:f>MAX(0,G55-L55-M55-N55-O55+P55)</x:f>
        <x:v>11944531</x:v>
      </x:c>
      <x:c r="S55" s="1555" t="n">
        <x:f>IF(T55="NET",Q55-R55,"")</x:f>
        <x:v>0</x:v>
      </x:c>
      <x:c r="T55" s="1552" t="str">
        <x:v>NET</x:v>
      </x:c>
      <x:c r="U55" s="1558" t="n">
        <x:v>36.31</x:v>
      </x:c>
      <x:c r="V55" s="1554" t="n">
        <x:v>4336507</x:v>
      </x:c>
      <x:c r="W55" s="1555" t="n">
        <x:f>IF(T55="NET",Q55*U55/100,G55*U55/100)</x:f>
        <x:v>4337059.2061</x:v>
      </x:c>
      <x:c r="X55" s="1555" t="n">
        <x:f>V55-W55</x:f>
        <x:v>-552.2061000000685</x:v>
      </x:c>
      <x:c r="Y55" s="1552" t="str">
        <x:v>POST</x:v>
      </x:c>
      <x:c r="Z55" s="1554" t="n">
        <x:v>0</x:v>
      </x:c>
      <x:c r="AA55" s="1155" t="str"/>
      <x:c r="AB55" s="1560" t="n">
        <x:v>6</x:v>
      </x:c>
      <x:c r="AC55" s="1155" t="str">
        <x:v>https://www.alberta.ca/royalty-oil-sands-project-data.aspx?dto=0&amp;dtp=6&amp;dtq=&amp;dts=0</x:v>
      </x:c>
      <x:c r="AD55" s="1559" t="str">
        <x:f>IF(ABS(H55)&lt;=Model_Parameters!$B$7,"PASS","REVIEW")</x:f>
        <x:v>PASS</x:v>
      </x:c>
      <x:c r="AE55" s="1559" t="str">
        <x:f>IF(T55&lt;&gt;"NET","N/A",IF(ABS(S55)&lt;=Model_Parameters!$B$7,"PASS","REVIEW"))</x:f>
        <x:v>PASS</x:v>
      </x:c>
      <x:c r="AF55" s="1559" t="str">
        <x:f>IF(ABS(X55)&lt;=Model_Parameters!$B$7,"WITHIN TOLERANCE","DISPLAY RATE / ADJUSTMENT")</x:f>
        <x:v>WITHIN TOLERANCE</x:v>
      </x:c>
    </x:row>
    <x:row r="56" ht="18" customHeight="1">
      <x:c r="A56" s="1552" t="str">
        <x:v>OSR069</x:v>
      </x:c>
      <x:c r="B56" s="1155" t="str">
        <x:v>Orion EOR</x:v>
      </x:c>
      <x:c r="C56" s="1155" t="str">
        <x:v>STRATHCONA RESOURCES LTD.</x:v>
      </x:c>
      <x:c r="D56" s="1553" t="n">
        <x:v>2024</x:v>
      </x:c>
      <x:c r="E56" s="1554" t="n">
        <x:v>847598550</x:v>
      </x:c>
      <x:c r="F56" s="1554" t="n">
        <x:v>274959946</x:v>
      </x:c>
      <x:c r="G56" s="1554" t="n">
        <x:v>572638604</x:v>
      </x:c>
      <x:c r="H56" s="1555" t="n">
        <x:f>E56-F56-G56</x:f>
        <x:v>0</x:v>
      </x:c>
      <x:c r="I56" s="1554" t="n">
        <x:v>7538554</x:v>
      </x:c>
      <x:c r="J56" s="1556" t="n">
        <x:v>75.96</x:v>
      </x:c>
      <x:c r="K56" s="1557" t="n">
        <x:f>IF(I56=0,0,G56/I56)</x:f>
        <x:v>75.9613321069266</x:v>
      </x:c>
      <x:c r="L56" s="1554" t="n">
        <x:v>108051898</x:v>
      </x:c>
      <x:c r="M56" s="1554" t="n">
        <x:v>103106174</x:v>
      </x:c>
      <x:c r="N56" s="1554" t="n">
        <x:v>0</x:v>
      </x:c>
      <x:c r="O56" s="1554" t="n">
        <x:v>30218908</x:v>
      </x:c>
      <x:c r="P56" s="1554" t="n">
        <x:v>4248182</x:v>
      </x:c>
      <x:c r="Q56" s="1554" t="n">
        <x:v>335509806</x:v>
      </x:c>
      <x:c r="R56" s="1555" t="n">
        <x:f>MAX(0,G56-L56-M56-N56-O56+P56)</x:f>
        <x:v>335509806</x:v>
      </x:c>
      <x:c r="S56" s="1555" t="n">
        <x:f>IF(T56="NET",Q56-R56,"")</x:f>
        <x:v>0</x:v>
      </x:c>
      <x:c r="T56" s="1552" t="str">
        <x:v>NET</x:v>
      </x:c>
      <x:c r="U56" s="1558" t="n">
        <x:v>36.31</x:v>
      </x:c>
      <x:c r="V56" s="1554" t="n">
        <x:v>121808110</x:v>
      </x:c>
      <x:c r="W56" s="1555" t="n">
        <x:f>IF(T56="NET",Q56*U56/100,G56*U56/100)</x:f>
        <x:v>121823610.55860001</x:v>
      </x:c>
      <x:c r="X56" s="1555" t="n">
        <x:f>V56-W56</x:f>
        <x:v>-15500.558600008488</x:v>
      </x:c>
      <x:c r="Y56" s="1552" t="str">
        <x:v>POST</x:v>
      </x:c>
      <x:c r="Z56" s="1554" t="n">
        <x:v>0</x:v>
      </x:c>
      <x:c r="AA56" s="1155" t="str"/>
      <x:c r="AB56" s="1560" t="n">
        <x:v>6</x:v>
      </x:c>
      <x:c r="AC56" s="1155" t="str">
        <x:v>https://www.alberta.ca/royalty-oil-sands-project-data.aspx?dto=0&amp;dtp=6&amp;dtq=&amp;dts=0</x:v>
      </x:c>
      <x:c r="AD56" s="1559" t="str">
        <x:f>IF(ABS(H56)&lt;=Model_Parameters!$B$7,"PASS","REVIEW")</x:f>
        <x:v>PASS</x:v>
      </x:c>
      <x:c r="AE56" s="1559" t="str">
        <x:f>IF(T56&lt;&gt;"NET","N/A",IF(ABS(S56)&lt;=Model_Parameters!$B$7,"PASS","REVIEW"))</x:f>
        <x:v>PASS</x:v>
      </x:c>
      <x:c r="AF56" s="1559" t="str">
        <x:f>IF(ABS(X56)&lt;=Model_Parameters!$B$7,"WITHIN TOLERANCE","DISPLAY RATE / ADJUSTMENT")</x:f>
        <x:v>DISPLAY RATE / ADJUSTMENT</x:v>
      </x:c>
    </x:row>
    <x:row r="57" ht="18" customHeight="1">
      <x:c r="A57" s="1552" t="str">
        <x:v>OSR070</x:v>
      </x:c>
      <x:c r="B57" s="1155" t="str">
        <x:v>Mann Lake East</x:v>
      </x:c>
      <x:c r="C57" s="1155" t="str">
        <x:v>BAYTEX ENERGY LTD.</x:v>
      </x:c>
      <x:c r="D57" s="1553" t="n">
        <x:v>2024</x:v>
      </x:c>
      <x:c r="E57" s="1554" t="n">
        <x:v>2383910</x:v>
      </x:c>
      <x:c r="F57" s="1554" t="n">
        <x:v>0</x:v>
      </x:c>
      <x:c r="G57" s="1554" t="n">
        <x:v>2383910</x:v>
      </x:c>
      <x:c r="H57" s="1555" t="n">
        <x:f>E57-F57-G57</x:f>
        <x:v>0</x:v>
      </x:c>
      <x:c r="I57" s="1554" t="n">
        <x:v>33054</x:v>
      </x:c>
      <x:c r="J57" s="1556" t="n">
        <x:v>72.12</x:v>
      </x:c>
      <x:c r="K57" s="1557" t="n">
        <x:f>IF(I57=0,0,G57/I57)</x:f>
        <x:v>72.12167967568222</x:v>
      </x:c>
      <x:c r="L57" s="1554" t="n">
        <x:v>1028101</x:v>
      </x:c>
      <x:c r="M57" s="1554" t="n">
        <x:v>13931</x:v>
      </x:c>
      <x:c r="N57" s="1554" t="n">
        <x:v>0</x:v>
      </x:c>
      <x:c r="O57" s="1554" t="n">
        <x:v>0</x:v>
      </x:c>
      <x:c r="P57" s="1554" t="n">
        <x:v>0</x:v>
      </x:c>
      <x:c r="Q57" s="1554" t="n">
        <x:v>1341878</x:v>
      </x:c>
      <x:c r="R57" s="1555" t="n">
        <x:f>MAX(0,G57-L57-M57-N57-O57+P57)</x:f>
        <x:v>1341878</x:v>
      </x:c>
      <x:c r="S57" s="1555" t="n">
        <x:f>IF(T57="NET",Q57-R57,"")</x:f>
        <x:v>0</x:v>
      </x:c>
      <x:c r="T57" s="1552" t="str">
        <x:v>NET</x:v>
      </x:c>
      <x:c r="U57" s="1558" t="n">
        <x:v>36.31</x:v>
      </x:c>
      <x:c r="V57" s="1554" t="n">
        <x:v>487174</x:v>
      </x:c>
      <x:c r="W57" s="1555" t="n">
        <x:f>IF(T57="NET",Q57*U57/100,G57*U57/100)</x:f>
        <x:v>487235.9018</x:v>
      </x:c>
      <x:c r="X57" s="1555" t="n">
        <x:f>V57-W57</x:f>
        <x:v>-61.90179999999236</x:v>
      </x:c>
      <x:c r="Y57" s="1552" t="str">
        <x:v>POST</x:v>
      </x:c>
      <x:c r="Z57" s="1554" t="n">
        <x:v>0</x:v>
      </x:c>
      <x:c r="AA57" s="1155" t="str"/>
      <x:c r="AB57" s="1560" t="n">
        <x:v>6</x:v>
      </x:c>
      <x:c r="AC57" s="1155" t="str">
        <x:v>https://www.alberta.ca/royalty-oil-sands-project-data.aspx?dto=0&amp;dtp=6&amp;dtq=&amp;dts=0</x:v>
      </x:c>
      <x:c r="AD57" s="1559" t="str">
        <x:f>IF(ABS(H57)&lt;=Model_Parameters!$B$7,"PASS","REVIEW")</x:f>
        <x:v>PASS</x:v>
      </x:c>
      <x:c r="AE57" s="1559" t="str">
        <x:f>IF(T57&lt;&gt;"NET","N/A",IF(ABS(S57)&lt;=Model_Parameters!$B$7,"PASS","REVIEW"))</x:f>
        <x:v>PASS</x:v>
      </x:c>
      <x:c r="AF57" s="1559" t="str">
        <x:f>IF(ABS(X57)&lt;=Model_Parameters!$B$7,"WITHIN TOLERANCE","DISPLAY RATE / ADJUSTMENT")</x:f>
        <x:v>WITHIN TOLERANCE</x:v>
      </x:c>
    </x:row>
    <x:row r="58" ht="18" customHeight="1">
      <x:c r="A58" s="1552" t="str">
        <x:v>OSR072</x:v>
      </x:c>
      <x:c r="B58" s="1155" t="str">
        <x:v>Seal - Northern Cadotte Block</x:v>
      </x:c>
      <x:c r="C58" s="1155" t="str">
        <x:v>BAYTEX ENERGY LTD.</x:v>
      </x:c>
      <x:c r="D58" s="1553" t="n">
        <x:v>2024</x:v>
      </x:c>
      <x:c r="E58" s="1554" t="n">
        <x:v>1738116</x:v>
      </x:c>
      <x:c r="F58" s="1554" t="n">
        <x:v>528679</x:v>
      </x:c>
      <x:c r="G58" s="1554" t="n">
        <x:v>1209437</x:v>
      </x:c>
      <x:c r="H58" s="1555" t="n">
        <x:f>E58-F58-G58</x:f>
        <x:v>0</x:v>
      </x:c>
      <x:c r="I58" s="1554" t="n">
        <x:v>16939</x:v>
      </x:c>
      <x:c r="J58" s="1556" t="n">
        <x:v>71.4</x:v>
      </x:c>
      <x:c r="K58" s="1557" t="n">
        <x:f>IF(I58=0,0,G58/I58)</x:f>
        <x:v>71.39955133124742</x:v>
      </x:c>
      <x:c r="L58" s="1554" t="n">
        <x:v>1146171</x:v>
      </x:c>
      <x:c r="M58" s="1554" t="n">
        <x:v>514214</x:v>
      </x:c>
      <x:c r="N58" s="1554" t="n">
        <x:v>468779</x:v>
      </x:c>
      <x:c r="O58" s="1554" t="n">
        <x:v>86651</x:v>
      </x:c>
      <x:c r="P58" s="1554" t="n">
        <x:v>0</x:v>
      </x:c>
      <x:c r="Q58" s="1554" t="n">
        <x:v>0</x:v>
      </x:c>
      <x:c r="R58" s="1555" t="n">
        <x:f>MAX(0,G58-L58-M58-N58-O58+P58)</x:f>
        <x:v>0</x:v>
      </x:c>
      <x:c r="S58" s="1555" t="str">
        <x:f>IF(T58="NET",Q58-R58,"")</x:f>
      </x:c>
      <x:c r="T58" s="1552" t="str">
        <x:v>GROSS</x:v>
      </x:c>
      <x:c r="U58" s="1558" t="n">
        <x:v>7.16</x:v>
      </x:c>
      <x:c r="V58" s="1554" t="n">
        <x:v>86651</x:v>
      </x:c>
      <x:c r="W58" s="1555" t="n">
        <x:f>IF(T58="NET",Q58*U58/100,G58*U58/100)</x:f>
        <x:v>86595.6892</x:v>
      </x:c>
      <x:c r="X58" s="1555" t="n">
        <x:f>V58-W58</x:f>
        <x:v>55.310800000006566</x:v>
      </x:c>
      <x:c r="Y58" s="1552" t="str">
        <x:v>PRE</x:v>
      </x:c>
      <x:c r="Z58" s="1554" t="n">
        <x:v>15092645</x:v>
      </x:c>
      <x:c r="AA58" s="1155" t="str"/>
      <x:c r="AB58" s="1560" t="n">
        <x:v>6</x:v>
      </x:c>
      <x:c r="AC58" s="1155" t="str">
        <x:v>https://www.alberta.ca/royalty-oil-sands-project-data.aspx?dto=0&amp;dtp=6&amp;dtq=&amp;dts=0</x:v>
      </x:c>
      <x:c r="AD58" s="1559" t="str">
        <x:f>IF(ABS(H58)&lt;=Model_Parameters!$B$7,"PASS","REVIEW")</x:f>
        <x:v>PASS</x:v>
      </x:c>
      <x:c r="AE58" s="1559" t="str">
        <x:f>IF(T58&lt;&gt;"NET","N/A",IF(ABS(S58)&lt;=Model_Parameters!$B$7,"PASS","REVIEW"))</x:f>
        <x:v>N/A</x:v>
      </x:c>
      <x:c r="AF58" s="1559" t="str">
        <x:f>IF(ABS(X58)&lt;=Model_Parameters!$B$7,"WITHIN TOLERANCE","DISPLAY RATE / ADJUSTMENT")</x:f>
        <x:v>WITHIN TOLERANCE</x:v>
      </x:c>
    </x:row>
    <x:row r="59" ht="18" customHeight="1">
      <x:c r="A59" s="1552" t="str">
        <x:v>OSR073</x:v>
      </x:c>
      <x:c r="B59" s="1155" t="str">
        <x:v>North Murphy Lindbergh</x:v>
      </x:c>
      <x:c r="C59" s="1155" t="str">
        <x:v>CANADIAN NATURAL RESOURCES LIMITED</x:v>
      </x:c>
      <x:c r="D59" s="1553" t="n">
        <x:v>2024</x:v>
      </x:c>
      <x:c r="E59" s="1554" t="n">
        <x:v>563705</x:v>
      </x:c>
      <x:c r="F59" s="1554" t="n">
        <x:v>98617</x:v>
      </x:c>
      <x:c r="G59" s="1554" t="n">
        <x:v>465088</x:v>
      </x:c>
      <x:c r="H59" s="1555" t="n">
        <x:f>E59-F59-G59</x:f>
        <x:v>0</x:v>
      </x:c>
      <x:c r="I59" s="1554" t="n">
        <x:v>5915</x:v>
      </x:c>
      <x:c r="J59" s="1556" t="n">
        <x:v>78.62</x:v>
      </x:c>
      <x:c r="K59" s="1557" t="n">
        <x:f>IF(I59=0,0,G59/I59)</x:f>
        <x:v>78.62857142857143</x:v>
      </x:c>
      <x:c r="L59" s="1554" t="n">
        <x:v>811662</x:v>
      </x:c>
      <x:c r="M59" s="1554" t="n">
        <x:v>835879</x:v>
      </x:c>
      <x:c r="N59" s="1554" t="n">
        <x:v>101727</x:v>
      </x:c>
      <x:c r="O59" s="1554" t="n">
        <x:v>3155734</x:v>
      </x:c>
      <x:c r="P59" s="1554" t="n">
        <x:v>0</x:v>
      </x:c>
      <x:c r="Q59" s="1554" t="n">
        <x:v>0</x:v>
      </x:c>
      <x:c r="R59" s="1555" t="n">
        <x:f>MAX(0,G59-L59-M59-N59-O59+P59)</x:f>
        <x:v>0</x:v>
      </x:c>
      <x:c r="S59" s="1555" t="str">
        <x:f>IF(T59="NET",Q59-R59,"")</x:f>
      </x:c>
      <x:c r="T59" s="1552" t="str">
        <x:v>GROSS</x:v>
      </x:c>
      <x:c r="U59" s="1558" t="n">
        <x:v>7.03</x:v>
      </x:c>
      <x:c r="V59" s="1554" t="n">
        <x:v>32694</x:v>
      </x:c>
      <x:c r="W59" s="1555" t="n">
        <x:f>IF(T59="NET",Q59*U59/100,G59*U59/100)</x:f>
        <x:v>32695.686400000002</x:v>
      </x:c>
      <x:c r="X59" s="1555" t="n">
        <x:f>V59-W59</x:f>
        <x:v>-1.6864000000023225</x:v>
      </x:c>
      <x:c r="Y59" s="1552" t="str">
        <x:v>POST</x:v>
      </x:c>
      <x:c r="Z59" s="1554" t="n">
        <x:v>4439914</x:v>
      </x:c>
      <x:c r="AA59" s="1155" t="str"/>
      <x:c r="AB59" s="1560" t="n">
        <x:v>6</x:v>
      </x:c>
      <x:c r="AC59" s="1155" t="str">
        <x:v>https://www.alberta.ca/royalty-oil-sands-project-data.aspx?dto=0&amp;dtp=6&amp;dtq=&amp;dts=0</x:v>
      </x:c>
      <x:c r="AD59" s="1559" t="str">
        <x:f>IF(ABS(H59)&lt;=Model_Parameters!$B$7,"PASS","REVIEW")</x:f>
        <x:v>PASS</x:v>
      </x:c>
      <x:c r="AE59" s="1559" t="str">
        <x:f>IF(T59&lt;&gt;"NET","N/A",IF(ABS(S59)&lt;=Model_Parameters!$B$7,"PASS","REVIEW"))</x:f>
        <x:v>N/A</x:v>
      </x:c>
      <x:c r="AF59" s="1559" t="str">
        <x:f>IF(ABS(X59)&lt;=Model_Parameters!$B$7,"WITHIN TOLERANCE","DISPLAY RATE / ADJUSTMENT")</x:f>
        <x:v>WITHIN TOLERANCE</x:v>
      </x:c>
    </x:row>
    <x:row r="60" ht="18" customHeight="1">
      <x:c r="A60" s="1552" t="str">
        <x:v>OSR075</x:v>
      </x:c>
      <x:c r="B60" s="1155" t="str">
        <x:v>Christina Lake Regional Project</x:v>
      </x:c>
      <x:c r="C60" s="1155" t="str">
        <x:v>MEG ENERGY CORP.</x:v>
      </x:c>
      <x:c r="D60" s="1553" t="n">
        <x:v>2024</x:v>
      </x:c>
      <x:c r="E60" s="1554" t="n">
        <x:v>4116980813</x:v>
      </x:c>
      <x:c r="F60" s="1554" t="n">
        <x:v>1668559589</x:v>
      </x:c>
      <x:c r="G60" s="1554" t="n">
        <x:v>2448421224</x:v>
      </x:c>
      <x:c r="H60" s="1555" t="n">
        <x:f>E60-F60-G60</x:f>
        <x:v>0</x:v>
      </x:c>
      <x:c r="I60" s="1554" t="n">
        <x:v>37344653</x:v>
      </x:c>
      <x:c r="J60" s="1556" t="n">
        <x:v>65.56</x:v>
      </x:c>
      <x:c r="K60" s="1557" t="n">
        <x:f>IF(I60=0,0,G60/I60)</x:f>
        <x:v>65.56283235514331</x:v>
      </x:c>
      <x:c r="L60" s="1554" t="n">
        <x:v>370862380</x:v>
      </x:c>
      <x:c r="M60" s="1554" t="n">
        <x:v>431617474</x:v>
      </x:c>
      <x:c r="N60" s="1554" t="n">
        <x:v>0</x:v>
      </x:c>
      <x:c r="O60" s="1554" t="n">
        <x:v>2749951</x:v>
      </x:c>
      <x:c r="P60" s="1554" t="n">
        <x:v>3093672</x:v>
      </x:c>
      <x:c r="Q60" s="1554" t="n">
        <x:v>1646285091</x:v>
      </x:c>
      <x:c r="R60" s="1555" t="n">
        <x:f>MAX(0,G60-L60-M60-N60-O60+P60)</x:f>
        <x:v>1646285091</x:v>
      </x:c>
      <x:c r="S60" s="1555" t="n">
        <x:f>IF(T60="NET",Q60-R60,"")</x:f>
        <x:v>0</x:v>
      </x:c>
      <x:c r="T60" s="1552" t="str">
        <x:v>NET</x:v>
      </x:c>
      <x:c r="U60" s="1558" t="n">
        <x:v>36.31</x:v>
      </x:c>
      <x:c r="V60" s="1554" t="n">
        <x:v>597690058</x:v>
      </x:c>
      <x:c r="W60" s="1555" t="n">
        <x:f>IF(T60="NET",Q60*U60/100,G60*U60/100)</x:f>
        <x:v>597766116.5421001</x:v>
      </x:c>
      <x:c r="X60" s="1555" t="n">
        <x:f>V60-W60</x:f>
        <x:v>-76058.5421000719</x:v>
      </x:c>
      <x:c r="Y60" s="1552" t="str">
        <x:v>POST</x:v>
      </x:c>
      <x:c r="Z60" s="1554" t="n">
        <x:v>0</x:v>
      </x:c>
      <x:c r="AA60" s="1155" t="str"/>
      <x:c r="AB60" s="1560" t="n">
        <x:v>6</x:v>
      </x:c>
      <x:c r="AC60" s="1155" t="str">
        <x:v>https://www.alberta.ca/royalty-oil-sands-project-data.aspx?dto=0&amp;dtp=6&amp;dtq=&amp;dts=0</x:v>
      </x:c>
      <x:c r="AD60" s="1559" t="str">
        <x:f>IF(ABS(H60)&lt;=Model_Parameters!$B$7,"PASS","REVIEW")</x:f>
        <x:v>PASS</x:v>
      </x:c>
      <x:c r="AE60" s="1559" t="str">
        <x:f>IF(T60&lt;&gt;"NET","N/A",IF(ABS(S60)&lt;=Model_Parameters!$B$7,"PASS","REVIEW"))</x:f>
        <x:v>PASS</x:v>
      </x:c>
      <x:c r="AF60" s="1559" t="str">
        <x:f>IF(ABS(X60)&lt;=Model_Parameters!$B$7,"WITHIN TOLERANCE","DISPLAY RATE / ADJUSTMENT")</x:f>
        <x:v>DISPLAY RATE / ADJUSTMENT</x:v>
      </x:c>
    </x:row>
    <x:row r="61" ht="18" customHeight="1">
      <x:c r="A61" s="1552" t="str">
        <x:v>OSR076</x:v>
      </x:c>
      <x:c r="B61" s="1155" t="str">
        <x:v>Murphy Seal</x:v>
      </x:c>
      <x:c r="C61" s="1155" t="str">
        <x:v>BAYTEX ENERGY LTD.</x:v>
      </x:c>
      <x:c r="D61" s="1553" t="n">
        <x:v>2024</x:v>
      </x:c>
      <x:c r="E61" s="1554" t="n">
        <x:v>54815209</x:v>
      </x:c>
      <x:c r="F61" s="1554" t="n">
        <x:v>16858047</x:v>
      </x:c>
      <x:c r="G61" s="1554" t="n">
        <x:v>37957162</x:v>
      </x:c>
      <x:c r="H61" s="1555" t="n">
        <x:f>E61-F61-G61</x:f>
        <x:v>0</x:v>
      </x:c>
      <x:c r="I61" s="1554" t="n">
        <x:v>537745</x:v>
      </x:c>
      <x:c r="J61" s="1556" t="n">
        <x:v>70.59</x:v>
      </x:c>
      <x:c r="K61" s="1557" t="n">
        <x:f>IF(I61=0,0,G61/I61)</x:f>
        <x:v>70.58580182056551</x:v>
      </x:c>
      <x:c r="L61" s="1554" t="n">
        <x:v>21475123</x:v>
      </x:c>
      <x:c r="M61" s="1554" t="n">
        <x:v>641329</x:v>
      </x:c>
      <x:c r="N61" s="1554" t="n">
        <x:v>0</x:v>
      </x:c>
      <x:c r="O61" s="1554" t="n">
        <x:v>0</x:v>
      </x:c>
      <x:c r="P61" s="1554" t="n">
        <x:v>7906416</x:v>
      </x:c>
      <x:c r="Q61" s="1554" t="n">
        <x:v>23747126</x:v>
      </x:c>
      <x:c r="R61" s="1555" t="n">
        <x:f>MAX(0,G61-L61-M61-N61-O61+P61)</x:f>
        <x:v>23747126</x:v>
      </x:c>
      <x:c r="S61" s="1555" t="n">
        <x:f>IF(T61="NET",Q61-R61,"")</x:f>
        <x:v>0</x:v>
      </x:c>
      <x:c r="T61" s="1552" t="str">
        <x:v>NET</x:v>
      </x:c>
      <x:c r="U61" s="1558" t="n">
        <x:v>36.31</x:v>
      </x:c>
      <x:c r="V61" s="1554" t="n">
        <x:v>8621484</x:v>
      </x:c>
      <x:c r="W61" s="1555" t="n">
        <x:f>IF(T61="NET",Q61*U61/100,G61*U61/100)</x:f>
        <x:v>8622581.4506</x:v>
      </x:c>
      <x:c r="X61" s="1555" t="n">
        <x:f>V61-W61</x:f>
        <x:v>-1097.4506000000983</x:v>
      </x:c>
      <x:c r="Y61" s="1552" t="str">
        <x:v>POST</x:v>
      </x:c>
      <x:c r="Z61" s="1554" t="n">
        <x:v>0</x:v>
      </x:c>
      <x:c r="AA61" s="1155" t="str"/>
      <x:c r="AB61" s="1560" t="n">
        <x:v>6</x:v>
      </x:c>
      <x:c r="AC61" s="1155" t="str">
        <x:v>https://www.alberta.ca/royalty-oil-sands-project-data.aspx?dto=0&amp;dtp=6&amp;dtq=&amp;dts=0</x:v>
      </x:c>
      <x:c r="AD61" s="1559" t="str">
        <x:f>IF(ABS(H61)&lt;=Model_Parameters!$B$7,"PASS","REVIEW")</x:f>
        <x:v>PASS</x:v>
      </x:c>
      <x:c r="AE61" s="1559" t="str">
        <x:f>IF(T61&lt;&gt;"NET","N/A",IF(ABS(S61)&lt;=Model_Parameters!$B$7,"PASS","REVIEW"))</x:f>
        <x:v>PASS</x:v>
      </x:c>
      <x:c r="AF61" s="1559" t="str">
        <x:f>IF(ABS(X61)&lt;=Model_Parameters!$B$7,"WITHIN TOLERANCE","DISPLAY RATE / ADJUSTMENT")</x:f>
        <x:v>DISPLAY RATE / ADJUSTMENT</x:v>
      </x:c>
    </x:row>
    <x:row r="62" ht="18" customHeight="1">
      <x:c r="A62" s="1552" t="str">
        <x:v>OSR077</x:v>
      </x:c>
      <x:c r="B62" s="1155" t="str">
        <x:v>Jackfish SAGD Thermal Project</x:v>
      </x:c>
      <x:c r="C62" s="1155" t="str">
        <x:v>CANADIAN NATURAL RESOURCES LIMITED</x:v>
      </x:c>
      <x:c r="D62" s="1553" t="n">
        <x:v>2024</x:v>
      </x:c>
      <x:c r="E62" s="1554" t="n">
        <x:v>1434892944</x:v>
      </x:c>
      <x:c r="F62" s="1554" t="n">
        <x:v>562352223</x:v>
      </x:c>
      <x:c r="G62" s="1554" t="n">
        <x:v>872540721</x:v>
      </x:c>
      <x:c r="H62" s="1555" t="n">
        <x:f>E62-F62-G62</x:f>
        <x:v>0</x:v>
      </x:c>
      <x:c r="I62" s="1554" t="n">
        <x:v>12958016</x:v>
      </x:c>
      <x:c r="J62" s="1556" t="n">
        <x:v>67.34</x:v>
      </x:c>
      <x:c r="K62" s="1557" t="n">
        <x:f>IF(I62=0,0,G62/I62)</x:f>
        <x:v>67.33598114094009</x:v>
      </x:c>
      <x:c r="L62" s="1554" t="n">
        <x:v>130264168</x:v>
      </x:c>
      <x:c r="M62" s="1554" t="n">
        <x:v>70684925</x:v>
      </x:c>
      <x:c r="N62" s="1554" t="n">
        <x:v>0</x:v>
      </x:c>
      <x:c r="O62" s="1554" t="n">
        <x:v>1347177</x:v>
      </x:c>
      <x:c r="P62" s="1554" t="n">
        <x:v>10971492</x:v>
      </x:c>
      <x:c r="Q62" s="1554" t="n">
        <x:v>681215943</x:v>
      </x:c>
      <x:c r="R62" s="1555" t="n">
        <x:f>MAX(0,G62-L62-M62-N62-O62+P62)</x:f>
        <x:v>681215943</x:v>
      </x:c>
      <x:c r="S62" s="1555" t="n">
        <x:f>IF(T62="NET",Q62-R62,"")</x:f>
        <x:v>0</x:v>
      </x:c>
      <x:c r="T62" s="1552" t="str">
        <x:v>NET</x:v>
      </x:c>
      <x:c r="U62" s="1558" t="n">
        <x:v>36.31</x:v>
      </x:c>
      <x:c r="V62" s="1554" t="n">
        <x:v>247318037</x:v>
      </x:c>
      <x:c r="W62" s="1555" t="n">
        <x:f>IF(T62="NET",Q62*U62/100,G62*U62/100)</x:f>
        <x:v>247349508.90330002</x:v>
      </x:c>
      <x:c r="X62" s="1555" t="n">
        <x:f>V62-W62</x:f>
        <x:v>-31471.90330001712</x:v>
      </x:c>
      <x:c r="Y62" s="1552" t="str">
        <x:v>POST</x:v>
      </x:c>
      <x:c r="Z62" s="1554" t="n">
        <x:v>0</x:v>
      </x:c>
      <x:c r="AA62" s="1155" t="str"/>
      <x:c r="AB62" s="1560" t="n">
        <x:v>6</x:v>
      </x:c>
      <x:c r="AC62" s="1155" t="str">
        <x:v>https://www.alberta.ca/royalty-oil-sands-project-data.aspx?dto=0&amp;dtp=6&amp;dtq=&amp;dts=0</x:v>
      </x:c>
      <x:c r="AD62" s="1559" t="str">
        <x:f>IF(ABS(H62)&lt;=Model_Parameters!$B$7,"PASS","REVIEW")</x:f>
        <x:v>PASS</x:v>
      </x:c>
      <x:c r="AE62" s="1559" t="str">
        <x:f>IF(T62&lt;&gt;"NET","N/A",IF(ABS(S62)&lt;=Model_Parameters!$B$7,"PASS","REVIEW"))</x:f>
        <x:v>PASS</x:v>
      </x:c>
      <x:c r="AF62" s="1559" t="str">
        <x:f>IF(ABS(X62)&lt;=Model_Parameters!$B$7,"WITHIN TOLERANCE","DISPLAY RATE / ADJUSTMENT")</x:f>
        <x:v>DISPLAY RATE / ADJUSTMENT</x:v>
      </x:c>
    </x:row>
    <x:row r="63" ht="18" customHeight="1">
      <x:c r="A63" s="1552" t="str">
        <x:v>OSR079</x:v>
      </x:c>
      <x:c r="B63" s="1155" t="str">
        <x:v>Chipmunk</x:v>
      </x:c>
      <x:c r="C63" s="1155" t="str">
        <x:v>ISLANDER OIL &amp; GAS INC.</x:v>
      </x:c>
      <x:c r="D63" s="1553" t="n">
        <x:v>2024</x:v>
      </x:c>
      <x:c r="E63" s="1554" t="n">
        <x:v>843</x:v>
      </x:c>
      <x:c r="F63" s="1554" t="n">
        <x:v>0</x:v>
      </x:c>
      <x:c r="G63" s="1554" t="n">
        <x:v>843</x:v>
      </x:c>
      <x:c r="H63" s="1555" t="n">
        <x:f>E63-F63-G63</x:f>
        <x:v>0</x:v>
      </x:c>
      <x:c r="I63" s="1554" t="n">
        <x:v>16</x:v>
      </x:c>
      <x:c r="J63" s="1556" t="n">
        <x:v>53.61</x:v>
      </x:c>
      <x:c r="K63" s="1557" t="n">
        <x:f>IF(I63=0,0,G63/I63)</x:f>
        <x:v>52.6875</x:v>
      </x:c>
      <x:c r="L63" s="1554" t="n">
        <x:v>303322</x:v>
      </x:c>
      <x:c r="M63" s="1554" t="n">
        <x:v>80452</x:v>
      </x:c>
      <x:c r="N63" s="1554" t="n">
        <x:v>0</x:v>
      </x:c>
      <x:c r="O63" s="1554" t="n">
        <x:v>52</x:v>
      </x:c>
      <x:c r="P63" s="1554" t="n">
        <x:v>0</x:v>
      </x:c>
      <x:c r="Q63" s="1554" t="n">
        <x:v>0</x:v>
      </x:c>
      <x:c r="R63" s="1555" t="n">
        <x:f>MAX(0,G63-L63-M63-N63-O63+P63)</x:f>
        <x:v>0</x:v>
      </x:c>
      <x:c r="S63" s="1555" t="str">
        <x:f>IF(T63="NET",Q63-R63,"")</x:f>
      </x:c>
      <x:c r="T63" s="1552" t="str">
        <x:v>GROSS</x:v>
      </x:c>
      <x:c r="U63" s="1558" t="n">
        <x:v>6.15</x:v>
      </x:c>
      <x:c r="V63" s="1554" t="n">
        <x:v>52</x:v>
      </x:c>
      <x:c r="W63" s="1555" t="n">
        <x:f>IF(T63="NET",Q63*U63/100,G63*U63/100)</x:f>
        <x:v>51.84450000000001</x:v>
      </x:c>
      <x:c r="X63" s="1555" t="n">
        <x:f>V63-W63</x:f>
        <x:v>0.1554999999999893</x:v>
      </x:c>
      <x:c r="Y63" s="1552" t="str">
        <x:v>PRE</x:v>
      </x:c>
      <x:c r="Z63" s="1554" t="n">
        <x:v>33840529</x:v>
      </x:c>
      <x:c r="AA63" s="1155" t="str"/>
      <x:c r="AB63" s="1560" t="n">
        <x:v>6</x:v>
      </x:c>
      <x:c r="AC63" s="1155" t="str">
        <x:v>https://www.alberta.ca/royalty-oil-sands-project-data.aspx?dto=0&amp;dtp=6&amp;dtq=&amp;dts=0</x:v>
      </x:c>
      <x:c r="AD63" s="1559" t="str">
        <x:f>IF(ABS(H63)&lt;=Model_Parameters!$B$7,"PASS","REVIEW")</x:f>
        <x:v>PASS</x:v>
      </x:c>
      <x:c r="AE63" s="1559" t="str">
        <x:f>IF(T63&lt;&gt;"NET","N/A",IF(ABS(S63)&lt;=Model_Parameters!$B$7,"PASS","REVIEW"))</x:f>
        <x:v>N/A</x:v>
      </x:c>
      <x:c r="AF63" s="1559" t="str">
        <x:f>IF(ABS(X63)&lt;=Model_Parameters!$B$7,"WITHIN TOLERANCE","DISPLAY RATE / ADJUSTMENT")</x:f>
        <x:v>WITHIN TOLERANCE</x:v>
      </x:c>
    </x:row>
    <x:row r="64" ht="18" customHeight="1">
      <x:c r="A64" s="1552" t="str">
        <x:v>OSR080</x:v>
      </x:c>
      <x:c r="B64" s="1155" t="str">
        <x:v>Tucker Thermal Project</x:v>
      </x:c>
      <x:c r="C64" s="1155" t="str">
        <x:v>STRATHCONA RESOURCES LTD.</x:v>
      </x:c>
      <x:c r="D64" s="1553" t="n">
        <x:v>2024</x:v>
      </x:c>
      <x:c r="E64" s="1554" t="n">
        <x:v>831999988</x:v>
      </x:c>
      <x:c r="F64" s="1554" t="n">
        <x:v>330523602</x:v>
      </x:c>
      <x:c r="G64" s="1554" t="n">
        <x:v>501476386</x:v>
      </x:c>
      <x:c r="H64" s="1555" t="n">
        <x:f>E64-F64-G64</x:f>
        <x:v>0</x:v>
      </x:c>
      <x:c r="I64" s="1554" t="n">
        <x:v>7086048</x:v>
      </x:c>
      <x:c r="J64" s="1556" t="n">
        <x:v>70.77</x:v>
      </x:c>
      <x:c r="K64" s="1557" t="n">
        <x:f>IF(I64=0,0,G64/I64)</x:f>
        <x:v>70.76954403921621</x:v>
      </x:c>
      <x:c r="L64" s="1554" t="n">
        <x:v>115764933</x:v>
      </x:c>
      <x:c r="M64" s="1554" t="n">
        <x:v>117567591</x:v>
      </x:c>
      <x:c r="N64" s="1554" t="n">
        <x:v>0</x:v>
      </x:c>
      <x:c r="O64" s="1554" t="n">
        <x:v>8274566</x:v>
      </x:c>
      <x:c r="P64" s="1554" t="n">
        <x:v>0</x:v>
      </x:c>
      <x:c r="Q64" s="1554" t="n">
        <x:v>259869296</x:v>
      </x:c>
      <x:c r="R64" s="1555" t="n">
        <x:f>MAX(0,G64-L64-M64-N64-O64+P64)</x:f>
        <x:v>259869296</x:v>
      </x:c>
      <x:c r="S64" s="1555" t="n">
        <x:f>IF(T64="NET",Q64-R64,"")</x:f>
        <x:v>0</x:v>
      </x:c>
      <x:c r="T64" s="1552" t="str">
        <x:v>NET</x:v>
      </x:c>
      <x:c r="U64" s="1558" t="n">
        <x:v>36.31</x:v>
      </x:c>
      <x:c r="V64" s="1554" t="n">
        <x:v>94346535</x:v>
      </x:c>
      <x:c r="W64" s="1555" t="n">
        <x:f>IF(T64="NET",Q64*U64/100,G64*U64/100)</x:f>
        <x:v>94358541.3776</x:v>
      </x:c>
      <x:c r="X64" s="1555" t="n">
        <x:f>V64-W64</x:f>
        <x:v>-12006.377599999309</x:v>
      </x:c>
      <x:c r="Y64" s="1552" t="str">
        <x:v>POST</x:v>
      </x:c>
      <x:c r="Z64" s="1554" t="n">
        <x:v>0</x:v>
      </x:c>
      <x:c r="AA64" s="1155" t="str"/>
      <x:c r="AB64" s="1560" t="n">
        <x:v>7</x:v>
      </x:c>
      <x:c r="AC64" s="1155" t="str">
        <x:v>https://www.alberta.ca/royalty-oil-sands-project-data.aspx?dto=0&amp;dtp=7&amp;dtq=&amp;dts=0</x:v>
      </x:c>
      <x:c r="AD64" s="1559" t="str">
        <x:f>IF(ABS(H64)&lt;=Model_Parameters!$B$7,"PASS","REVIEW")</x:f>
        <x:v>PASS</x:v>
      </x:c>
      <x:c r="AE64" s="1559" t="str">
        <x:f>IF(T64&lt;&gt;"NET","N/A",IF(ABS(S64)&lt;=Model_Parameters!$B$7,"PASS","REVIEW"))</x:f>
        <x:v>PASS</x:v>
      </x:c>
      <x:c r="AF64" s="1559" t="str">
        <x:f>IF(ABS(X64)&lt;=Model_Parameters!$B$7,"WITHIN TOLERANCE","DISPLAY RATE / ADJUSTMENT")</x:f>
        <x:v>DISPLAY RATE / ADJUSTMENT</x:v>
      </x:c>
    </x:row>
    <x:row r="65" ht="18" customHeight="1">
      <x:c r="A65" s="1552" t="str">
        <x:v>OSR081</x:v>
      </x:c>
      <x:c r="B65" s="1155" t="str">
        <x:v>Seal - Cadotte</x:v>
      </x:c>
      <x:c r="C65" s="1155" t="str">
        <x:v>OBSIDIAN ENERGY LTD.</x:v>
      </x:c>
      <x:c r="D65" s="1553" t="n">
        <x:v>2024</x:v>
      </x:c>
      <x:c r="E65" s="1554" t="n">
        <x:v>8039645</x:v>
      </x:c>
      <x:c r="F65" s="1554" t="n">
        <x:v>612755</x:v>
      </x:c>
      <x:c r="G65" s="1554" t="n">
        <x:v>7426890</x:v>
      </x:c>
      <x:c r="H65" s="1555" t="n">
        <x:f>E65-F65-G65</x:f>
        <x:v>0</x:v>
      </x:c>
      <x:c r="I65" s="1554" t="n">
        <x:v>122647</x:v>
      </x:c>
      <x:c r="J65" s="1556" t="n">
        <x:v>60.55</x:v>
      </x:c>
      <x:c r="K65" s="1557" t="n">
        <x:f>IF(I65=0,0,G65/I65)</x:f>
        <x:v>60.555007460435235</x:v>
      </x:c>
      <x:c r="L65" s="1554" t="n">
        <x:v>2990552</x:v>
      </x:c>
      <x:c r="M65" s="1554" t="n">
        <x:v>7951262</x:v>
      </x:c>
      <x:c r="N65" s="1554" t="n">
        <x:v>1055398</x:v>
      </x:c>
      <x:c r="O65" s="1554" t="n">
        <x:v>520953</x:v>
      </x:c>
      <x:c r="P65" s="1554" t="n">
        <x:v>74116</x:v>
      </x:c>
      <x:c r="Q65" s="1554" t="n">
        <x:v>0</x:v>
      </x:c>
      <x:c r="R65" s="1555" t="n">
        <x:f>MAX(0,G65-L65-M65-N65-O65+P65)</x:f>
        <x:v>0</x:v>
      </x:c>
      <x:c r="S65" s="1555" t="str">
        <x:f>IF(T65="NET",Q65-R65,"")</x:f>
      </x:c>
      <x:c r="T65" s="1552" t="str">
        <x:v>GROSS</x:v>
      </x:c>
      <x:c r="U65" s="1558" t="n">
        <x:v>7.01</x:v>
      </x:c>
      <x:c r="V65" s="1554" t="n">
        <x:v>520953</x:v>
      </x:c>
      <x:c r="W65" s="1555" t="n">
        <x:f>IF(T65="NET",Q65*U65/100,G65*U65/100)</x:f>
        <x:v>520624.989</x:v>
      </x:c>
      <x:c r="X65" s="1555" t="n">
        <x:f>V65-W65</x:f>
        <x:v>328.0109999999986</x:v>
      </x:c>
      <x:c r="Y65" s="1552" t="str">
        <x:v>PRE</x:v>
      </x:c>
      <x:c r="Z65" s="1554" t="n">
        <x:v>37312393</x:v>
      </x:c>
      <x:c r="AA65" s="1155" t="str"/>
      <x:c r="AB65" s="1560" t="n">
        <x:v>7</x:v>
      </x:c>
      <x:c r="AC65" s="1155" t="str">
        <x:v>https://www.alberta.ca/royalty-oil-sands-project-data.aspx?dto=0&amp;dtp=7&amp;dtq=&amp;dts=0</x:v>
      </x:c>
      <x:c r="AD65" s="1559" t="str">
        <x:f>IF(ABS(H65)&lt;=Model_Parameters!$B$7,"PASS","REVIEW")</x:f>
        <x:v>PASS</x:v>
      </x:c>
      <x:c r="AE65" s="1559" t="str">
        <x:f>IF(T65&lt;&gt;"NET","N/A",IF(ABS(S65)&lt;=Model_Parameters!$B$7,"PASS","REVIEW"))</x:f>
        <x:v>N/A</x:v>
      </x:c>
      <x:c r="AF65" s="1559" t="str">
        <x:f>IF(ABS(X65)&lt;=Model_Parameters!$B$7,"WITHIN TOLERANCE","DISPLAY RATE / ADJUSTMENT")</x:f>
        <x:v>WITHIN TOLERANCE</x:v>
      </x:c>
    </x:row>
    <x:row r="66" ht="18" customHeight="1">
      <x:c r="A66" s="1552" t="str">
        <x:v>OSR082</x:v>
      </x:c>
      <x:c r="B66" s="1155" t="str">
        <x:v>South Lindbergh Oil Sands Project</x:v>
      </x:c>
      <x:c r="C66" s="1155" t="str">
        <x:v>CANADIAN NATURAL RESOURCES LIMITED</x:v>
      </x:c>
      <x:c r="D66" s="1553" t="n">
        <x:v>2024</x:v>
      </x:c>
      <x:c r="E66" s="1554" t="n">
        <x:v>982331</x:v>
      </x:c>
      <x:c r="F66" s="1554" t="n">
        <x:v>172600</x:v>
      </x:c>
      <x:c r="G66" s="1554" t="n">
        <x:v>809731</x:v>
      </x:c>
      <x:c r="H66" s="1555" t="n">
        <x:f>E66-F66-G66</x:f>
        <x:v>0</x:v>
      </x:c>
      <x:c r="I66" s="1554" t="n">
        <x:v>10265</x:v>
      </x:c>
      <x:c r="J66" s="1556" t="n">
        <x:v>78.89</x:v>
      </x:c>
      <x:c r="K66" s="1557" t="n">
        <x:f>IF(I66=0,0,G66/I66)</x:f>
        <x:v>78.88270823185582</x:v>
      </x:c>
      <x:c r="L66" s="1554" t="n">
        <x:v>578916</x:v>
      </x:c>
      <x:c r="M66" s="1554" t="n">
        <x:v>204907</x:v>
      </x:c>
      <x:c r="N66" s="1554" t="n">
        <x:v>16833</x:v>
      </x:c>
      <x:c r="O66" s="1554" t="n">
        <x:v>573785</x:v>
      </x:c>
      <x:c r="P66" s="1554" t="n">
        <x:v>2645</x:v>
      </x:c>
      <x:c r="Q66" s="1554" t="n">
        <x:v>0</x:v>
      </x:c>
      <x:c r="R66" s="1555" t="n">
        <x:f>MAX(0,G66-L66-M66-N66-O66+P66)</x:f>
        <x:v>0</x:v>
      </x:c>
      <x:c r="S66" s="1555" t="str">
        <x:f>IF(T66="NET",Q66-R66,"")</x:f>
      </x:c>
      <x:c r="T66" s="1552" t="str">
        <x:v>GROSS</x:v>
      </x:c>
      <x:c r="U66" s="1558" t="n">
        <x:v>7.03</x:v>
      </x:c>
      <x:c r="V66" s="1554" t="n">
        <x:v>56920</x:v>
      </x:c>
      <x:c r="W66" s="1555" t="n">
        <x:f>IF(T66="NET",Q66*U66/100,G66*U66/100)</x:f>
        <x:v>56924.08930000001</x:v>
      </x:c>
      <x:c r="X66" s="1555" t="n">
        <x:f>V66-W66</x:f>
        <x:v>-4.089300000006915</x:v>
      </x:c>
      <x:c r="Y66" s="1552" t="str">
        <x:v>POST</x:v>
      </x:c>
      <x:c r="Z66" s="1554" t="n">
        <x:v>562065</x:v>
      </x:c>
      <x:c r="AA66" s="1155" t="str"/>
      <x:c r="AB66" s="1560" t="n">
        <x:v>7</x:v>
      </x:c>
      <x:c r="AC66" s="1155" t="str">
        <x:v>https://www.alberta.ca/royalty-oil-sands-project-data.aspx?dto=0&amp;dtp=7&amp;dtq=&amp;dts=0</x:v>
      </x:c>
      <x:c r="AD66" s="1559" t="str">
        <x:f>IF(ABS(H66)&lt;=Model_Parameters!$B$7,"PASS","REVIEW")</x:f>
        <x:v>PASS</x:v>
      </x:c>
      <x:c r="AE66" s="1559" t="str">
        <x:f>IF(T66&lt;&gt;"NET","N/A",IF(ABS(S66)&lt;=Model_Parameters!$B$7,"PASS","REVIEW"))</x:f>
        <x:v>N/A</x:v>
      </x:c>
      <x:c r="AF66" s="1559" t="str">
        <x:f>IF(ABS(X66)&lt;=Model_Parameters!$B$7,"WITHIN TOLERANCE","DISPLAY RATE / ADJUSTMENT")</x:f>
        <x:v>WITHIN TOLERANCE</x:v>
      </x:c>
    </x:row>
    <x:row r="67" ht="18" customHeight="1">
      <x:c r="A67" s="1552" t="str">
        <x:v>OSR086</x:v>
      </x:c>
      <x:c r="B67" s="1155" t="str">
        <x:v>Sunrise Thermal Project</x:v>
      </x:c>
      <x:c r="C67" s="1155" t="str">
        <x:v>CENOVUS ENERGY INC.</x:v>
      </x:c>
      <x:c r="D67" s="1553" t="n">
        <x:v>2024</x:v>
      </x:c>
      <x:c r="E67" s="1554" t="n">
        <x:v>2084757235</x:v>
      </x:c>
      <x:c r="F67" s="1554" t="n">
        <x:v>941333345</x:v>
      </x:c>
      <x:c r="G67" s="1554" t="n">
        <x:v>1143423890</x:v>
      </x:c>
      <x:c r="H67" s="1555" t="n">
        <x:f>E67-F67-G67</x:f>
        <x:v>0</x:v>
      </x:c>
      <x:c r="I67" s="1554" t="n">
        <x:v>17808384</x:v>
      </x:c>
      <x:c r="J67" s="1556" t="n">
        <x:v>64.21</x:v>
      </x:c>
      <x:c r="K67" s="1557" t="n">
        <x:f>IF(I67=0,0,G67/I67)</x:f>
        <x:v>64.20705494670375</x:v>
      </x:c>
      <x:c r="L67" s="1554" t="n">
        <x:v>256039086</x:v>
      </x:c>
      <x:c r="M67" s="1554" t="n">
        <x:v>366078398</x:v>
      </x:c>
      <x:c r="N67" s="1554" t="n">
        <x:v>101533007</x:v>
      </x:c>
      <x:c r="O67" s="1554" t="n">
        <x:v>80561732</x:v>
      </x:c>
      <x:c r="P67" s="1554" t="n">
        <x:v>0</x:v>
      </x:c>
      <x:c r="Q67" s="1554" t="n">
        <x:v>0</x:v>
      </x:c>
      <x:c r="R67" s="1555" t="n">
        <x:f>MAX(0,G67-L67-M67-N67-O67+P67)</x:f>
        <x:v>339211667</x:v>
      </x:c>
      <x:c r="S67" s="1555" t="str">
        <x:f>IF(T67="NET",Q67-R67,"")</x:f>
      </x:c>
      <x:c r="T67" s="1552" t="str">
        <x:v>GROSS</x:v>
      </x:c>
      <x:c r="U67" s="1558" t="n">
        <x:v>7.05</x:v>
      </x:c>
      <x:c r="V67" s="1554" t="n">
        <x:v>80561732</x:v>
      </x:c>
      <x:c r="W67" s="1555" t="n">
        <x:f>IF(T67="NET",Q67*U67/100,G67*U67/100)</x:f>
        <x:v>80611384.245</x:v>
      </x:c>
      <x:c r="X67" s="1555" t="n">
        <x:f>V67-W67</x:f>
        <x:v>-49652.24500000477</x:v>
      </x:c>
      <x:c r="Y67" s="1552" t="str">
        <x:v>PRE</x:v>
      </x:c>
      <x:c r="Z67" s="1554" t="n">
        <x:v>2929352660</x:v>
      </x:c>
      <x:c r="AA67" s="1155" t="str"/>
      <x:c r="AB67" s="1560" t="n">
        <x:v>7</x:v>
      </x:c>
      <x:c r="AC67" s="1155" t="str">
        <x:v>https://www.alberta.ca/royalty-oil-sands-project-data.aspx?dto=0&amp;dtp=7&amp;dtq=&amp;dts=0</x:v>
      </x:c>
      <x:c r="AD67" s="1559" t="str">
        <x:f>IF(ABS(H67)&lt;=Model_Parameters!$B$7,"PASS","REVIEW")</x:f>
        <x:v>PASS</x:v>
      </x:c>
      <x:c r="AE67" s="1559" t="str">
        <x:f>IF(T67&lt;&gt;"NET","N/A",IF(ABS(S67)&lt;=Model_Parameters!$B$7,"PASS","REVIEW"))</x:f>
        <x:v>N/A</x:v>
      </x:c>
      <x:c r="AF67" s="1559" t="str">
        <x:f>IF(ABS(X67)&lt;=Model_Parameters!$B$7,"WITHIN TOLERANCE","DISPLAY RATE / ADJUSTMENT")</x:f>
        <x:v>DISPLAY RATE / ADJUSTMENT</x:v>
      </x:c>
    </x:row>
    <x:row r="68" ht="18" customHeight="1">
      <x:c r="A68" s="1552" t="str">
        <x:v>OSR087</x:v>
      </x:c>
      <x:c r="B68" s="1155" t="str">
        <x:v>Seal-North</x:v>
      </x:c>
      <x:c r="C68" s="1155" t="str">
        <x:v>OBSIDIAN ENERGY LTD.</x:v>
      </x:c>
      <x:c r="D68" s="1553" t="n">
        <x:v>2024</x:v>
      </x:c>
      <x:c r="E68" s="1554" t="n">
        <x:v>1936128</x:v>
      </x:c>
      <x:c r="F68" s="1554" t="n">
        <x:v>912598</x:v>
      </x:c>
      <x:c r="G68" s="1554" t="n">
        <x:v>1033092</x:v>
      </x:c>
      <x:c r="H68" s="1555" t="n">
        <x:f>E68-F68-G68</x:f>
        <x:v>-9562</x:v>
      </x:c>
      <x:c r="I68" s="1554" t="n">
        <x:v>16578</x:v>
      </x:c>
      <x:c r="J68" s="1556" t="n">
        <x:v>62.32</x:v>
      </x:c>
      <x:c r="K68" s="1557" t="n">
        <x:f>IF(I68=0,0,G68/I68)</x:f>
        <x:v>62.31704668838219</x:v>
      </x:c>
      <x:c r="L68" s="1554" t="n">
        <x:v>425619</x:v>
      </x:c>
      <x:c r="M68" s="1554" t="n">
        <x:v>0</x:v>
      </x:c>
      <x:c r="N68" s="1554" t="n">
        <x:v>365883</x:v>
      </x:c>
      <x:c r="O68" s="1554" t="n">
        <x:v>72925</x:v>
      </x:c>
      <x:c r="P68" s="1554" t="n">
        <x:v>0</x:v>
      </x:c>
      <x:c r="Q68" s="1554" t="n">
        <x:v>0</x:v>
      </x:c>
      <x:c r="R68" s="1555" t="n">
        <x:f>MAX(0,G68-L68-M68-N68-O68+P68)</x:f>
        <x:v>168665</x:v>
      </x:c>
      <x:c r="S68" s="1555" t="str">
        <x:f>IF(T68="NET",Q68-R68,"")</x:f>
      </x:c>
      <x:c r="T68" s="1552" t="str">
        <x:v>GROSS</x:v>
      </x:c>
      <x:c r="U68" s="1558" t="n">
        <x:v>7.06</x:v>
      </x:c>
      <x:c r="V68" s="1554" t="n">
        <x:v>72925</x:v>
      </x:c>
      <x:c r="W68" s="1555" t="n">
        <x:f>IF(T68="NET",Q68*U68/100,G68*U68/100)</x:f>
        <x:v>72936.2952</x:v>
      </x:c>
      <x:c r="X68" s="1555" t="n">
        <x:f>V68-W68</x:f>
        <x:v>-11.295199999993201</x:v>
      </x:c>
      <x:c r="Y68" s="1552" t="str">
        <x:v>PRE</x:v>
      </x:c>
      <x:c r="Z68" s="1554" t="n">
        <x:v>11096841</x:v>
      </x:c>
      <x:c r="AA68" s="1155" t="str"/>
      <x:c r="AB68" s="1560" t="n">
        <x:v>7</x:v>
      </x:c>
      <x:c r="AC68" s="1155" t="str">
        <x:v>https://www.alberta.ca/royalty-oil-sands-project-data.aspx?dto=0&amp;dtp=7&amp;dtq=&amp;dts=0</x:v>
      </x:c>
      <x:c r="AD68" s="1559" t="str">
        <x:f>IF(ABS(H68)&lt;=Model_Parameters!$B$7,"PASS","REVIEW")</x:f>
        <x:v>REVIEW</x:v>
      </x:c>
      <x:c r="AE68" s="1559" t="str">
        <x:f>IF(T68&lt;&gt;"NET","N/A",IF(ABS(S68)&lt;=Model_Parameters!$B$7,"PASS","REVIEW"))</x:f>
        <x:v>N/A</x:v>
      </x:c>
      <x:c r="AF68" s="1559" t="str">
        <x:f>IF(ABS(X68)&lt;=Model_Parameters!$B$7,"WITHIN TOLERANCE","DISPLAY RATE / ADJUSTMENT")</x:f>
        <x:v>WITHIN TOLERANCE</x:v>
      </x:c>
    </x:row>
    <x:row r="69" ht="18" customHeight="1">
      <x:c r="A69" s="1552" t="str">
        <x:v>OSR088</x:v>
      </x:c>
      <x:c r="B69" s="1155" t="str">
        <x:v>The Great Divide Oil Sands Project</x:v>
      </x:c>
      <x:c r="C69" s="1155" t="str">
        <x:v>CONNACHER OIL AND GAS LIMITED</x:v>
      </x:c>
      <x:c r="D69" s="1553" t="n">
        <x:v>2024</x:v>
      </x:c>
      <x:c r="E69" s="1554" t="n">
        <x:v>271631118</x:v>
      </x:c>
      <x:c r="F69" s="1554" t="n">
        <x:v>68993559</x:v>
      </x:c>
      <x:c r="G69" s="1554" t="n">
        <x:v>202637560</x:v>
      </x:c>
      <x:c r="H69" s="1555" t="n">
        <x:f>E69-F69-G69</x:f>
        <x:v>-1</x:v>
      </x:c>
      <x:c r="I69" s="1554" t="n">
        <x:v>3505406</x:v>
      </x:c>
      <x:c r="J69" s="1556" t="n">
        <x:v>57.81</x:v>
      </x:c>
      <x:c r="K69" s="1557" t="n">
        <x:f>IF(I69=0,0,G69/I69)</x:f>
        <x:v>57.80715842900936</x:v>
      </x:c>
      <x:c r="L69" s="1554" t="n">
        <x:v>44759357</x:v>
      </x:c>
      <x:c r="M69" s="1554" t="n">
        <x:v>61406923</x:v>
      </x:c>
      <x:c r="N69" s="1554" t="n">
        <x:v>1316656</x:v>
      </x:c>
      <x:c r="O69" s="1554" t="n">
        <x:v>14547531</x:v>
      </x:c>
      <x:c r="P69" s="1554" t="n">
        <x:v>380156</x:v>
      </x:c>
      <x:c r="Q69" s="1554" t="n">
        <x:v>0</x:v>
      </x:c>
      <x:c r="R69" s="1555" t="n">
        <x:f>MAX(0,G69-L69-M69-N69-O69+P69)</x:f>
        <x:v>80987249</x:v>
      </x:c>
      <x:c r="S69" s="1555" t="str">
        <x:f>IF(T69="NET",Q69-R69,"")</x:f>
      </x:c>
      <x:c r="T69" s="1552" t="str">
        <x:v>GROSS</x:v>
      </x:c>
      <x:c r="U69" s="1558" t="n">
        <x:v>7.18</x:v>
      </x:c>
      <x:c r="V69" s="1554" t="n">
        <x:v>14547531</x:v>
      </x:c>
      <x:c r="W69" s="1555" t="n">
        <x:f>IF(T69="NET",Q69*U69/100,G69*U69/100)</x:f>
        <x:v>14549376.808</x:v>
      </x:c>
      <x:c r="X69" s="1555" t="n">
        <x:f>V69-W69</x:f>
        <x:v>-1845.8080000001937</x:v>
      </x:c>
      <x:c r="Y69" s="1552" t="str">
        <x:v>PRE</x:v>
      </x:c>
      <x:c r="Z69" s="1554" t="n">
        <x:v>2343105</x:v>
      </x:c>
      <x:c r="AA69" s="1155" t="str">
        <x:v>Project achieved payout in reporting year, therefore has both pre and post payout periods reported.</x:v>
      </x:c>
      <x:c r="AB69" s="1560" t="n">
        <x:v>7</x:v>
      </x:c>
      <x:c r="AC69" s="1155" t="str">
        <x:v>https://www.alberta.ca/royalty-oil-sands-project-data.aspx?dto=0&amp;dtp=7&amp;dtq=&amp;dts=0</x:v>
      </x:c>
      <x:c r="AD69" s="1559" t="str">
        <x:f>IF(ABS(H69)&lt;=Model_Parameters!$B$7,"PASS","REVIEW")</x:f>
        <x:v>PASS</x:v>
      </x:c>
      <x:c r="AE69" s="1559" t="str">
        <x:f>IF(T69&lt;&gt;"NET","N/A",IF(ABS(S69)&lt;=Model_Parameters!$B$7,"PASS","REVIEW"))</x:f>
        <x:v>N/A</x:v>
      </x:c>
      <x:c r="AF69" s="1559" t="str">
        <x:f>IF(ABS(X69)&lt;=Model_Parameters!$B$7,"WITHIN TOLERANCE","DISPLAY RATE / ADJUSTMENT")</x:f>
        <x:v>DISPLAY RATE / ADJUSTMENT</x:v>
      </x:c>
    </x:row>
    <x:row r="70" ht="18" customHeight="1">
      <x:c r="A70" s="1552" t="str">
        <x:v>OSR088</x:v>
      </x:c>
      <x:c r="B70" s="1155" t="str">
        <x:v>The Great Divide Oil Sands Project</x:v>
      </x:c>
      <x:c r="C70" s="1155" t="str">
        <x:v>CONNACHER OIL AND GAS LIMITED</x:v>
      </x:c>
      <x:c r="D70" s="1553" t="n">
        <x:v>2024</x:v>
      </x:c>
      <x:c r="E70" s="1554" t="n">
        <x:v>36739572</x:v>
      </x:c>
      <x:c r="F70" s="1554" t="n">
        <x:v>16904268</x:v>
      </x:c>
      <x:c r="G70" s="1554" t="n">
        <x:v>19835304</x:v>
      </x:c>
      <x:c r="H70" s="1555" t="n">
        <x:f>E70-F70-G70</x:f>
        <x:v>0</x:v>
      </x:c>
      <x:c r="I70" s="1554" t="n">
        <x:v>309160</x:v>
      </x:c>
      <x:c r="J70" s="1556" t="n">
        <x:v>64.16</x:v>
      </x:c>
      <x:c r="K70" s="1557" t="n">
        <x:f>IF(I70=0,0,G70/I70)</x:f>
        <x:v>64.1587009962479</x:v>
      </x:c>
      <x:c r="L70" s="1554" t="n">
        <x:v>3445273</x:v>
      </x:c>
      <x:c r="M70" s="1554" t="n">
        <x:v>6851213</x:v>
      </x:c>
      <x:c r="N70" s="1554" t="n">
        <x:v>0</x:v>
      </x:c>
      <x:c r="O70" s="1554" t="n">
        <x:v>0</x:v>
      </x:c>
      <x:c r="P70" s="1554" t="n">
        <x:v>28088</x:v>
      </x:c>
      <x:c r="Q70" s="1554" t="n">
        <x:v>7217473</x:v>
      </x:c>
      <x:c r="R70" s="1555" t="n">
        <x:f>MAX(0,G70-L70-M70-N70-O70+P70)</x:f>
        <x:v>9566906</x:v>
      </x:c>
      <x:c r="S70" s="1555" t="n">
        <x:f>IF(T70="NET",Q70-R70,"")</x:f>
        <x:v>-2349433</x:v>
      </x:c>
      <x:c r="T70" s="1552" t="str">
        <x:v>NET</x:v>
      </x:c>
      <x:c r="U70" s="1558" t="n">
        <x:v>36.31</x:v>
      </x:c>
      <x:c r="V70" s="1554" t="n">
        <x:v>2620331</x:v>
      </x:c>
      <x:c r="W70" s="1555" t="n">
        <x:f>IF(T70="NET",Q70*U70/100,G70*U70/100)</x:f>
        <x:v>2620664.4463000004</x:v>
      </x:c>
      <x:c r="X70" s="1555" t="n">
        <x:f>V70-W70</x:f>
        <x:v>-333.446300000418</x:v>
      </x:c>
      <x:c r="Y70" s="1552" t="str">
        <x:v>POST</x:v>
      </x:c>
      <x:c r="Z70" s="1554" t="n">
        <x:v>0</x:v>
      </x:c>
      <x:c r="AA70" s="1155" t="str">
        <x:v>Project achieved payout in reporting year, therefore has both pre and post payout periods reported.</x:v>
      </x:c>
      <x:c r="AB70" s="1560" t="n">
        <x:v>7</x:v>
      </x:c>
      <x:c r="AC70" s="1155" t="str">
        <x:v>https://www.alberta.ca/royalty-oil-sands-project-data.aspx?dto=0&amp;dtp=7&amp;dtq=&amp;dts=0</x:v>
      </x:c>
      <x:c r="AD70" s="1559" t="str">
        <x:f>IF(ABS(H70)&lt;=Model_Parameters!$B$7,"PASS","REVIEW")</x:f>
        <x:v>PASS</x:v>
      </x:c>
      <x:c r="AE70" s="1559" t="str">
        <x:f>IF(T70&lt;&gt;"NET","N/A",IF(ABS(S70)&lt;=Model_Parameters!$B$7,"PASS","REVIEW"))</x:f>
        <x:v>REVIEW</x:v>
      </x:c>
      <x:c r="AF70" s="1559" t="str">
        <x:f>IF(ABS(X70)&lt;=Model_Parameters!$B$7,"WITHIN TOLERANCE","DISPLAY RATE / ADJUSTMENT")</x:f>
        <x:v>WITHIN TOLERANCE</x:v>
      </x:c>
    </x:row>
    <x:row r="71" ht="18" customHeight="1">
      <x:c r="A71" s="1552" t="str">
        <x:v>OSR090</x:v>
      </x:c>
      <x:c r="B71" s="1155" t="str">
        <x:v>Seal-Northern Cadotte Block II</x:v>
      </x:c>
      <x:c r="C71" s="1155" t="str">
        <x:v>BAYTEX ENERGY LTD.</x:v>
      </x:c>
      <x:c r="D71" s="1553" t="n">
        <x:v>2024</x:v>
      </x:c>
      <x:c r="E71" s="1554" t="n">
        <x:v>0</x:v>
      </x:c>
      <x:c r="F71" s="1554" t="n">
        <x:v>0</x:v>
      </x:c>
      <x:c r="G71" s="1554" t="n">
        <x:v>0</x:v>
      </x:c>
      <x:c r="H71" s="1555" t="n">
        <x:f>E71-F71-G71</x:f>
        <x:v>0</x:v>
      </x:c>
      <x:c r="I71" s="1554" t="n">
        <x:v>0</x:v>
      </x:c>
      <x:c r="J71" s="1556" t="n">
        <x:v>0</x:v>
      </x:c>
      <x:c r="K71" s="1557" t="n">
        <x:f>IF(I71=0,0,G71/I71)</x:f>
        <x:v>0</x:v>
      </x:c>
      <x:c r="L71" s="1554" t="n">
        <x:v>3455</x:v>
      </x:c>
      <x:c r="M71" s="1554" t="n">
        <x:v>0</x:v>
      </x:c>
      <x:c r="N71" s="1554" t="n">
        <x:v>0</x:v>
      </x:c>
      <x:c r="O71" s="1554" t="n">
        <x:v>0</x:v>
      </x:c>
      <x:c r="P71" s="1554" t="n">
        <x:v>0</x:v>
      </x:c>
      <x:c r="Q71" s="1554" t="n">
        <x:v>0</x:v>
      </x:c>
      <x:c r="R71" s="1555" t="n">
        <x:f>MAX(0,G71-L71-M71-N71-O71+P71)</x:f>
        <x:v>0</x:v>
      </x:c>
      <x:c r="S71" s="1555" t="str">
        <x:f>IF(T71="NET",Q71-R71,"")</x:f>
      </x:c>
      <x:c r="T71" s="1552" t="str">
        <x:v>GROSS</x:v>
      </x:c>
      <x:c r="U71" s="1558" t="n">
        <x:v>0</x:v>
      </x:c>
      <x:c r="V71" s="1554" t="n">
        <x:v>0</x:v>
      </x:c>
      <x:c r="W71" s="1555" t="n">
        <x:f>IF(T71="NET",Q71*U71/100,G71*U71/100)</x:f>
        <x:v>0</x:v>
      </x:c>
      <x:c r="X71" s="1555" t="n">
        <x:f>V71-W71</x:f>
        <x:v>0</x:v>
      </x:c>
      <x:c r="Y71" s="1552" t="str">
        <x:v>PRE</x:v>
      </x:c>
      <x:c r="Z71" s="1554" t="n">
        <x:v>2816253</x:v>
      </x:c>
      <x:c r="AA71" s="1155" t="str"/>
      <x:c r="AB71" s="1560" t="n">
        <x:v>7</x:v>
      </x:c>
      <x:c r="AC71" s="1155" t="str">
        <x:v>https://www.alberta.ca/royalty-oil-sands-project-data.aspx?dto=0&amp;dtp=7&amp;dtq=&amp;dts=0</x:v>
      </x:c>
      <x:c r="AD71" s="1559" t="str">
        <x:f>IF(ABS(H71)&lt;=Model_Parameters!$B$7,"PASS","REVIEW")</x:f>
        <x:v>PASS</x:v>
      </x:c>
      <x:c r="AE71" s="1559" t="str">
        <x:f>IF(T71&lt;&gt;"NET","N/A",IF(ABS(S71)&lt;=Model_Parameters!$B$7,"PASS","REVIEW"))</x:f>
        <x:v>N/A</x:v>
      </x:c>
      <x:c r="AF71" s="1559" t="str">
        <x:f>IF(ABS(X71)&lt;=Model_Parameters!$B$7,"WITHIN TOLERANCE","DISPLAY RATE / ADJUSTMENT")</x:f>
        <x:v>WITHIN TOLERANCE</x:v>
      </x:c>
    </x:row>
    <x:row r="72" ht="18" customHeight="1">
      <x:c r="A72" s="1552" t="str">
        <x:v>OSR091</x:v>
      </x:c>
      <x:c r="B72" s="1155" t="str">
        <x:v>Kearl</x:v>
      </x:c>
      <x:c r="C72" s="1155" t="str">
        <x:v>IMPERIAL OIL RESOURCES LIMITED</x:v>
      </x:c>
      <x:c r="D72" s="1553" t="n">
        <x:v>2024</x:v>
      </x:c>
      <x:c r="E72" s="1554" t="n">
        <x:v>11480973828</x:v>
      </x:c>
      <x:c r="F72" s="1554" t="n">
        <x:v>4132039263</x:v>
      </x:c>
      <x:c r="G72" s="1554" t="n">
        <x:v>7348934565</x:v>
      </x:c>
      <x:c r="H72" s="1555" t="n">
        <x:f>E72-F72-G72</x:f>
        <x:v>0</x:v>
      </x:c>
      <x:c r="I72" s="1554" t="n">
        <x:v>102067737</x:v>
      </x:c>
      <x:c r="J72" s="1556" t="n">
        <x:v>72</x:v>
      </x:c>
      <x:c r="K72" s="1557" t="n">
        <x:f>IF(I72=0,0,G72/I72)</x:f>
        <x:v>72.0005633611726</x:v>
      </x:c>
      <x:c r="L72" s="1554" t="n">
        <x:v>2666338194</x:v>
      </x:c>
      <x:c r="M72" s="1554" t="n">
        <x:v>842544684</x:v>
      </x:c>
      <x:c r="N72" s="1554" t="n">
        <x:v>873028425</x:v>
      </x:c>
      <x:c r="O72" s="1554" t="n">
        <x:v>518075545</x:v>
      </x:c>
      <x:c r="P72" s="1554" t="n">
        <x:v>1233675</x:v>
      </x:c>
      <x:c r="Q72" s="1554" t="n">
        <x:v>0</x:v>
      </x:c>
      <x:c r="R72" s="1555" t="n">
        <x:f>MAX(0,G72-L72-M72-N72-O72+P72)</x:f>
        <x:v>2450181392</x:v>
      </x:c>
      <x:c r="S72" s="1555" t="str">
        <x:f>IF(T72="NET",Q72-R72,"")</x:f>
      </x:c>
      <x:c r="T72" s="1552" t="str">
        <x:v>GROSS</x:v>
      </x:c>
      <x:c r="U72" s="1558" t="n">
        <x:v>7.05</x:v>
      </x:c>
      <x:c r="V72" s="1554" t="n">
        <x:v>518075545</x:v>
      </x:c>
      <x:c r="W72" s="1555" t="n">
        <x:f>IF(T72="NET",Q72*U72/100,G72*U72/100)</x:f>
        <x:v>518099886.8325</x:v>
      </x:c>
      <x:c r="X72" s="1555" t="n">
        <x:f>V72-W72</x:f>
        <x:v>-24341.832499980927</x:v>
      </x:c>
      <x:c r="Y72" s="1552" t="str">
        <x:v>PRE</x:v>
      </x:c>
      <x:c r="Z72" s="1554" t="n">
        <x:v>25296343571</x:v>
      </x:c>
      <x:c r="AA72" s="1155" t="str"/>
      <x:c r="AB72" s="1560" t="n">
        <x:v>7</x:v>
      </x:c>
      <x:c r="AC72" s="1155" t="str">
        <x:v>https://www.alberta.ca/royalty-oil-sands-project-data.aspx?dto=0&amp;dtp=7&amp;dtq=&amp;dts=0</x:v>
      </x:c>
      <x:c r="AD72" s="1559" t="str">
        <x:f>IF(ABS(H72)&lt;=Model_Parameters!$B$7,"PASS","REVIEW")</x:f>
        <x:v>PASS</x:v>
      </x:c>
      <x:c r="AE72" s="1559" t="str">
        <x:f>IF(T72&lt;&gt;"NET","N/A",IF(ABS(S72)&lt;=Model_Parameters!$B$7,"PASS","REVIEW"))</x:f>
        <x:v>N/A</x:v>
      </x:c>
      <x:c r="AF72" s="1559" t="str">
        <x:f>IF(ABS(X72)&lt;=Model_Parameters!$B$7,"WITHIN TOLERANCE","DISPLAY RATE / ADJUSTMENT")</x:f>
        <x:v>DISPLAY RATE / ADJUSTMENT</x:v>
      </x:c>
    </x:row>
    <x:row r="73" ht="18" customHeight="1">
      <x:c r="A73" s="1552" t="str">
        <x:v>OSR093</x:v>
      </x:c>
      <x:c r="B73" s="1155" t="str">
        <x:v>South Wabasca</x:v>
      </x:c>
      <x:c r="C73" s="1155" t="str">
        <x:v>CANADIAN NATURAL RESOURCES LIMITED</x:v>
      </x:c>
      <x:c r="D73" s="1553" t="n">
        <x:v>2024</x:v>
      </x:c>
      <x:c r="E73" s="1554" t="n">
        <x:v>3036538</x:v>
      </x:c>
      <x:c r="F73" s="1554" t="n">
        <x:v>444558</x:v>
      </x:c>
      <x:c r="G73" s="1554" t="n">
        <x:v>2591980</x:v>
      </x:c>
      <x:c r="H73" s="1555" t="n">
        <x:f>E73-F73-G73</x:f>
        <x:v>0</x:v>
      </x:c>
      <x:c r="I73" s="1554" t="n">
        <x:v>33523</x:v>
      </x:c>
      <x:c r="J73" s="1556" t="n">
        <x:v>77.32</x:v>
      </x:c>
      <x:c r="K73" s="1557" t="n">
        <x:f>IF(I73=0,0,G73/I73)</x:f>
        <x:v>77.31945231632014</x:v>
      </x:c>
      <x:c r="L73" s="1554" t="n">
        <x:v>2344078</x:v>
      </x:c>
      <x:c r="M73" s="1554" t="n">
        <x:v>4866096</x:v>
      </x:c>
      <x:c r="N73" s="1554" t="n">
        <x:v>1087473</x:v>
      </x:c>
      <x:c r="O73" s="1554" t="n">
        <x:v>183880</x:v>
      </x:c>
      <x:c r="P73" s="1554" t="n">
        <x:v>0</x:v>
      </x:c>
      <x:c r="Q73" s="1554" t="n">
        <x:v>0</x:v>
      </x:c>
      <x:c r="R73" s="1555" t="n">
        <x:f>MAX(0,G73-L73-M73-N73-O73+P73)</x:f>
        <x:v>0</x:v>
      </x:c>
      <x:c r="S73" s="1555" t="str">
        <x:f>IF(T73="NET",Q73-R73,"")</x:f>
      </x:c>
      <x:c r="T73" s="1552" t="str">
        <x:v>GROSS</x:v>
      </x:c>
      <x:c r="U73" s="1558" t="n">
        <x:v>7.09</x:v>
      </x:c>
      <x:c r="V73" s="1554" t="n">
        <x:v>183880</x:v>
      </x:c>
      <x:c r="W73" s="1555" t="n">
        <x:f>IF(T73="NET",Q73*U73/100,G73*U73/100)</x:f>
        <x:v>183771.38199999998</x:v>
      </x:c>
      <x:c r="X73" s="1555" t="n">
        <x:f>V73-W73</x:f>
        <x:v>108.61800000001676</x:v>
      </x:c>
      <x:c r="Y73" s="1552" t="str">
        <x:v>PRE</x:v>
      </x:c>
      <x:c r="Z73" s="1554" t="n">
        <x:v>37921367</x:v>
      </x:c>
      <x:c r="AA73" s="1155" t="str"/>
      <x:c r="AB73" s="1560" t="n">
        <x:v>8</x:v>
      </x:c>
      <x:c r="AC73" s="1155" t="str">
        <x:v>https://www.alberta.ca/royalty-oil-sands-project-data.aspx?dto=0&amp;dtp=8&amp;dtq=&amp;dts=0</x:v>
      </x:c>
      <x:c r="AD73" s="1559" t="str">
        <x:f>IF(ABS(H73)&lt;=Model_Parameters!$B$7,"PASS","REVIEW")</x:f>
        <x:v>PASS</x:v>
      </x:c>
      <x:c r="AE73" s="1559" t="str">
        <x:f>IF(T73&lt;&gt;"NET","N/A",IF(ABS(S73)&lt;=Model_Parameters!$B$7,"PASS","REVIEW"))</x:f>
        <x:v>N/A</x:v>
      </x:c>
      <x:c r="AF73" s="1559" t="str">
        <x:f>IF(ABS(X73)&lt;=Model_Parameters!$B$7,"WITHIN TOLERANCE","DISPLAY RATE / ADJUSTMENT")</x:f>
        <x:v>WITHIN TOLERANCE</x:v>
      </x:c>
    </x:row>
    <x:row r="74" ht="18" customHeight="1">
      <x:c r="A74" s="1552" t="str">
        <x:v>OSR094</x:v>
      </x:c>
      <x:c r="B74" s="1155" t="str">
        <x:v>Jackpine Mine</x:v>
      </x:c>
      <x:c r="C74" s="1155" t="str">
        <x:v>CANADIAN NATURAL RESOURCES LIMITED</x:v>
      </x:c>
      <x:c r="D74" s="1553" t="n">
        <x:v>2024</x:v>
      </x:c>
      <x:c r="E74" s="1554" t="n">
        <x:v>3630602042</x:v>
      </x:c>
      <x:c r="F74" s="1554" t="n">
        <x:v>0</x:v>
      </x:c>
      <x:c r="G74" s="1554" t="n">
        <x:v>3630602042</x:v>
      </x:c>
      <x:c r="H74" s="1555" t="n">
        <x:f>E74-F74-G74</x:f>
        <x:v>0</x:v>
      </x:c>
      <x:c r="I74" s="1554" t="n">
        <x:v>49327365</x:v>
      </x:c>
      <x:c r="J74" s="1556" t="n">
        <x:v>73.6</x:v>
      </x:c>
      <x:c r="K74" s="1557" t="n">
        <x:f>IF(I74=0,0,G74/I74)</x:f>
        <x:v>73.60218900806885</x:v>
      </x:c>
      <x:c r="L74" s="1554" t="n">
        <x:v>926105623</x:v>
      </x:c>
      <x:c r="M74" s="1554" t="n">
        <x:v>164989551</x:v>
      </x:c>
      <x:c r="N74" s="1554" t="n">
        <x:v>0</x:v>
      </x:c>
      <x:c r="O74" s="1554" t="n">
        <x:v>0</x:v>
      </x:c>
      <x:c r="P74" s="1554" t="n">
        <x:v>4548518</x:v>
      </x:c>
      <x:c r="Q74" s="1554" t="n">
        <x:v>2544055386</x:v>
      </x:c>
      <x:c r="R74" s="1555" t="n">
        <x:f>MAX(0,G74-L74-M74-N74-O74+P74)</x:f>
        <x:v>2544055386</x:v>
      </x:c>
      <x:c r="S74" s="1555" t="n">
        <x:f>IF(T74="NET",Q74-R74,"")</x:f>
        <x:v>0</x:v>
      </x:c>
      <x:c r="T74" s="1552" t="str">
        <x:v>NET</x:v>
      </x:c>
      <x:c r="U74" s="1558" t="n">
        <x:v>36.31</x:v>
      </x:c>
      <x:c r="V74" s="1554" t="n">
        <x:v>923628975</x:v>
      </x:c>
      <x:c r="W74" s="1555" t="n">
        <x:f>IF(T74="NET",Q74*U74/100,G74*U74/100)</x:f>
        <x:v>923746510.6566</x:v>
      </x:c>
      <x:c r="X74" s="1555" t="n">
        <x:f>V74-W74</x:f>
        <x:v>-117535.65659999847</x:v>
      </x:c>
      <x:c r="Y74" s="1552" t="str">
        <x:v>POST</x:v>
      </x:c>
      <x:c r="Z74" s="1554" t="n">
        <x:v>0</x:v>
      </x:c>
      <x:c r="AA74" s="1155" t="str">
        <x:v>Project is subject to the Bitumen Valuation Methodology (BVM) in one or more production months.</x:v>
      </x:c>
      <x:c r="AB74" s="1560" t="n">
        <x:v>8</x:v>
      </x:c>
      <x:c r="AC74" s="1155" t="str">
        <x:v>https://www.alberta.ca/royalty-oil-sands-project-data.aspx?dto=0&amp;dtp=8&amp;dtq=&amp;dts=0</x:v>
      </x:c>
      <x:c r="AD74" s="1559" t="str">
        <x:f>IF(ABS(H74)&lt;=Model_Parameters!$B$7,"PASS","REVIEW")</x:f>
        <x:v>PASS</x:v>
      </x:c>
      <x:c r="AE74" s="1559" t="str">
        <x:f>IF(T74&lt;&gt;"NET","N/A",IF(ABS(S74)&lt;=Model_Parameters!$B$7,"PASS","REVIEW"))</x:f>
        <x:v>PASS</x:v>
      </x:c>
      <x:c r="AF74" s="1559" t="str">
        <x:f>IF(ABS(X74)&lt;=Model_Parameters!$B$7,"WITHIN TOLERANCE","DISPLAY RATE / ADJUSTMENT")</x:f>
        <x:v>DISPLAY RATE / ADJUSTMENT</x:v>
      </x:c>
    </x:row>
    <x:row r="75" ht="18" customHeight="1">
      <x:c r="A75" s="1552" t="str">
        <x:v>OSR098</x:v>
      </x:c>
      <x:c r="B75" s="1155" t="str">
        <x:v>Koch Reita Lake</x:v>
      </x:c>
      <x:c r="C75" s="1155" t="str">
        <x:v>BAYTEX ENERGY LTD.</x:v>
      </x:c>
      <x:c r="D75" s="1553" t="n">
        <x:v>2024</x:v>
      </x:c>
      <x:c r="E75" s="1554" t="n">
        <x:v>12495317</x:v>
      </x:c>
      <x:c r="F75" s="1554" t="n">
        <x:v>0</x:v>
      </x:c>
      <x:c r="G75" s="1554" t="n">
        <x:v>12495317</x:v>
      </x:c>
      <x:c r="H75" s="1555" t="n">
        <x:f>E75-F75-G75</x:f>
        <x:v>0</x:v>
      </x:c>
      <x:c r="I75" s="1554" t="n">
        <x:v>172377</x:v>
      </x:c>
      <x:c r="J75" s="1556" t="n">
        <x:v>72.49</x:v>
      </x:c>
      <x:c r="K75" s="1557" t="n">
        <x:f>IF(I75=0,0,G75/I75)</x:f>
        <x:v>72.48830760484287</x:v>
      </x:c>
      <x:c r="L75" s="1554" t="n">
        <x:v>3512680</x:v>
      </x:c>
      <x:c r="M75" s="1554" t="n">
        <x:v>5775605</x:v>
      </x:c>
      <x:c r="N75" s="1554" t="n">
        <x:v>555929</x:v>
      </x:c>
      <x:c r="O75" s="1554" t="n">
        <x:v>17408449</x:v>
      </x:c>
      <x:c r="P75" s="1554" t="n">
        <x:v>0</x:v>
      </x:c>
      <x:c r="Q75" s="1554" t="n">
        <x:v>0</x:v>
      </x:c>
      <x:c r="R75" s="1555" t="n">
        <x:f>MAX(0,G75-L75-M75-N75-O75+P75)</x:f>
        <x:v>0</x:v>
      </x:c>
      <x:c r="S75" s="1555" t="str">
        <x:f>IF(T75="NET",Q75-R75,"")</x:f>
      </x:c>
      <x:c r="T75" s="1552" t="str">
        <x:v>GROSS</x:v>
      </x:c>
      <x:c r="U75" s="1558" t="n">
        <x:v>7.03</x:v>
      </x:c>
      <x:c r="V75" s="1554" t="n">
        <x:v>878363</x:v>
      </x:c>
      <x:c r="W75" s="1555" t="n">
        <x:f>IF(T75="NET",Q75*U75/100,G75*U75/100)</x:f>
        <x:v>878420.7851000001</x:v>
      </x:c>
      <x:c r="X75" s="1555" t="n">
        <x:f>V75-W75</x:f>
        <x:v>-57.785100000095554</x:v>
      </x:c>
      <x:c r="Y75" s="1552" t="str">
        <x:v>POST</x:v>
      </x:c>
      <x:c r="Z75" s="1554" t="n">
        <x:v>14757346</x:v>
      </x:c>
      <x:c r="AA75" s="1155" t="str"/>
      <x:c r="AB75" s="1560" t="n">
        <x:v>8</x:v>
      </x:c>
      <x:c r="AC75" s="1155" t="str">
        <x:v>https://www.alberta.ca/royalty-oil-sands-project-data.aspx?dto=0&amp;dtp=8&amp;dtq=&amp;dts=0</x:v>
      </x:c>
      <x:c r="AD75" s="1559" t="str">
        <x:f>IF(ABS(H75)&lt;=Model_Parameters!$B$7,"PASS","REVIEW")</x:f>
        <x:v>PASS</x:v>
      </x:c>
      <x:c r="AE75" s="1559" t="str">
        <x:f>IF(T75&lt;&gt;"NET","N/A",IF(ABS(S75)&lt;=Model_Parameters!$B$7,"PASS","REVIEW"))</x:f>
        <x:v>N/A</x:v>
      </x:c>
      <x:c r="AF75" s="1559" t="str">
        <x:f>IF(ABS(X75)&lt;=Model_Parameters!$B$7,"WITHIN TOLERANCE","DISPLAY RATE / ADJUSTMENT")</x:f>
        <x:v>WITHIN TOLERANCE</x:v>
      </x:c>
    </x:row>
    <x:row r="76" ht="18" customHeight="1">
      <x:c r="A76" s="1552" t="str">
        <x:v>OSR099</x:v>
      </x:c>
      <x:c r="B76" s="1155" t="str">
        <x:v>McMullen Primary Heavy Oil Project</x:v>
      </x:c>
      <x:c r="C76" s="1155" t="str">
        <x:v>CENOVUS ENERGY INC.</x:v>
      </x:c>
      <x:c r="D76" s="1553" t="n">
        <x:v>2024</x:v>
      </x:c>
      <x:c r="E76" s="1554" t="n">
        <x:v>7646943</x:v>
      </x:c>
      <x:c r="F76" s="1554" t="n">
        <x:v>993830</x:v>
      </x:c>
      <x:c r="G76" s="1554" t="n">
        <x:v>6653113</x:v>
      </x:c>
      <x:c r="H76" s="1555" t="n">
        <x:f>E76-F76-G76</x:f>
        <x:v>0</x:v>
      </x:c>
      <x:c r="I76" s="1554" t="n">
        <x:v>92623</x:v>
      </x:c>
      <x:c r="J76" s="1556" t="n">
        <x:v>71.83</x:v>
      </x:c>
      <x:c r="K76" s="1557" t="n">
        <x:f>IF(I76=0,0,G76/I76)</x:f>
        <x:v>71.83003141768243</x:v>
      </x:c>
      <x:c r="L76" s="1554" t="n">
        <x:v>5506955</x:v>
      </x:c>
      <x:c r="M76" s="1554" t="n">
        <x:v>0</x:v>
      </x:c>
      <x:c r="N76" s="1554" t="n">
        <x:v>1161728</x:v>
      </x:c>
      <x:c r="O76" s="1554" t="n">
        <x:v>473729</x:v>
      </x:c>
      <x:c r="P76" s="1554" t="n">
        <x:v>334307</x:v>
      </x:c>
      <x:c r="Q76" s="1554" t="n">
        <x:v>0</x:v>
      </x:c>
      <x:c r="R76" s="1555" t="n">
        <x:f>MAX(0,G76-L76-M76-N76-O76+P76)</x:f>
        <x:v>0</x:v>
      </x:c>
      <x:c r="S76" s="1555" t="str">
        <x:f>IF(T76="NET",Q76-R76,"")</x:f>
      </x:c>
      <x:c r="T76" s="1552" t="str">
        <x:v>GROSS</x:v>
      </x:c>
      <x:c r="U76" s="1558" t="n">
        <x:v>7.12</x:v>
      </x:c>
      <x:c r="V76" s="1554" t="n">
        <x:v>473729</x:v>
      </x:c>
      <x:c r="W76" s="1555" t="n">
        <x:f>IF(T76="NET",Q76*U76/100,G76*U76/100)</x:f>
        <x:v>473701.64560000005</x:v>
      </x:c>
      <x:c r="X76" s="1555" t="n">
        <x:f>V76-W76</x:f>
        <x:v>27.354399999952875</x:v>
      </x:c>
      <x:c r="Y76" s="1552" t="str">
        <x:v>PRE</x:v>
      </x:c>
      <x:c r="Z76" s="1554" t="n">
        <x:v>35846750</x:v>
      </x:c>
      <x:c r="AA76" s="1155" t="str">
        <x:v>Project is subject to the Bitumen Valuation Methodology (BVM) in one or more production months.</x:v>
      </x:c>
      <x:c r="AB76" s="1560" t="n">
        <x:v>8</x:v>
      </x:c>
      <x:c r="AC76" s="1155" t="str">
        <x:v>https://www.alberta.ca/royalty-oil-sands-project-data.aspx?dto=0&amp;dtp=8&amp;dtq=&amp;dts=0</x:v>
      </x:c>
      <x:c r="AD76" s="1559" t="str">
        <x:f>IF(ABS(H76)&lt;=Model_Parameters!$B$7,"PASS","REVIEW")</x:f>
        <x:v>PASS</x:v>
      </x:c>
      <x:c r="AE76" s="1559" t="str">
        <x:f>IF(T76&lt;&gt;"NET","N/A",IF(ABS(S76)&lt;=Model_Parameters!$B$7,"PASS","REVIEW"))</x:f>
        <x:v>N/A</x:v>
      </x:c>
      <x:c r="AF76" s="1559" t="str">
        <x:f>IF(ABS(X76)&lt;=Model_Parameters!$B$7,"WITHIN TOLERANCE","DISPLAY RATE / ADJUSTMENT")</x:f>
        <x:v>WITHIN TOLERANCE</x:v>
      </x:c>
    </x:row>
    <x:row r="77" ht="18" customHeight="1">
      <x:c r="A77" s="1552" t="str">
        <x:v>OSR101</x:v>
      </x:c>
      <x:c r="B77" s="1155" t="str">
        <x:v>South Brintnell</x:v>
      </x:c>
      <x:c r="C77" s="1155" t="str">
        <x:v>CANADIAN NATURAL RESOURCES LIMITED</x:v>
      </x:c>
      <x:c r="D77" s="1553" t="n">
        <x:v>2024</x:v>
      </x:c>
      <x:c r="E77" s="1554" t="n">
        <x:v>817943562</x:v>
      </x:c>
      <x:c r="F77" s="1554" t="n">
        <x:v>119031803</x:v>
      </x:c>
      <x:c r="G77" s="1554" t="n">
        <x:v>698911759</x:v>
      </x:c>
      <x:c r="H77" s="1555" t="n">
        <x:f>E77-F77-G77</x:f>
        <x:v>0</x:v>
      </x:c>
      <x:c r="I77" s="1554" t="n">
        <x:v>8882462</x:v>
      </x:c>
      <x:c r="J77" s="1556" t="n">
        <x:v>78.68</x:v>
      </x:c>
      <x:c r="K77" s="1557" t="n">
        <x:f>IF(I77=0,0,G77/I77)</x:f>
        <x:v>78.68446372188251</x:v>
      </x:c>
      <x:c r="L77" s="1554" t="n">
        <x:v>83626126</x:v>
      </x:c>
      <x:c r="M77" s="1554" t="n">
        <x:v>67690306</x:v>
      </x:c>
      <x:c r="N77" s="1554" t="n">
        <x:v>0</x:v>
      </x:c>
      <x:c r="O77" s="1554" t="n">
        <x:v>0</x:v>
      </x:c>
      <x:c r="P77" s="1554" t="n">
        <x:v>9781082</x:v>
      </x:c>
      <x:c r="Q77" s="1554" t="n">
        <x:v>557376409</x:v>
      </x:c>
      <x:c r="R77" s="1555" t="n">
        <x:f>MAX(0,G77-L77-M77-N77-O77+P77)</x:f>
        <x:v>557376409</x:v>
      </x:c>
      <x:c r="S77" s="1555" t="n">
        <x:f>IF(T77="NET",Q77-R77,"")</x:f>
        <x:v>0</x:v>
      </x:c>
      <x:c r="T77" s="1552" t="str">
        <x:v>NET</x:v>
      </x:c>
      <x:c r="U77" s="1558" t="n">
        <x:v>36.31</x:v>
      </x:c>
      <x:c r="V77" s="1554" t="n">
        <x:v>202357623</x:v>
      </x:c>
      <x:c r="W77" s="1555" t="n">
        <x:f>IF(T77="NET",Q77*U77/100,G77*U77/100)</x:f>
        <x:v>202383374.10790002</x:v>
      </x:c>
      <x:c r="X77" s="1555" t="n">
        <x:f>V77-W77</x:f>
        <x:v>-25751.10790002346</x:v>
      </x:c>
      <x:c r="Y77" s="1552" t="str">
        <x:v>POST</x:v>
      </x:c>
      <x:c r="Z77" s="1554" t="n">
        <x:v>0</x:v>
      </x:c>
      <x:c r="AA77" s="1155" t="str"/>
      <x:c r="AB77" s="1560" t="n">
        <x:v>8</x:v>
      </x:c>
      <x:c r="AC77" s="1155" t="str">
        <x:v>https://www.alberta.ca/royalty-oil-sands-project-data.aspx?dto=0&amp;dtp=8&amp;dtq=&amp;dts=0</x:v>
      </x:c>
      <x:c r="AD77" s="1559" t="str">
        <x:f>IF(ABS(H77)&lt;=Model_Parameters!$B$7,"PASS","REVIEW")</x:f>
        <x:v>PASS</x:v>
      </x:c>
      <x:c r="AE77" s="1559" t="str">
        <x:f>IF(T77&lt;&gt;"NET","N/A",IF(ABS(S77)&lt;=Model_Parameters!$B$7,"PASS","REVIEW"))</x:f>
        <x:v>PASS</x:v>
      </x:c>
      <x:c r="AF77" s="1559" t="str">
        <x:f>IF(ABS(X77)&lt;=Model_Parameters!$B$7,"WITHIN TOLERANCE","DISPLAY RATE / ADJUSTMENT")</x:f>
        <x:v>DISPLAY RATE / ADJUSTMENT</x:v>
      </x:c>
    </x:row>
    <x:row r="78" ht="18" customHeight="1">
      <x:c r="A78" s="1552" t="str">
        <x:v>OSR105</x:v>
      </x:c>
      <x:c r="B78" s="1155" t="str">
        <x:v>Seal South</x:v>
      </x:c>
      <x:c r="C78" s="1155" t="str">
        <x:v>CAVALIER ENERGY INC.</x:v>
      </x:c>
      <x:c r="D78" s="1553" t="n">
        <x:v>2024</x:v>
      </x:c>
      <x:c r="E78" s="1554" t="n">
        <x:v>0</x:v>
      </x:c>
      <x:c r="F78" s="1554" t="n">
        <x:v>0</x:v>
      </x:c>
      <x:c r="G78" s="1554" t="n">
        <x:v>0</x:v>
      </x:c>
      <x:c r="H78" s="1555" t="n">
        <x:f>E78-F78-G78</x:f>
        <x:v>0</x:v>
      </x:c>
      <x:c r="I78" s="1554" t="n">
        <x:v>0</x:v>
      </x:c>
      <x:c r="J78" s="1556" t="n">
        <x:v>0</x:v>
      </x:c>
      <x:c r="K78" s="1557" t="n">
        <x:f>IF(I78=0,0,G78/I78)</x:f>
        <x:v>0</x:v>
      </x:c>
      <x:c r="L78" s="1554" t="n">
        <x:v>19278</x:v>
      </x:c>
      <x:c r="M78" s="1554" t="n">
        <x:v>78832</x:v>
      </x:c>
      <x:c r="N78" s="1554" t="n">
        <x:v>0</x:v>
      </x:c>
      <x:c r="O78" s="1554" t="n">
        <x:v>0</x:v>
      </x:c>
      <x:c r="P78" s="1554" t="n">
        <x:v>0</x:v>
      </x:c>
      <x:c r="Q78" s="1554" t="n">
        <x:v>0</x:v>
      </x:c>
      <x:c r="R78" s="1555" t="n">
        <x:f>MAX(0,G78-L78-M78-N78-O78+P78)</x:f>
        <x:v>0</x:v>
      </x:c>
      <x:c r="S78" s="1555" t="str">
        <x:f>IF(T78="NET",Q78-R78,"")</x:f>
      </x:c>
      <x:c r="T78" s="1552" t="str">
        <x:v>GROSS</x:v>
      </x:c>
      <x:c r="U78" s="1558" t="n">
        <x:v>0</x:v>
      </x:c>
      <x:c r="V78" s="1554" t="n">
        <x:v>0</x:v>
      </x:c>
      <x:c r="W78" s="1555" t="n">
        <x:f>IF(T78="NET",Q78*U78/100,G78*U78/100)</x:f>
        <x:v>0</x:v>
      </x:c>
      <x:c r="X78" s="1555" t="n">
        <x:f>V78-W78</x:f>
        <x:v>0</x:v>
      </x:c>
      <x:c r="Y78" s="1552" t="str">
        <x:v>PRE</x:v>
      </x:c>
      <x:c r="Z78" s="1554" t="n">
        <x:v>31841739</x:v>
      </x:c>
      <x:c r="AA78" s="1155" t="str"/>
      <x:c r="AB78" s="1560" t="n">
        <x:v>8</x:v>
      </x:c>
      <x:c r="AC78" s="1155" t="str">
        <x:v>https://www.alberta.ca/royalty-oil-sands-project-data.aspx?dto=0&amp;dtp=8&amp;dtq=&amp;dts=0</x:v>
      </x:c>
      <x:c r="AD78" s="1559" t="str">
        <x:f>IF(ABS(H78)&lt;=Model_Parameters!$B$7,"PASS","REVIEW")</x:f>
        <x:v>PASS</x:v>
      </x:c>
      <x:c r="AE78" s="1559" t="str">
        <x:f>IF(T78&lt;&gt;"NET","N/A",IF(ABS(S78)&lt;=Model_Parameters!$B$7,"PASS","REVIEW"))</x:f>
        <x:v>N/A</x:v>
      </x:c>
      <x:c r="AF78" s="1559" t="str">
        <x:f>IF(ABS(X78)&lt;=Model_Parameters!$B$7,"WITHIN TOLERANCE","DISPLAY RATE / ADJUSTMENT")</x:f>
        <x:v>WITHIN TOLERANCE</x:v>
      </x:c>
    </x:row>
    <x:row r="79" ht="18" customHeight="1">
      <x:c r="A79" s="1552" t="str">
        <x:v>OSR106</x:v>
      </x:c>
      <x:c r="B79" s="1155" t="str">
        <x:v>Chipmunk II</x:v>
      </x:c>
      <x:c r="C79" s="1155" t="str">
        <x:v>ISLANDER OIL &amp; GAS INC.</x:v>
      </x:c>
      <x:c r="D79" s="1553" t="n">
        <x:v>2024</x:v>
      </x:c>
      <x:c r="E79" s="1554" t="n">
        <x:v>28063096</x:v>
      </x:c>
      <x:c r="F79" s="1554" t="n">
        <x:v>0</x:v>
      </x:c>
      <x:c r="G79" s="1554" t="n">
        <x:v>28063096</x:v>
      </x:c>
      <x:c r="H79" s="1555" t="n">
        <x:f>E79-F79-G79</x:f>
        <x:v>0</x:v>
      </x:c>
      <x:c r="I79" s="1554" t="n">
        <x:v>451445</x:v>
      </x:c>
      <x:c r="J79" s="1556" t="n">
        <x:v>62.16</x:v>
      </x:c>
      <x:c r="K79" s="1557" t="n">
        <x:f>IF(I79=0,0,G79/I79)</x:f>
        <x:v>62.16282382128499</x:v>
      </x:c>
      <x:c r="L79" s="1554" t="n">
        <x:v>8711764</x:v>
      </x:c>
      <x:c r="M79" s="1554" t="n">
        <x:v>3698340</x:v>
      </x:c>
      <x:c r="N79" s="1554" t="n">
        <x:v>0</x:v>
      </x:c>
      <x:c r="O79" s="1554" t="n">
        <x:v>0</x:v>
      </x:c>
      <x:c r="P79" s="1554" t="n">
        <x:v>0</x:v>
      </x:c>
      <x:c r="Q79" s="1554" t="n">
        <x:v>15652992</x:v>
      </x:c>
      <x:c r="R79" s="1555" t="n">
        <x:f>MAX(0,G79-L79-M79-N79-O79+P79)</x:f>
        <x:v>15652992</x:v>
      </x:c>
      <x:c r="S79" s="1555" t="n">
        <x:f>IF(T79="NET",Q79-R79,"")</x:f>
        <x:v>0</x:v>
      </x:c>
      <x:c r="T79" s="1552" t="str">
        <x:v>NET</x:v>
      </x:c>
      <x:c r="U79" s="1558" t="n">
        <x:v>36.31</x:v>
      </x:c>
      <x:c r="V79" s="1554" t="n">
        <x:v>5682878</x:v>
      </x:c>
      <x:c r="W79" s="1555" t="n">
        <x:f>IF(T79="NET",Q79*U79/100,G79*U79/100)</x:f>
        <x:v>5683601.3952</x:v>
      </x:c>
      <x:c r="X79" s="1555" t="n">
        <x:f>V79-W79</x:f>
        <x:v>-723.3952000001445</x:v>
      </x:c>
      <x:c r="Y79" s="1552" t="str">
        <x:v>POST</x:v>
      </x:c>
      <x:c r="Z79" s="1554" t="n">
        <x:v>0</x:v>
      </x:c>
      <x:c r="AA79" s="1155" t="str"/>
      <x:c r="AB79" s="1560" t="n">
        <x:v>8</x:v>
      </x:c>
      <x:c r="AC79" s="1155" t="str">
        <x:v>https://www.alberta.ca/royalty-oil-sands-project-data.aspx?dto=0&amp;dtp=8&amp;dtq=&amp;dts=0</x:v>
      </x:c>
      <x:c r="AD79" s="1559" t="str">
        <x:f>IF(ABS(H79)&lt;=Model_Parameters!$B$7,"PASS","REVIEW")</x:f>
        <x:v>PASS</x:v>
      </x:c>
      <x:c r="AE79" s="1559" t="str">
        <x:f>IF(T79&lt;&gt;"NET","N/A",IF(ABS(S79)&lt;=Model_Parameters!$B$7,"PASS","REVIEW"))</x:f>
        <x:v>PASS</x:v>
      </x:c>
      <x:c r="AF79" s="1559" t="str">
        <x:f>IF(ABS(X79)&lt;=Model_Parameters!$B$7,"WITHIN TOLERANCE","DISPLAY RATE / ADJUSTMENT")</x:f>
        <x:v>WITHIN TOLERANCE</x:v>
      </x:c>
    </x:row>
    <x:row r="80" ht="18" customHeight="1">
      <x:c r="A80" s="1552" t="str">
        <x:v>OSR107</x:v>
      </x:c>
      <x:c r="B80" s="1155" t="str">
        <x:v>Algar</x:v>
      </x:c>
      <x:c r="C80" s="1155" t="str">
        <x:v>CONNACHER OIL AND GAS LIMITED</x:v>
      </x:c>
      <x:c r="D80" s="1553" t="n">
        <x:v>2024</x:v>
      </x:c>
      <x:c r="E80" s="1554" t="n">
        <x:v>151887640</x:v>
      </x:c>
      <x:c r="F80" s="1554" t="n">
        <x:v>43301287</x:v>
      </x:c>
      <x:c r="G80" s="1554" t="n">
        <x:v>108586353</x:v>
      </x:c>
      <x:c r="H80" s="1555" t="n">
        <x:f>E80-F80-G80</x:f>
        <x:v>0</x:v>
      </x:c>
      <x:c r="I80" s="1554" t="n">
        <x:v>1886003</x:v>
      </x:c>
      <x:c r="J80" s="1556" t="n">
        <x:v>57.57</x:v>
      </x:c>
      <x:c r="K80" s="1557" t="n">
        <x:f>IF(I80=0,0,G80/I80)</x:f>
        <x:v>57.574856985911474</x:v>
      </x:c>
      <x:c r="L80" s="1554" t="n">
        <x:v>53959912</x:v>
      </x:c>
      <x:c r="M80" s="1554" t="n">
        <x:v>108846287</x:v>
      </x:c>
      <x:c r="N80" s="1554" t="n">
        <x:v>16549737</x:v>
      </x:c>
      <x:c r="O80" s="1554" t="n">
        <x:v>7697852</x:v>
      </x:c>
      <x:c r="P80" s="1554" t="n">
        <x:v>1498109</x:v>
      </x:c>
      <x:c r="Q80" s="1554" t="n">
        <x:v>0</x:v>
      </x:c>
      <x:c r="R80" s="1555" t="n">
        <x:f>MAX(0,G80-L80-M80-N80-O80+P80)</x:f>
        <x:v>0</x:v>
      </x:c>
      <x:c r="S80" s="1555" t="str">
        <x:f>IF(T80="NET",Q80-R80,"")</x:f>
      </x:c>
      <x:c r="T80" s="1552" t="str">
        <x:v>GROSS</x:v>
      </x:c>
      <x:c r="U80" s="1558" t="n">
        <x:v>7.09</x:v>
      </x:c>
      <x:c r="V80" s="1554" t="n">
        <x:v>7697852</x:v>
      </x:c>
      <x:c r="W80" s="1555" t="n">
        <x:f>IF(T80="NET",Q80*U80/100,G80*U80/100)</x:f>
        <x:v>7698772.4277</x:v>
      </x:c>
      <x:c r="X80" s="1555" t="n">
        <x:f>V80-W80</x:f>
        <x:v>-920.4276999998838</x:v>
      </x:c>
      <x:c r="Y80" s="1552" t="str">
        <x:v>PRE</x:v>
      </x:c>
      <x:c r="Z80" s="1554" t="n">
        <x:v>545303499</x:v>
      </x:c>
      <x:c r="AA80" s="1155" t="str"/>
      <x:c r="AB80" s="1560" t="n">
        <x:v>8</x:v>
      </x:c>
      <x:c r="AC80" s="1155" t="str">
        <x:v>https://www.alberta.ca/royalty-oil-sands-project-data.aspx?dto=0&amp;dtp=8&amp;dtq=&amp;dts=0</x:v>
      </x:c>
      <x:c r="AD80" s="1559" t="str">
        <x:f>IF(ABS(H80)&lt;=Model_Parameters!$B$7,"PASS","REVIEW")</x:f>
        <x:v>PASS</x:v>
      </x:c>
      <x:c r="AE80" s="1559" t="str">
        <x:f>IF(T80&lt;&gt;"NET","N/A",IF(ABS(S80)&lt;=Model_Parameters!$B$7,"PASS","REVIEW"))</x:f>
        <x:v>N/A</x:v>
      </x:c>
      <x:c r="AF80" s="1559" t="str">
        <x:f>IF(ABS(X80)&lt;=Model_Parameters!$B$7,"WITHIN TOLERANCE","DISPLAY RATE / ADJUSTMENT")</x:f>
        <x:v>WITHIN TOLERANCE</x:v>
      </x:c>
    </x:row>
    <x:row r="81" ht="18" customHeight="1">
      <x:c r="A81" s="1552" t="str">
        <x:v>OSR108</x:v>
      </x:c>
      <x:c r="B81" s="1155" t="str">
        <x:v>Leismer Demonstration Project</x:v>
      </x:c>
      <x:c r="C81" s="1155" t="str">
        <x:v>ATHABASCA OIL CORPORATION</x:v>
      </x:c>
      <x:c r="D81" s="1553" t="n">
        <x:v>2024</x:v>
      </x:c>
      <x:c r="E81" s="1554" t="n">
        <x:v>1047613797</x:v>
      </x:c>
      <x:c r="F81" s="1554" t="n">
        <x:v>420697116</x:v>
      </x:c>
      <x:c r="G81" s="1554" t="n">
        <x:v>626916681</x:v>
      </x:c>
      <x:c r="H81" s="1555" t="n">
        <x:f>E81-F81-G81</x:f>
        <x:v>0</x:v>
      </x:c>
      <x:c r="I81" s="1554" t="n">
        <x:v>9571213</x:v>
      </x:c>
      <x:c r="J81" s="1556" t="n">
        <x:v>65.5</x:v>
      </x:c>
      <x:c r="K81" s="1557" t="n">
        <x:f>IF(I81=0,0,G81/I81)</x:f>
        <x:v>65.50023293808215</x:v>
      </x:c>
      <x:c r="L81" s="1554" t="n">
        <x:v>103251685</x:v>
      </x:c>
      <x:c r="M81" s="1554" t="n">
        <x:v>148153303</x:v>
      </x:c>
      <x:c r="N81" s="1554" t="n">
        <x:v>33688742</x:v>
      </x:c>
      <x:c r="O81" s="1554" t="n">
        <x:v>44610957</x:v>
      </x:c>
      <x:c r="P81" s="1554" t="n">
        <x:v>28996</x:v>
      </x:c>
      <x:c r="Q81" s="1554" t="n">
        <x:v>0</x:v>
      </x:c>
      <x:c r="R81" s="1555" t="n">
        <x:f>MAX(0,G81-L81-M81-N81-O81+P81)</x:f>
        <x:v>297240990</x:v>
      </x:c>
      <x:c r="S81" s="1555" t="str">
        <x:f>IF(T81="NET",Q81-R81,"")</x:f>
      </x:c>
      <x:c r="T81" s="1552" t="str">
        <x:v>GROSS</x:v>
      </x:c>
      <x:c r="U81" s="1558" t="n">
        <x:v>7.12</x:v>
      </x:c>
      <x:c r="V81" s="1554" t="n">
        <x:v>44610957</x:v>
      </x:c>
      <x:c r="W81" s="1555" t="n">
        <x:f>IF(T81="NET",Q81*U81/100,G81*U81/100)</x:f>
        <x:v>44636467.6872</x:v>
      </x:c>
      <x:c r="X81" s="1555" t="n">
        <x:f>V81-W81</x:f>
        <x:v>-25510.687200002372</x:v>
      </x:c>
      <x:c r="Y81" s="1552" t="str">
        <x:v>PRE</x:v>
      </x:c>
      <x:c r="Z81" s="1554" t="n">
        <x:v>871137668</x:v>
      </x:c>
      <x:c r="AA81" s="1155" t="str"/>
      <x:c r="AB81" s="1560" t="n">
        <x:v>8</x:v>
      </x:c>
      <x:c r="AC81" s="1155" t="str">
        <x:v>https://www.alberta.ca/royalty-oil-sands-project-data.aspx?dto=0&amp;dtp=8&amp;dtq=&amp;dts=0</x:v>
      </x:c>
      <x:c r="AD81" s="1559" t="str">
        <x:f>IF(ABS(H81)&lt;=Model_Parameters!$B$7,"PASS","REVIEW")</x:f>
        <x:v>PASS</x:v>
      </x:c>
      <x:c r="AE81" s="1559" t="str">
        <x:f>IF(T81&lt;&gt;"NET","N/A",IF(ABS(S81)&lt;=Model_Parameters!$B$7,"PASS","REVIEW"))</x:f>
        <x:v>N/A</x:v>
      </x:c>
      <x:c r="AF81" s="1559" t="str">
        <x:f>IF(ABS(X81)&lt;=Model_Parameters!$B$7,"WITHIN TOLERANCE","DISPLAY RATE / ADJUSTMENT")</x:f>
        <x:v>DISPLAY RATE / ADJUSTMENT</x:v>
      </x:c>
    </x:row>
    <x:row r="82" ht="18" customHeight="1">
      <x:c r="A82" s="1552" t="str">
        <x:v>OSR110</x:v>
      </x:c>
      <x:c r="B82" s="1155" t="str">
        <x:v>Seal Harmon Valley South</x:v>
      </x:c>
      <x:c r="C82" s="1155" t="str">
        <x:v>OBSIDIAN ENERGY LTD.</x:v>
      </x:c>
      <x:c r="D82" s="1553" t="n">
        <x:v>2024</x:v>
      </x:c>
      <x:c r="E82" s="1554" t="n">
        <x:v>78335829</x:v>
      </x:c>
      <x:c r="F82" s="1554" t="n">
        <x:v>10743943</x:v>
      </x:c>
      <x:c r="G82" s="1554" t="n">
        <x:v>67591886</x:v>
      </x:c>
      <x:c r="H82" s="1555" t="n">
        <x:f>E82-F82-G82</x:f>
        <x:v>0</x:v>
      </x:c>
      <x:c r="I82" s="1554" t="n">
        <x:v>1103349</x:v>
      </x:c>
      <x:c r="J82" s="1556" t="n">
        <x:v>61.26</x:v>
      </x:c>
      <x:c r="K82" s="1557" t="n">
        <x:f>IF(I82=0,0,G82/I82)</x:f>
        <x:v>61.26065823234534</x:v>
      </x:c>
      <x:c r="L82" s="1554" t="n">
        <x:v>16194181</x:v>
      </x:c>
      <x:c r="M82" s="1554" t="n">
        <x:v>13902655</x:v>
      </x:c>
      <x:c r="N82" s="1554" t="n">
        <x:v>0</x:v>
      </x:c>
      <x:c r="O82" s="1554" t="n">
        <x:v>0</x:v>
      </x:c>
      <x:c r="P82" s="1554" t="n">
        <x:v>46815</x:v>
      </x:c>
      <x:c r="Q82" s="1554" t="n">
        <x:v>37541865</x:v>
      </x:c>
      <x:c r="R82" s="1555" t="n">
        <x:f>MAX(0,G82-L82-M82-N82-O82+P82)</x:f>
        <x:v>37541865</x:v>
      </x:c>
      <x:c r="S82" s="1555" t="n">
        <x:f>IF(T82="NET",Q82-R82,"")</x:f>
        <x:v>0</x:v>
      </x:c>
      <x:c r="T82" s="1552" t="str">
        <x:v>NET</x:v>
      </x:c>
      <x:c r="U82" s="1558" t="n">
        <x:v>36.31</x:v>
      </x:c>
      <x:c r="V82" s="1554" t="n">
        <x:v>13629717</x:v>
      </x:c>
      <x:c r="W82" s="1555" t="n">
        <x:f>IF(T82="NET",Q82*U82/100,G82*U82/100)</x:f>
        <x:v>13631451.1815</x:v>
      </x:c>
      <x:c r="X82" s="1555" t="n">
        <x:f>V82-W82</x:f>
        <x:v>-1734.1815000008792</x:v>
      </x:c>
      <x:c r="Y82" s="1552" t="str">
        <x:v>POST</x:v>
      </x:c>
      <x:c r="Z82" s="1554" t="n">
        <x:v>0</x:v>
      </x:c>
      <x:c r="AA82" s="1155" t="str"/>
      <x:c r="AB82" s="1560" t="n">
        <x:v>8</x:v>
      </x:c>
      <x:c r="AC82" s="1155" t="str">
        <x:v>https://www.alberta.ca/royalty-oil-sands-project-data.aspx?dto=0&amp;dtp=8&amp;dtq=&amp;dts=0</x:v>
      </x:c>
      <x:c r="AD82" s="1559" t="str">
        <x:f>IF(ABS(H82)&lt;=Model_Parameters!$B$7,"PASS","REVIEW")</x:f>
        <x:v>PASS</x:v>
      </x:c>
      <x:c r="AE82" s="1559" t="str">
        <x:f>IF(T82&lt;&gt;"NET","N/A",IF(ABS(S82)&lt;=Model_Parameters!$B$7,"PASS","REVIEW"))</x:f>
        <x:v>PASS</x:v>
      </x:c>
      <x:c r="AF82" s="1559" t="str">
        <x:f>IF(ABS(X82)&lt;=Model_Parameters!$B$7,"WITHIN TOLERANCE","DISPLAY RATE / ADJUSTMENT")</x:f>
        <x:v>DISPLAY RATE / ADJUSTMENT</x:v>
      </x:c>
    </x:row>
    <x:row r="83" ht="18" customHeight="1">
      <x:c r="A83" s="1552" t="str">
        <x:v>OSR111</x:v>
      </x:c>
      <x:c r="B83" s="1155" t="str">
        <x:v>Kirby South Project</x:v>
      </x:c>
      <x:c r="C83" s="1155" t="str">
        <x:v>CANADIAN NATURAL RESOURCES LIMITED</x:v>
      </x:c>
      <x:c r="D83" s="1553" t="n">
        <x:v>2024</x:v>
      </x:c>
      <x:c r="E83" s="1554" t="n">
        <x:v>217871864</x:v>
      </x:c>
      <x:c r="F83" s="1554" t="n">
        <x:v>103100785</x:v>
      </x:c>
      <x:c r="G83" s="1554" t="n">
        <x:v>114771079</x:v>
      </x:c>
      <x:c r="H83" s="1555" t="n">
        <x:f>E83-F83-G83</x:f>
        <x:v>0</x:v>
      </x:c>
      <x:c r="I83" s="1554" t="n">
        <x:v>2131103</x:v>
      </x:c>
      <x:c r="J83" s="1556" t="n">
        <x:v>53.86</x:v>
      </x:c>
      <x:c r="K83" s="1557" t="n">
        <x:f>IF(I83=0,0,G83/I83)</x:f>
        <x:v>53.855247259283104</x:v>
      </x:c>
      <x:c r="L83" s="1554" t="n">
        <x:v>31852851</x:v>
      </x:c>
      <x:c r="M83" s="1554" t="n">
        <x:v>3065346</x:v>
      </x:c>
      <x:c r="N83" s="1554" t="n">
        <x:v>487599</x:v>
      </x:c>
      <x:c r="O83" s="1554" t="n">
        <x:v>7265678</x:v>
      </x:c>
      <x:c r="P83" s="1554" t="n">
        <x:v>360543</x:v>
      </x:c>
      <x:c r="Q83" s="1554" t="n">
        <x:v>0</x:v>
      </x:c>
      <x:c r="R83" s="1555" t="n">
        <x:f>MAX(0,G83-L83-M83-N83-O83+P83)</x:f>
        <x:v>72460148</x:v>
      </x:c>
      <x:c r="S83" s="1555" t="str">
        <x:f>IF(T83="NET",Q83-R83,"")</x:f>
      </x:c>
      <x:c r="T83" s="1552" t="str">
        <x:v>GROSS</x:v>
      </x:c>
      <x:c r="U83" s="1558" t="n">
        <x:v>6.33</x:v>
      </x:c>
      <x:c r="V83" s="1554" t="n">
        <x:v>7265678</x:v>
      </x:c>
      <x:c r="W83" s="1555" t="n">
        <x:f>IF(T83="NET",Q83*U83/100,G83*U83/100)</x:f>
        <x:v>7265009.3007000005</x:v>
      </x:c>
      <x:c r="X83" s="1555" t="n">
        <x:f>V83-W83</x:f>
        <x:v>668.6992999995127</x:v>
      </x:c>
      <x:c r="Y83" s="1552" t="str">
        <x:v>PRE</x:v>
      </x:c>
      <x:c r="Z83" s="1554" t="n">
        <x:v>40251523</x:v>
      </x:c>
      <x:c r="AA83" s="1155" t="str">
        <x:v>Project achieved payout in reporting year, therefore has both pre and post payout periods reported.</x:v>
      </x:c>
      <x:c r="AB83" s="1560" t="n">
        <x:v>9</x:v>
      </x:c>
      <x:c r="AC83" s="1155" t="str">
        <x:v>https://www.alberta.ca/royalty-oil-sands-project-data.aspx?dto=0&amp;dtp=9&amp;dtq=&amp;dts=0</x:v>
      </x:c>
      <x:c r="AD83" s="1559" t="str">
        <x:f>IF(ABS(H83)&lt;=Model_Parameters!$B$7,"PASS","REVIEW")</x:f>
        <x:v>PASS</x:v>
      </x:c>
      <x:c r="AE83" s="1559" t="str">
        <x:f>IF(T83&lt;&gt;"NET","N/A",IF(ABS(S83)&lt;=Model_Parameters!$B$7,"PASS","REVIEW"))</x:f>
        <x:v>N/A</x:v>
      </x:c>
      <x:c r="AF83" s="1559" t="str">
        <x:f>IF(ABS(X83)&lt;=Model_Parameters!$B$7,"WITHIN TOLERANCE","DISPLAY RATE / ADJUSTMENT")</x:f>
        <x:v>WITHIN TOLERANCE</x:v>
      </x:c>
    </x:row>
    <x:row r="84" ht="18" customHeight="1">
      <x:c r="A84" s="1552" t="str">
        <x:v>OSR111</x:v>
      </x:c>
      <x:c r="B84" s="1155" t="str">
        <x:v>Kirby South Project</x:v>
      </x:c>
      <x:c r="C84" s="1155" t="str">
        <x:v>CANADIAN NATURAL RESOURCES LIMITED</x:v>
      </x:c>
      <x:c r="D84" s="1553" t="n">
        <x:v>2024</x:v>
      </x:c>
      <x:c r="E84" s="1554" t="n">
        <x:v>1207067549</x:v>
      </x:c>
      <x:c r="F84" s="1554" t="n">
        <x:v>475498143</x:v>
      </x:c>
      <x:c r="G84" s="1554" t="n">
        <x:v>731569406</x:v>
      </x:c>
      <x:c r="H84" s="1555" t="n">
        <x:f>E84-F84-G84</x:f>
        <x:v>0</x:v>
      </x:c>
      <x:c r="I84" s="1554" t="n">
        <x:v>10612797</x:v>
      </x:c>
      <x:c r="J84" s="1556" t="n">
        <x:v>68.93</x:v>
      </x:c>
      <x:c r="K84" s="1557" t="n">
        <x:f>IF(I84=0,0,G84/I84)</x:f>
        <x:v>68.93276164615229</x:v>
      </x:c>
      <x:c r="L84" s="1554" t="n">
        <x:v>138888214</x:v>
      </x:c>
      <x:c r="M84" s="1554" t="n">
        <x:v>28701329</x:v>
      </x:c>
      <x:c r="N84" s="1554" t="n">
        <x:v>0</x:v>
      </x:c>
      <x:c r="O84" s="1554" t="n">
        <x:v>40364227</x:v>
      </x:c>
      <x:c r="P84" s="1554" t="n">
        <x:v>1802720</x:v>
      </x:c>
      <x:c r="Q84" s="1554" t="n">
        <x:v>525418356</x:v>
      </x:c>
      <x:c r="R84" s="1555" t="n">
        <x:f>MAX(0,G84-L84-M84-N84-O84+P84)</x:f>
        <x:v>525418356</x:v>
      </x:c>
      <x:c r="S84" s="1555" t="n">
        <x:f>IF(T84="NET",Q84-R84,"")</x:f>
        <x:v>0</x:v>
      </x:c>
      <x:c r="T84" s="1552" t="str">
        <x:v>NET</x:v>
      </x:c>
      <x:c r="U84" s="1558" t="n">
        <x:v>36.31</x:v>
      </x:c>
      <x:c r="V84" s="1554" t="n">
        <x:v>190755131</x:v>
      </x:c>
      <x:c r="W84" s="1555" t="n">
        <x:f>IF(T84="NET",Q84*U84/100,G84*U84/100)</x:f>
        <x:v>190779405.0636</x:v>
      </x:c>
      <x:c r="X84" s="1555" t="n">
        <x:f>V84-W84</x:f>
        <x:v>-24274.06360000372</x:v>
      </x:c>
      <x:c r="Y84" s="1552" t="str">
        <x:v>POST</x:v>
      </x:c>
      <x:c r="Z84" s="1554" t="n">
        <x:v>0</x:v>
      </x:c>
      <x:c r="AA84" s="1155" t="str">
        <x:v>Project achieved payout in reporting year, therefore has both pre and post payout periods reported.</x:v>
      </x:c>
      <x:c r="AB84" s="1560" t="n">
        <x:v>9</x:v>
      </x:c>
      <x:c r="AC84" s="1155" t="str">
        <x:v>https://www.alberta.ca/royalty-oil-sands-project-data.aspx?dto=0&amp;dtp=9&amp;dtq=&amp;dts=0</x:v>
      </x:c>
      <x:c r="AD84" s="1559" t="str">
        <x:f>IF(ABS(H84)&lt;=Model_Parameters!$B$7,"PASS","REVIEW")</x:f>
        <x:v>PASS</x:v>
      </x:c>
      <x:c r="AE84" s="1559" t="str">
        <x:f>IF(T84&lt;&gt;"NET","N/A",IF(ABS(S84)&lt;=Model_Parameters!$B$7,"PASS","REVIEW"))</x:f>
        <x:v>PASS</x:v>
      </x:c>
      <x:c r="AF84" s="1559" t="str">
        <x:f>IF(ABS(X84)&lt;=Model_Parameters!$B$7,"WITHIN TOLERANCE","DISPLAY RATE / ADJUSTMENT")</x:f>
        <x:v>DISPLAY RATE / ADJUSTMENT</x:v>
      </x:c>
    </x:row>
    <x:row r="85" ht="18" customHeight="1">
      <x:c r="A85" s="1552" t="str">
        <x:v>OSR112</x:v>
      </x:c>
      <x:c r="B85" s="1155" t="str">
        <x:v>STP McKay SAGD</x:v>
      </x:c>
      <x:c r="C85" s="1155" t="str">
        <x:v>GREENFIRE RESOURCES OPERATING CORPORATION</x:v>
      </x:c>
      <x:c r="D85" s="1553" t="n">
        <x:v>2024</x:v>
      </x:c>
      <x:c r="E85" s="1554" t="n">
        <x:v>0</x:v>
      </x:c>
      <x:c r="F85" s="1554" t="n">
        <x:v>0</x:v>
      </x:c>
      <x:c r="G85" s="1554" t="n">
        <x:v>0</x:v>
      </x:c>
      <x:c r="H85" s="1555" t="n">
        <x:f>E85-F85-G85</x:f>
        <x:v>0</x:v>
      </x:c>
      <x:c r="I85" s="1554" t="n">
        <x:v>152</x:v>
      </x:c>
      <x:c r="J85" s="1556" t="n">
        <x:v>0</x:v>
      </x:c>
      <x:c r="K85" s="1557" t="n">
        <x:f>IF(I85=0,0,G85/I85)</x:f>
        <x:v>0</x:v>
      </x:c>
      <x:c r="L85" s="1554" t="n">
        <x:v>1288549</x:v>
      </x:c>
      <x:c r="M85" s="1554" t="n">
        <x:v>0</x:v>
      </x:c>
      <x:c r="N85" s="1554" t="n">
        <x:v>0</x:v>
      </x:c>
      <x:c r="O85" s="1554" t="n">
        <x:v>0</x:v>
      </x:c>
      <x:c r="P85" s="1554" t="n">
        <x:v>0</x:v>
      </x:c>
      <x:c r="Q85" s="1554" t="n">
        <x:v>0</x:v>
      </x:c>
      <x:c r="R85" s="1555" t="n">
        <x:f>MAX(0,G85-L85-M85-N85-O85+P85)</x:f>
        <x:v>0</x:v>
      </x:c>
      <x:c r="S85" s="1555" t="str">
        <x:f>IF(T85="NET",Q85-R85,"")</x:f>
      </x:c>
      <x:c r="T85" s="1552" t="str">
        <x:v>GROSS</x:v>
      </x:c>
      <x:c r="U85" s="1558" t="n">
        <x:v>0</x:v>
      </x:c>
      <x:c r="V85" s="1554" t="n">
        <x:v>0</x:v>
      </x:c>
      <x:c r="W85" s="1555" t="n">
        <x:f>IF(T85="NET",Q85*U85/100,G85*U85/100)</x:f>
        <x:v>0</x:v>
      </x:c>
      <x:c r="X85" s="1555" t="n">
        <x:f>V85-W85</x:f>
        <x:v>0</x:v>
      </x:c>
      <x:c r="Y85" s="1552" t="str">
        <x:v>PRE</x:v>
      </x:c>
      <x:c r="Z85" s="1554" t="n">
        <x:v>683025970</x:v>
      </x:c>
      <x:c r="AA85" s="1155" t="str"/>
      <x:c r="AB85" s="1560" t="n">
        <x:v>9</x:v>
      </x:c>
      <x:c r="AC85" s="1155" t="str">
        <x:v>https://www.alberta.ca/royalty-oil-sands-project-data.aspx?dto=0&amp;dtp=9&amp;dtq=&amp;dts=0</x:v>
      </x:c>
      <x:c r="AD85" s="1559" t="str">
        <x:f>IF(ABS(H85)&lt;=Model_Parameters!$B$7,"PASS","REVIEW")</x:f>
        <x:v>PASS</x:v>
      </x:c>
      <x:c r="AE85" s="1559" t="str">
        <x:f>IF(T85&lt;&gt;"NET","N/A",IF(ABS(S85)&lt;=Model_Parameters!$B$7,"PASS","REVIEW"))</x:f>
        <x:v>N/A</x:v>
      </x:c>
      <x:c r="AF85" s="1559" t="str">
        <x:f>IF(ABS(X85)&lt;=Model_Parameters!$B$7,"WITHIN TOLERANCE","DISPLAY RATE / ADJUSTMENT")</x:f>
        <x:v>WITHIN TOLERANCE</x:v>
      </x:c>
    </x:row>
    <x:row r="86" ht="18" customHeight="1">
      <x:c r="A86" s="1552" t="str">
        <x:v>OSR113</x:v>
      </x:c>
      <x:c r="B86" s="1155" t="str">
        <x:v>Murphy Cliffdale</x:v>
      </x:c>
      <x:c r="C86" s="1155" t="str">
        <x:v>BAYTEX ENERGY LTD.</x:v>
      </x:c>
      <x:c r="D86" s="1553" t="n">
        <x:v>2024</x:v>
      </x:c>
      <x:c r="E86" s="1554" t="n">
        <x:v>27077620</x:v>
      </x:c>
      <x:c r="F86" s="1554" t="n">
        <x:v>7837717</x:v>
      </x:c>
      <x:c r="G86" s="1554" t="n">
        <x:v>19337797</x:v>
      </x:c>
      <x:c r="H86" s="1555" t="n">
        <x:f>E86-F86-G86</x:f>
        <x:v>-97894</x:v>
      </x:c>
      <x:c r="I86" s="1554" t="n">
        <x:v>293338</x:v>
      </x:c>
      <x:c r="J86" s="1556" t="n">
        <x:v>65.92</x:v>
      </x:c>
      <x:c r="K86" s="1557" t="n">
        <x:f>IF(I86=0,0,G86/I86)</x:f>
        <x:v>65.9232591754222</x:v>
      </x:c>
      <x:c r="L86" s="1554" t="n">
        <x:v>3251643</x:v>
      </x:c>
      <x:c r="M86" s="1554" t="n">
        <x:v>9787475</x:v>
      </x:c>
      <x:c r="N86" s="1554" t="n">
        <x:v>1835682</x:v>
      </x:c>
      <x:c r="O86" s="1554" t="n">
        <x:v>1360559</x:v>
      </x:c>
      <x:c r="P86" s="1554" t="n">
        <x:v>0</x:v>
      </x:c>
      <x:c r="Q86" s="1554" t="n">
        <x:v>0</x:v>
      </x:c>
      <x:c r="R86" s="1555" t="n">
        <x:f>MAX(0,G86-L86-M86-N86-O86+P86)</x:f>
        <x:v>3102438</x:v>
      </x:c>
      <x:c r="S86" s="1555" t="str">
        <x:f>IF(T86="NET",Q86-R86,"")</x:f>
      </x:c>
      <x:c r="T86" s="1552" t="str">
        <x:v>GROSS</x:v>
      </x:c>
      <x:c r="U86" s="1558" t="n">
        <x:v>7.04</x:v>
      </x:c>
      <x:c r="V86" s="1554" t="n">
        <x:v>1360559</x:v>
      </x:c>
      <x:c r="W86" s="1555" t="n">
        <x:f>IF(T86="NET",Q86*U86/100,G86*U86/100)</x:f>
        <x:v>1361380.9087999999</x:v>
      </x:c>
      <x:c r="X86" s="1555" t="n">
        <x:f>V86-W86</x:f>
        <x:v>-821.9087999998592</x:v>
      </x:c>
      <x:c r="Y86" s="1552" t="str">
        <x:v>PRE</x:v>
      </x:c>
      <x:c r="Z86" s="1554" t="n">
        <x:v>57263345</x:v>
      </x:c>
      <x:c r="AA86" s="1155" t="str"/>
      <x:c r="AB86" s="1560" t="n">
        <x:v>9</x:v>
      </x:c>
      <x:c r="AC86" s="1155" t="str">
        <x:v>https://www.alberta.ca/royalty-oil-sands-project-data.aspx?dto=0&amp;dtp=9&amp;dtq=&amp;dts=0</x:v>
      </x:c>
      <x:c r="AD86" s="1559" t="str">
        <x:f>IF(ABS(H86)&lt;=Model_Parameters!$B$7,"PASS","REVIEW")</x:f>
        <x:v>REVIEW</x:v>
      </x:c>
      <x:c r="AE86" s="1559" t="str">
        <x:f>IF(T86&lt;&gt;"NET","N/A",IF(ABS(S86)&lt;=Model_Parameters!$B$7,"PASS","REVIEW"))</x:f>
        <x:v>N/A</x:v>
      </x:c>
      <x:c r="AF86" s="1559" t="str">
        <x:f>IF(ABS(X86)&lt;=Model_Parameters!$B$7,"WITHIN TOLERANCE","DISPLAY RATE / ADJUSTMENT")</x:f>
        <x:v>WITHIN TOLERANCE</x:v>
      </x:c>
    </x:row>
    <x:row r="87" ht="18" customHeight="1">
      <x:c r="A87" s="1552" t="str">
        <x:v>OSR114</x:v>
      </x:c>
      <x:c r="B87" s="1155" t="str">
        <x:v>Harmon Valley Project</x:v>
      </x:c>
      <x:c r="C87" s="1155" t="str">
        <x:v>OBSIDIAN ENERGY LTD.</x:v>
      </x:c>
      <x:c r="D87" s="1553" t="n">
        <x:v>2024</x:v>
      </x:c>
      <x:c r="E87" s="1554" t="n">
        <x:v>7151590</x:v>
      </x:c>
      <x:c r="F87" s="1554" t="n">
        <x:v>118318</x:v>
      </x:c>
      <x:c r="G87" s="1554" t="n">
        <x:v>7033272</x:v>
      </x:c>
      <x:c r="H87" s="1555" t="n">
        <x:f>E87-F87-G87</x:f>
        <x:v>0</x:v>
      </x:c>
      <x:c r="I87" s="1554" t="n">
        <x:v>114737</x:v>
      </x:c>
      <x:c r="J87" s="1556" t="n">
        <x:v>61.3</x:v>
      </x:c>
      <x:c r="K87" s="1557" t="n">
        <x:f>IF(I87=0,0,G87/I87)</x:f>
        <x:v>61.29907527650191</x:v>
      </x:c>
      <x:c r="L87" s="1554" t="n">
        <x:v>4217934</x:v>
      </x:c>
      <x:c r="M87" s="1554" t="n">
        <x:v>1238827</x:v>
      </x:c>
      <x:c r="N87" s="1554" t="n">
        <x:v>2156141</x:v>
      </x:c>
      <x:c r="O87" s="1554" t="n">
        <x:v>501658</x:v>
      </x:c>
      <x:c r="P87" s="1554" t="n">
        <x:v>123431</x:v>
      </x:c>
      <x:c r="Q87" s="1554" t="n">
        <x:v>0</x:v>
      </x:c>
      <x:c r="R87" s="1555" t="n">
        <x:f>MAX(0,G87-L87-M87-N87-O87+P87)</x:f>
        <x:v>0</x:v>
      </x:c>
      <x:c r="S87" s="1555" t="str">
        <x:f>IF(T87="NET",Q87-R87,"")</x:f>
      </x:c>
      <x:c r="T87" s="1552" t="str">
        <x:v>GROSS</x:v>
      </x:c>
      <x:c r="U87" s="1558" t="n">
        <x:v>7.13</x:v>
      </x:c>
      <x:c r="V87" s="1554" t="n">
        <x:v>501658</x:v>
      </x:c>
      <x:c r="W87" s="1555" t="n">
        <x:f>IF(T87="NET",Q87*U87/100,G87*U87/100)</x:f>
        <x:v>501472.2936</x:v>
      </x:c>
      <x:c r="X87" s="1555" t="n">
        <x:f>V87-W87</x:f>
        <x:v>185.7064000000246</x:v>
      </x:c>
      <x:c r="Y87" s="1552" t="str">
        <x:v>PRE</x:v>
      </x:c>
      <x:c r="Z87" s="1554" t="n">
        <x:v>66096466</x:v>
      </x:c>
      <x:c r="AA87" s="1155" t="str"/>
      <x:c r="AB87" s="1560" t="n">
        <x:v>9</x:v>
      </x:c>
      <x:c r="AC87" s="1155" t="str">
        <x:v>https://www.alberta.ca/royalty-oil-sands-project-data.aspx?dto=0&amp;dtp=9&amp;dtq=&amp;dts=0</x:v>
      </x:c>
      <x:c r="AD87" s="1559" t="str">
        <x:f>IF(ABS(H87)&lt;=Model_Parameters!$B$7,"PASS","REVIEW")</x:f>
        <x:v>PASS</x:v>
      </x:c>
      <x:c r="AE87" s="1559" t="str">
        <x:f>IF(T87&lt;&gt;"NET","N/A",IF(ABS(S87)&lt;=Model_Parameters!$B$7,"PASS","REVIEW"))</x:f>
        <x:v>N/A</x:v>
      </x:c>
      <x:c r="AF87" s="1559" t="str">
        <x:f>IF(ABS(X87)&lt;=Model_Parameters!$B$7,"WITHIN TOLERANCE","DISPLAY RATE / ADJUSTMENT")</x:f>
        <x:v>WITHIN TOLERANCE</x:v>
      </x:c>
    </x:row>
    <x:row r="88" ht="18" customHeight="1">
      <x:c r="A88" s="1552" t="str">
        <x:v>OSR115</x:v>
      </x:c>
      <x:c r="B88" s="1155" t="str">
        <x:v>Germain Commercial Demonstration</x:v>
      </x:c>
      <x:c r="C88" s="1155" t="str">
        <x:v>CANADIAN NATURAL RESOURCES LIMITED</x:v>
      </x:c>
      <x:c r="D88" s="1553" t="n">
        <x:v>2024</x:v>
      </x:c>
      <x:c r="E88" s="1554" t="n">
        <x:v>0</x:v>
      </x:c>
      <x:c r="F88" s="1554" t="n">
        <x:v>0</x:v>
      </x:c>
      <x:c r="G88" s="1554" t="n">
        <x:v>0</x:v>
      </x:c>
      <x:c r="H88" s="1555" t="n">
        <x:f>E88-F88-G88</x:f>
        <x:v>0</x:v>
      </x:c>
      <x:c r="I88" s="1554" t="n">
        <x:v>0</x:v>
      </x:c>
      <x:c r="J88" s="1556" t="n">
        <x:v>0</x:v>
      </x:c>
      <x:c r="K88" s="1557" t="n">
        <x:f>IF(I88=0,0,G88/I88)</x:f>
        <x:v>0</x:v>
      </x:c>
      <x:c r="L88" s="1554" t="n">
        <x:v>1185720</x:v>
      </x:c>
      <x:c r="M88" s="1554" t="n">
        <x:v>5376</x:v>
      </x:c>
      <x:c r="N88" s="1554" t="n">
        <x:v>0</x:v>
      </x:c>
      <x:c r="O88" s="1554" t="n">
        <x:v>0</x:v>
      </x:c>
      <x:c r="P88" s="1554" t="n">
        <x:v>51114</x:v>
      </x:c>
      <x:c r="Q88" s="1554" t="n">
        <x:v>0</x:v>
      </x:c>
      <x:c r="R88" s="1555" t="n">
        <x:f>MAX(0,G88-L88-M88-N88-O88+P88)</x:f>
        <x:v>0</x:v>
      </x:c>
      <x:c r="S88" s="1555" t="str">
        <x:f>IF(T88="NET",Q88-R88,"")</x:f>
      </x:c>
      <x:c r="T88" s="1552" t="str">
        <x:v>GROSS</x:v>
      </x:c>
      <x:c r="U88" s="1558" t="n">
        <x:v>0</x:v>
      </x:c>
      <x:c r="V88" s="1554" t="n">
        <x:v>0</x:v>
      </x:c>
      <x:c r="W88" s="1555" t="n">
        <x:f>IF(T88="NET",Q88*U88/100,G88*U88/100)</x:f>
        <x:v>0</x:v>
      </x:c>
      <x:c r="X88" s="1555" t="n">
        <x:f>V88-W88</x:f>
        <x:v>0</x:v>
      </x:c>
      <x:c r="Y88" s="1552" t="str">
        <x:v>PRE</x:v>
      </x:c>
      <x:c r="Z88" s="1554" t="n">
        <x:v>566140076</x:v>
      </x:c>
      <x:c r="AA88" s="1155" t="str"/>
      <x:c r="AB88" s="1560" t="n">
        <x:v>9</x:v>
      </x:c>
      <x:c r="AC88" s="1155" t="str">
        <x:v>https://www.alberta.ca/royalty-oil-sands-project-data.aspx?dto=0&amp;dtp=9&amp;dtq=&amp;dts=0</x:v>
      </x:c>
      <x:c r="AD88" s="1559" t="str">
        <x:f>IF(ABS(H88)&lt;=Model_Parameters!$B$7,"PASS","REVIEW")</x:f>
        <x:v>PASS</x:v>
      </x:c>
      <x:c r="AE88" s="1559" t="str">
        <x:f>IF(T88&lt;&gt;"NET","N/A",IF(ABS(S88)&lt;=Model_Parameters!$B$7,"PASS","REVIEW"))</x:f>
        <x:v>N/A</x:v>
      </x:c>
      <x:c r="AF88" s="1559" t="str">
        <x:f>IF(ABS(X88)&lt;=Model_Parameters!$B$7,"WITHIN TOLERANCE","DISPLAY RATE / ADJUSTMENT")</x:f>
        <x:v>WITHIN TOLERANCE</x:v>
      </x:c>
    </x:row>
    <x:row r="89" ht="18" customHeight="1">
      <x:c r="A89" s="1552" t="str">
        <x:v>OSR116</x:v>
      </x:c>
      <x:c r="B89" s="1155" t="str">
        <x:v>Blackrod Project</x:v>
      </x:c>
      <x:c r="C89" s="1155" t="str">
        <x:v>IPC CANADA LTD.</x:v>
      </x:c>
      <x:c r="D89" s="1553" t="n">
        <x:v>2024</x:v>
      </x:c>
      <x:c r="E89" s="1554" t="n">
        <x:v>11090815</x:v>
      </x:c>
      <x:c r="F89" s="1554" t="n">
        <x:v>0</x:v>
      </x:c>
      <x:c r="G89" s="1554" t="n">
        <x:v>11090815</x:v>
      </x:c>
      <x:c r="H89" s="1555" t="n">
        <x:f>E89-F89-G89</x:f>
        <x:v>0</x:v>
      </x:c>
      <x:c r="I89" s="1554" t="n">
        <x:v>173754</x:v>
      </x:c>
      <x:c r="J89" s="1556" t="n">
        <x:v>63.83</x:v>
      </x:c>
      <x:c r="K89" s="1557" t="n">
        <x:f>IF(I89=0,0,G89/I89)</x:f>
        <x:v>63.83055929647663</x:v>
      </x:c>
      <x:c r="L89" s="1554" t="n">
        <x:v>6207217</x:v>
      </x:c>
      <x:c r="M89" s="1554" t="n">
        <x:v>27607277</x:v>
      </x:c>
      <x:c r="N89" s="1554" t="n">
        <x:v>3573137</x:v>
      </x:c>
      <x:c r="O89" s="1554" t="n">
        <x:v>780620</x:v>
      </x:c>
      <x:c r="P89" s="1554" t="n">
        <x:v>0</x:v>
      </x:c>
      <x:c r="Q89" s="1554" t="n">
        <x:v>0</x:v>
      </x:c>
      <x:c r="R89" s="1555" t="n">
        <x:f>MAX(0,G89-L89-M89-N89-O89+P89)</x:f>
        <x:v>0</x:v>
      </x:c>
      <x:c r="S89" s="1555" t="str">
        <x:f>IF(T89="NET",Q89-R89,"")</x:f>
      </x:c>
      <x:c r="T89" s="1552" t="str">
        <x:v>GROSS</x:v>
      </x:c>
      <x:c r="U89" s="1558" t="n">
        <x:v>7.04</x:v>
      </x:c>
      <x:c r="V89" s="1554" t="n">
        <x:v>780620</x:v>
      </x:c>
      <x:c r="W89" s="1555" t="n">
        <x:f>IF(T89="NET",Q89*U89/100,G89*U89/100)</x:f>
        <x:v>780793.3759999999</x:v>
      </x:c>
      <x:c r="X89" s="1555" t="n">
        <x:f>V89-W89</x:f>
        <x:v>-173.37599999993108</x:v>
      </x:c>
      <x:c r="Y89" s="1552" t="str">
        <x:v>PRE</x:v>
      </x:c>
      <x:c r="Z89" s="1554" t="n">
        <x:v>130132796</x:v>
      </x:c>
      <x:c r="AA89" s="1155" t="str"/>
      <x:c r="AB89" s="1560" t="n">
        <x:v>9</x:v>
      </x:c>
      <x:c r="AC89" s="1155" t="str">
        <x:v>https://www.alberta.ca/royalty-oil-sands-project-data.aspx?dto=0&amp;dtp=9&amp;dtq=&amp;dts=0</x:v>
      </x:c>
      <x:c r="AD89" s="1559" t="str">
        <x:f>IF(ABS(H89)&lt;=Model_Parameters!$B$7,"PASS","REVIEW")</x:f>
        <x:v>PASS</x:v>
      </x:c>
      <x:c r="AE89" s="1559" t="str">
        <x:f>IF(T89&lt;&gt;"NET","N/A",IF(ABS(S89)&lt;=Model_Parameters!$B$7,"PASS","REVIEW"))</x:f>
        <x:v>N/A</x:v>
      </x:c>
      <x:c r="AF89" s="1559" t="str">
        <x:f>IF(ABS(X89)&lt;=Model_Parameters!$B$7,"WITHIN TOLERANCE","DISPLAY RATE / ADJUSTMENT")</x:f>
        <x:v>WITHIN TOLERANCE</x:v>
      </x:c>
    </x:row>
    <x:row r="90" ht="18" customHeight="1">
      <x:c r="A90" s="1552" t="str">
        <x:v>OSR117</x:v>
      </x:c>
      <x:c r="B90" s="1155" t="str">
        <x:v>Jackfish 2 SAGD Thermal Project</x:v>
      </x:c>
      <x:c r="C90" s="1155" t="str">
        <x:v>CANADIAN NATURAL RESOURCES LIMITED</x:v>
      </x:c>
      <x:c r="D90" s="1553" t="n">
        <x:v>2024</x:v>
      </x:c>
      <x:c r="E90" s="1554" t="n">
        <x:v>1892568037</x:v>
      </x:c>
      <x:c r="F90" s="1554" t="n">
        <x:v>738184342</x:v>
      </x:c>
      <x:c r="G90" s="1554" t="n">
        <x:v>1154383695</x:v>
      </x:c>
      <x:c r="H90" s="1555" t="n">
        <x:f>E90-F90-G90</x:f>
        <x:v>0</x:v>
      </x:c>
      <x:c r="I90" s="1554" t="n">
        <x:v>16940868</x:v>
      </x:c>
      <x:c r="J90" s="1556" t="n">
        <x:v>68.14</x:v>
      </x:c>
      <x:c r="K90" s="1557" t="n">
        <x:f>IF(I90=0,0,G90/I90)</x:f>
        <x:v>68.141944969998</x:v>
      </x:c>
      <x:c r="L90" s="1554" t="n">
        <x:v>141820539</x:v>
      </x:c>
      <x:c r="M90" s="1554" t="n">
        <x:v>64757407</x:v>
      </x:c>
      <x:c r="N90" s="1554" t="n">
        <x:v>0</x:v>
      </x:c>
      <x:c r="O90" s="1554" t="n">
        <x:v>1535035</x:v>
      </x:c>
      <x:c r="P90" s="1554" t="n">
        <x:v>222500</x:v>
      </x:c>
      <x:c r="Q90" s="1554" t="n">
        <x:v>946493214</x:v>
      </x:c>
      <x:c r="R90" s="1555" t="n">
        <x:f>MAX(0,G90-L90-M90-N90-O90+P90)</x:f>
        <x:v>946493214</x:v>
      </x:c>
      <x:c r="S90" s="1555" t="n">
        <x:f>IF(T90="NET",Q90-R90,"")</x:f>
        <x:v>0</x:v>
      </x:c>
      <x:c r="T90" s="1552" t="str">
        <x:v>NET</x:v>
      </x:c>
      <x:c r="U90" s="1558" t="n">
        <x:v>36.31</x:v>
      </x:c>
      <x:c r="V90" s="1554" t="n">
        <x:v>343627958</x:v>
      </x:c>
      <x:c r="W90" s="1555" t="n">
        <x:f>IF(T90="NET",Q90*U90/100,G90*U90/100)</x:f>
        <x:v>343671686.0034</x:v>
      </x:c>
      <x:c r="X90" s="1555" t="n">
        <x:f>V90-W90</x:f>
        <x:v>-43728.00340002775</x:v>
      </x:c>
      <x:c r="Y90" s="1552" t="str">
        <x:v>POST</x:v>
      </x:c>
      <x:c r="Z90" s="1554" t="n">
        <x:v>0</x:v>
      </x:c>
      <x:c r="AA90" s="1155" t="str"/>
      <x:c r="AB90" s="1560" t="n">
        <x:v>9</x:v>
      </x:c>
      <x:c r="AC90" s="1155" t="str">
        <x:v>https://www.alberta.ca/royalty-oil-sands-project-data.aspx?dto=0&amp;dtp=9&amp;dtq=&amp;dts=0</x:v>
      </x:c>
      <x:c r="AD90" s="1559" t="str">
        <x:f>IF(ABS(H90)&lt;=Model_Parameters!$B$7,"PASS","REVIEW")</x:f>
        <x:v>PASS</x:v>
      </x:c>
      <x:c r="AE90" s="1559" t="str">
        <x:f>IF(T90&lt;&gt;"NET","N/A",IF(ABS(S90)&lt;=Model_Parameters!$B$7,"PASS","REVIEW"))</x:f>
        <x:v>PASS</x:v>
      </x:c>
      <x:c r="AF90" s="1559" t="str">
        <x:f>IF(ABS(X90)&lt;=Model_Parameters!$B$7,"WITHIN TOLERANCE","DISPLAY RATE / ADJUSTMENT")</x:f>
        <x:v>DISPLAY RATE / ADJUSTMENT</x:v>
      </x:c>
    </x:row>
    <x:row r="91" ht="18" customHeight="1">
      <x:c r="A91" s="1552" t="str">
        <x:v>OSR118</x:v>
      </x:c>
      <x:c r="B91" s="1155" t="str">
        <x:v>Cliffdale</x:v>
      </x:c>
      <x:c r="C91" s="1155" t="str">
        <x:v>CANADIAN NATURAL RESOURCES LIMITED</x:v>
      </x:c>
      <x:c r="D91" s="1553" t="n">
        <x:v>2024</x:v>
      </x:c>
      <x:c r="E91" s="1554" t="n">
        <x:v>164757140</x:v>
      </x:c>
      <x:c r="F91" s="1554" t="n">
        <x:v>61227560</x:v>
      </x:c>
      <x:c r="G91" s="1554" t="n">
        <x:v>103529580</x:v>
      </x:c>
      <x:c r="H91" s="1555" t="n">
        <x:f>E91-F91-G91</x:f>
        <x:v>0</x:v>
      </x:c>
      <x:c r="I91" s="1554" t="n">
        <x:v>1481922</x:v>
      </x:c>
      <x:c r="J91" s="1556" t="n">
        <x:v>69.86</x:v>
      </x:c>
      <x:c r="K91" s="1557" t="n">
        <x:f>IF(I91=0,0,G91/I91)</x:f>
        <x:v>69.86169312554912</x:v>
      </x:c>
      <x:c r="L91" s="1554" t="n">
        <x:v>29907876</x:v>
      </x:c>
      <x:c r="M91" s="1554" t="n">
        <x:v>32629932</x:v>
      </x:c>
      <x:c r="N91" s="1554" t="n">
        <x:v>0</x:v>
      </x:c>
      <x:c r="O91" s="1554" t="n">
        <x:v>0</x:v>
      </x:c>
      <x:c r="P91" s="1554" t="n">
        <x:v>657550</x:v>
      </x:c>
      <x:c r="Q91" s="1554" t="n">
        <x:v>41649322</x:v>
      </x:c>
      <x:c r="R91" s="1555" t="n">
        <x:f>MAX(0,G91-L91-M91-N91-O91+P91)</x:f>
        <x:v>41649322</x:v>
      </x:c>
      <x:c r="S91" s="1555" t="n">
        <x:f>IF(T91="NET",Q91-R91,"")</x:f>
        <x:v>0</x:v>
      </x:c>
      <x:c r="T91" s="1552" t="str">
        <x:v>NET</x:v>
      </x:c>
      <x:c r="U91" s="1558" t="n">
        <x:v>36.31</x:v>
      </x:c>
      <x:c r="V91" s="1554" t="n">
        <x:v>15120945</x:v>
      </x:c>
      <x:c r="W91" s="1555" t="n">
        <x:f>IF(T91="NET",Q91*U91/100,G91*U91/100)</x:f>
        <x:v>15122868.818200001</x:v>
      </x:c>
      <x:c r="X91" s="1555" t="n">
        <x:f>V91-W91</x:f>
        <x:v>-1923.818200001493</x:v>
      </x:c>
      <x:c r="Y91" s="1552" t="str">
        <x:v>POST</x:v>
      </x:c>
      <x:c r="Z91" s="1554" t="n">
        <x:v>0</x:v>
      </x:c>
      <x:c r="AA91" s="1155" t="str"/>
      <x:c r="AB91" s="1560" t="n">
        <x:v>9</x:v>
      </x:c>
      <x:c r="AC91" s="1155" t="str">
        <x:v>https://www.alberta.ca/royalty-oil-sands-project-data.aspx?dto=0&amp;dtp=9&amp;dtq=&amp;dts=0</x:v>
      </x:c>
      <x:c r="AD91" s="1559" t="str">
        <x:f>IF(ABS(H91)&lt;=Model_Parameters!$B$7,"PASS","REVIEW")</x:f>
        <x:v>PASS</x:v>
      </x:c>
      <x:c r="AE91" s="1559" t="str">
        <x:f>IF(T91&lt;&gt;"NET","N/A",IF(ABS(S91)&lt;=Model_Parameters!$B$7,"PASS","REVIEW"))</x:f>
        <x:v>PASS</x:v>
      </x:c>
      <x:c r="AF91" s="1559" t="str">
        <x:f>IF(ABS(X91)&lt;=Model_Parameters!$B$7,"WITHIN TOLERANCE","DISPLAY RATE / ADJUSTMENT")</x:f>
        <x:v>DISPLAY RATE / ADJUSTMENT</x:v>
      </x:c>
    </x:row>
    <x:row r="92" ht="18" customHeight="1">
      <x:c r="A92" s="1552" t="str">
        <x:v>OSR120</x:v>
      </x:c>
      <x:c r="B92" s="1155" t="str">
        <x:v>Pelican Lake Project Grand Rapids</x:v>
      </x:c>
      <x:c r="C92" s="1155" t="str">
        <x:v>CANADIAN NATURAL RESOURCES LIMITED</x:v>
      </x:c>
      <x:c r="D92" s="1553" t="n">
        <x:v>2024</x:v>
      </x:c>
      <x:c r="E92" s="1554" t="n">
        <x:v>0</x:v>
      </x:c>
      <x:c r="F92" s="1554" t="n">
        <x:v>0</x:v>
      </x:c>
      <x:c r="G92" s="1554" t="n">
        <x:v>0</x:v>
      </x:c>
      <x:c r="H92" s="1555" t="n">
        <x:f>E92-F92-G92</x:f>
        <x:v>0</x:v>
      </x:c>
      <x:c r="I92" s="1554" t="n">
        <x:v>0</x:v>
      </x:c>
      <x:c r="J92" s="1556" t="n">
        <x:v>0</x:v>
      </x:c>
      <x:c r="K92" s="1557" t="n">
        <x:f>IF(I92=0,0,G92/I92)</x:f>
        <x:v>0</x:v>
      </x:c>
      <x:c r="L92" s="1554" t="n">
        <x:v>218951</x:v>
      </x:c>
      <x:c r="M92" s="1554" t="n">
        <x:v>5064</x:v>
      </x:c>
      <x:c r="N92" s="1554" t="n">
        <x:v>0</x:v>
      </x:c>
      <x:c r="O92" s="1554" t="n">
        <x:v>0</x:v>
      </x:c>
      <x:c r="P92" s="1554" t="n">
        <x:v>0</x:v>
      </x:c>
      <x:c r="Q92" s="1554" t="n">
        <x:v>0</x:v>
      </x:c>
      <x:c r="R92" s="1555" t="n">
        <x:f>MAX(0,G92-L92-M92-N92-O92+P92)</x:f>
        <x:v>0</x:v>
      </x:c>
      <x:c r="S92" s="1555" t="str">
        <x:f>IF(T92="NET",Q92-R92,"")</x:f>
      </x:c>
      <x:c r="T92" s="1552" t="str">
        <x:v>GROSS</x:v>
      </x:c>
      <x:c r="U92" s="1558" t="n">
        <x:v>0</x:v>
      </x:c>
      <x:c r="V92" s="1554" t="n">
        <x:v>0</x:v>
      </x:c>
      <x:c r="W92" s="1555" t="n">
        <x:f>IF(T92="NET",Q92*U92/100,G92*U92/100)</x:f>
        <x:v>0</x:v>
      </x:c>
      <x:c r="X92" s="1555" t="n">
        <x:f>V92-W92</x:f>
        <x:v>0</x:v>
      </x:c>
      <x:c r="Y92" s="1552" t="str">
        <x:v>PRE</x:v>
      </x:c>
      <x:c r="Z92" s="1554" t="n">
        <x:v>148515104</x:v>
      </x:c>
      <x:c r="AA92" s="1155" t="str"/>
      <x:c r="AB92" s="1560" t="n">
        <x:v>9</x:v>
      </x:c>
      <x:c r="AC92" s="1155" t="str">
        <x:v>https://www.alberta.ca/royalty-oil-sands-project-data.aspx?dto=0&amp;dtp=9&amp;dtq=&amp;dts=0</x:v>
      </x:c>
      <x:c r="AD92" s="1559" t="str">
        <x:f>IF(ABS(H92)&lt;=Model_Parameters!$B$7,"PASS","REVIEW")</x:f>
        <x:v>PASS</x:v>
      </x:c>
      <x:c r="AE92" s="1559" t="str">
        <x:f>IF(T92&lt;&gt;"NET","N/A",IF(ABS(S92)&lt;=Model_Parameters!$B$7,"PASS","REVIEW"))</x:f>
        <x:v>N/A</x:v>
      </x:c>
      <x:c r="AF92" s="1559" t="str">
        <x:f>IF(ABS(X92)&lt;=Model_Parameters!$B$7,"WITHIN TOLERANCE","DISPLAY RATE / ADJUSTMENT")</x:f>
        <x:v>WITHIN TOLERANCE</x:v>
      </x:c>
    </x:row>
    <x:row r="93" ht="18" customHeight="1">
      <x:c r="A93" s="1552" t="str">
        <x:v>OSR121</x:v>
      </x:c>
      <x:c r="B93" s="1155" t="str">
        <x:v>Fire Tower</x:v>
      </x:c>
      <x:c r="C93" s="1155" t="str">
        <x:v>CANADIAN NATURAL RESOURCES LIMITED</x:v>
      </x:c>
      <x:c r="D93" s="1553" t="n">
        <x:v>2024</x:v>
      </x:c>
      <x:c r="E93" s="1554" t="n">
        <x:v>26349177</x:v>
      </x:c>
      <x:c r="F93" s="1554" t="n">
        <x:v>4702028</x:v>
      </x:c>
      <x:c r="G93" s="1554" t="n">
        <x:v>21647149</x:v>
      </x:c>
      <x:c r="H93" s="1555" t="n">
        <x:f>E93-F93-G93</x:f>
        <x:v>0</x:v>
      </x:c>
      <x:c r="I93" s="1554" t="n">
        <x:v>275058</x:v>
      </x:c>
      <x:c r="J93" s="1556" t="n">
        <x:v>78.7</x:v>
      </x:c>
      <x:c r="K93" s="1557" t="n">
        <x:f>IF(I93=0,0,G93/I93)</x:f>
        <x:v>78.70030684437464</x:v>
      </x:c>
      <x:c r="L93" s="1554" t="n">
        <x:v>7721240</x:v>
      </x:c>
      <x:c r="M93" s="1554" t="n">
        <x:v>3726670</x:v>
      </x:c>
      <x:c r="N93" s="1554" t="n">
        <x:v>0</x:v>
      </x:c>
      <x:c r="O93" s="1554" t="n">
        <x:v>0</x:v>
      </x:c>
      <x:c r="P93" s="1554" t="n">
        <x:v>167283</x:v>
      </x:c>
      <x:c r="Q93" s="1554" t="n">
        <x:v>10366522</x:v>
      </x:c>
      <x:c r="R93" s="1555" t="n">
        <x:f>MAX(0,G93-L93-M93-N93-O93+P93)</x:f>
        <x:v>10366522</x:v>
      </x:c>
      <x:c r="S93" s="1555" t="n">
        <x:f>IF(T93="NET",Q93-R93,"")</x:f>
        <x:v>0</x:v>
      </x:c>
      <x:c r="T93" s="1552" t="str">
        <x:v>NET</x:v>
      </x:c>
      <x:c r="U93" s="1558" t="n">
        <x:v>36.31</x:v>
      </x:c>
      <x:c r="V93" s="1554" t="n">
        <x:v>3763605</x:v>
      </x:c>
      <x:c r="W93" s="1555" t="n">
        <x:f>IF(T93="NET",Q93*U93/100,G93*U93/100)</x:f>
        <x:v>3764084.1382000004</x:v>
      </x:c>
      <x:c r="X93" s="1555" t="n">
        <x:f>V93-W93</x:f>
        <x:v>-479.13820000039414</x:v>
      </x:c>
      <x:c r="Y93" s="1552" t="str">
        <x:v>POST</x:v>
      </x:c>
      <x:c r="Z93" s="1554" t="n">
        <x:v>0</x:v>
      </x:c>
      <x:c r="AA93" s="1155" t="str"/>
      <x:c r="AB93" s="1560" t="n">
        <x:v>10</x:v>
      </x:c>
      <x:c r="AC93" s="1155" t="str">
        <x:v>https://www.alberta.ca/royalty-oil-sands-project-data.aspx?dto=0&amp;dtp=10&amp;dtq=&amp;dts=0</x:v>
      </x:c>
      <x:c r="AD93" s="1559" t="str">
        <x:f>IF(ABS(H93)&lt;=Model_Parameters!$B$7,"PASS","REVIEW")</x:f>
        <x:v>PASS</x:v>
      </x:c>
      <x:c r="AE93" s="1559" t="str">
        <x:f>IF(T93&lt;&gt;"NET","N/A",IF(ABS(S93)&lt;=Model_Parameters!$B$7,"PASS","REVIEW"))</x:f>
        <x:v>PASS</x:v>
      </x:c>
      <x:c r="AF93" s="1559" t="str">
        <x:f>IF(ABS(X93)&lt;=Model_Parameters!$B$7,"WITHIN TOLERANCE","DISPLAY RATE / ADJUSTMENT")</x:f>
        <x:v>WITHIN TOLERANCE</x:v>
      </x:c>
    </x:row>
    <x:row r="94" ht="18" customHeight="1">
      <x:c r="A94" s="1552" t="str">
        <x:v>OSR123</x:v>
      </x:c>
      <x:c r="B94" s="1155" t="str">
        <x:v>MacKay River Commercial Project</x:v>
      </x:c>
      <x:c r="C94" s="1155" t="str">
        <x:v>PETROCHINA CANADA LTD.</x:v>
      </x:c>
      <x:c r="D94" s="1553" t="n">
        <x:v>2024</x:v>
      </x:c>
      <x:c r="E94" s="1554" t="n">
        <x:v>622552029</x:v>
      </x:c>
      <x:c r="F94" s="1554" t="n">
        <x:v>421489996</x:v>
      </x:c>
      <x:c r="G94" s="1554" t="n">
        <x:v>201062034</x:v>
      </x:c>
      <x:c r="H94" s="1555" t="n">
        <x:f>E94-F94-G94</x:f>
        <x:v>-1</x:v>
      </x:c>
      <x:c r="I94" s="1554" t="n">
        <x:v>3579794</x:v>
      </x:c>
      <x:c r="J94" s="1556" t="n">
        <x:v>56.17</x:v>
      </x:c>
      <x:c r="K94" s="1557" t="n">
        <x:f>IF(I94=0,0,G94/I94)</x:f>
        <x:v>56.16581121707003</x:v>
      </x:c>
      <x:c r="L94" s="1554" t="n">
        <x:v>113145274</x:v>
      </x:c>
      <x:c r="M94" s="1554" t="n">
        <x:v>1217570</x:v>
      </x:c>
      <x:c r="N94" s="1554" t="n">
        <x:v>119055884</x:v>
      </x:c>
      <x:c r="O94" s="1554" t="n">
        <x:v>14313010</x:v>
      </x:c>
      <x:c r="P94" s="1554" t="n">
        <x:v>0</x:v>
      </x:c>
      <x:c r="Q94" s="1554" t="n">
        <x:v>0</x:v>
      </x:c>
      <x:c r="R94" s="1555" t="n">
        <x:f>MAX(0,G94-L94-M94-N94-O94+P94)</x:f>
        <x:v>0</x:v>
      </x:c>
      <x:c r="S94" s="1555" t="str">
        <x:f>IF(T94="NET",Q94-R94,"")</x:f>
      </x:c>
      <x:c r="T94" s="1552" t="str">
        <x:v>GROSS</x:v>
      </x:c>
      <x:c r="U94" s="1558" t="n">
        <x:v>7.12</x:v>
      </x:c>
      <x:c r="V94" s="1554" t="n">
        <x:v>14313010</x:v>
      </x:c>
      <x:c r="W94" s="1555" t="n">
        <x:f>IF(T94="NET",Q94*U94/100,G94*U94/100)</x:f>
        <x:v>14315616.820799999</x:v>
      </x:c>
      <x:c r="X94" s="1555" t="n">
        <x:f>V94-W94</x:f>
        <x:v>-2606.820799998939</x:v>
      </x:c>
      <x:c r="Y94" s="1552" t="str">
        <x:v>PRE</x:v>
      </x:c>
      <x:c r="Z94" s="1554" t="n">
        <x:v>3674066019</x:v>
      </x:c>
      <x:c r="AA94" s="1155" t="str">
        <x:v>Project is subject to the Bitumen Valuation Methodology (BVM) in one or more production months.</x:v>
      </x:c>
      <x:c r="AB94" s="1560" t="n">
        <x:v>10</x:v>
      </x:c>
      <x:c r="AC94" s="1155" t="str">
        <x:v>https://www.alberta.ca/royalty-oil-sands-project-data.aspx?dto=0&amp;dtp=10&amp;dtq=&amp;dts=0</x:v>
      </x:c>
      <x:c r="AD94" s="1559" t="str">
        <x:f>IF(ABS(H94)&lt;=Model_Parameters!$B$7,"PASS","REVIEW")</x:f>
        <x:v>PASS</x:v>
      </x:c>
      <x:c r="AE94" s="1559" t="str">
        <x:f>IF(T94&lt;&gt;"NET","N/A",IF(ABS(S94)&lt;=Model_Parameters!$B$7,"PASS","REVIEW"))</x:f>
        <x:v>N/A</x:v>
      </x:c>
      <x:c r="AF94" s="1559" t="str">
        <x:f>IF(ABS(X94)&lt;=Model_Parameters!$B$7,"WITHIN TOLERANCE","DISPLAY RATE / ADJUSTMENT")</x:f>
        <x:v>DISPLAY RATE / ADJUSTMENT</x:v>
      </x:c>
    </x:row>
    <x:row r="95" ht="18" customHeight="1">
      <x:c r="A95" s="1552" t="str">
        <x:v>OSR124</x:v>
      </x:c>
      <x:c r="B95" s="1155" t="str">
        <x:v>Jackfish 3 SAGD Project</x:v>
      </x:c>
      <x:c r="C95" s="1155" t="str">
        <x:v>CANADIAN NATURAL RESOURCES LIMITED</x:v>
      </x:c>
      <x:c r="D95" s="1553" t="n">
        <x:v>2024</x:v>
      </x:c>
      <x:c r="E95" s="1554" t="n">
        <x:v>1540618508</x:v>
      </x:c>
      <x:c r="F95" s="1554" t="n">
        <x:v>602810782</x:v>
      </x:c>
      <x:c r="G95" s="1554" t="n">
        <x:v>937807726</x:v>
      </x:c>
      <x:c r="H95" s="1555" t="n">
        <x:f>E95-F95-G95</x:f>
        <x:v>0</x:v>
      </x:c>
      <x:c r="I95" s="1554" t="n">
        <x:v>13920914</x:v>
      </x:c>
      <x:c r="J95" s="1556" t="n">
        <x:v>67.37</x:v>
      </x:c>
      <x:c r="K95" s="1557" t="n">
        <x:f>IF(I95=0,0,G95/I95)</x:f>
        <x:v>67.3668213164739</x:v>
      </x:c>
      <x:c r="L95" s="1554" t="n">
        <x:v>139271092</x:v>
      </x:c>
      <x:c r="M95" s="1554" t="n">
        <x:v>55530478</x:v>
      </x:c>
      <x:c r="N95" s="1554" t="n">
        <x:v>0</x:v>
      </x:c>
      <x:c r="O95" s="1554" t="n">
        <x:v>37022893</x:v>
      </x:c>
      <x:c r="P95" s="1554" t="n">
        <x:v>0</x:v>
      </x:c>
      <x:c r="Q95" s="1554" t="n">
        <x:v>705983263</x:v>
      </x:c>
      <x:c r="R95" s="1555" t="n">
        <x:f>MAX(0,G95-L95-M95-N95-O95+P95)</x:f>
        <x:v>705983263</x:v>
      </x:c>
      <x:c r="S95" s="1555" t="n">
        <x:f>IF(T95="NET",Q95-R95,"")</x:f>
        <x:v>0</x:v>
      </x:c>
      <x:c r="T95" s="1552" t="str">
        <x:v>NET</x:v>
      </x:c>
      <x:c r="U95" s="1558" t="n">
        <x:v>36.31</x:v>
      </x:c>
      <x:c r="V95" s="1554" t="n">
        <x:v>256309906</x:v>
      </x:c>
      <x:c r="W95" s="1555" t="n">
        <x:f>IF(T95="NET",Q95*U95/100,G95*U95/100)</x:f>
        <x:v>256342522.79530004</x:v>
      </x:c>
      <x:c r="X95" s="1555" t="n">
        <x:f>V95-W95</x:f>
        <x:v>-32616.79530003667</x:v>
      </x:c>
      <x:c r="Y95" s="1552" t="str">
        <x:v>POST</x:v>
      </x:c>
      <x:c r="Z95" s="1554" t="n">
        <x:v>0</x:v>
      </x:c>
      <x:c r="AA95" s="1155" t="str"/>
      <x:c r="AB95" s="1560" t="n">
        <x:v>10</x:v>
      </x:c>
      <x:c r="AC95" s="1155" t="str">
        <x:v>https://www.alberta.ca/royalty-oil-sands-project-data.aspx?dto=0&amp;dtp=10&amp;dtq=&amp;dts=0</x:v>
      </x:c>
      <x:c r="AD95" s="1559" t="str">
        <x:f>IF(ABS(H95)&lt;=Model_Parameters!$B$7,"PASS","REVIEW")</x:f>
        <x:v>PASS</x:v>
      </x:c>
      <x:c r="AE95" s="1559" t="str">
        <x:f>IF(T95&lt;&gt;"NET","N/A",IF(ABS(S95)&lt;=Model_Parameters!$B$7,"PASS","REVIEW"))</x:f>
        <x:v>PASS</x:v>
      </x:c>
      <x:c r="AF95" s="1559" t="str">
        <x:f>IF(ABS(X95)&lt;=Model_Parameters!$B$7,"WITHIN TOLERANCE","DISPLAY RATE / ADJUSTMENT")</x:f>
        <x:v>DISPLAY RATE / ADJUSTMENT</x:v>
      </x:c>
    </x:row>
    <x:row r="96" ht="18" customHeight="1">
      <x:c r="A96" s="1552" t="str">
        <x:v>OSR126</x:v>
      </x:c>
      <x:c r="B96" s="1155" t="str">
        <x:v>Algar Lake SAGD</x:v>
      </x:c>
      <x:c r="C96" s="1155" t="str">
        <x:v>GRIZZLY OIL SANDS ULC</x:v>
      </x:c>
      <x:c r="D96" s="1553" t="n">
        <x:v>2024</x:v>
      </x:c>
      <x:c r="E96" s="1554" t="n">
        <x:v>0</x:v>
      </x:c>
      <x:c r="F96" s="1554" t="n">
        <x:v>0</x:v>
      </x:c>
      <x:c r="G96" s="1554" t="n">
        <x:v>0</x:v>
      </x:c>
      <x:c r="H96" s="1555" t="n">
        <x:f>E96-F96-G96</x:f>
        <x:v>0</x:v>
      </x:c>
      <x:c r="I96" s="1554" t="n">
        <x:v>0</x:v>
      </x:c>
      <x:c r="J96" s="1556" t="n">
        <x:v>0</x:v>
      </x:c>
      <x:c r="K96" s="1557" t="n">
        <x:f>IF(I96=0,0,G96/I96)</x:f>
        <x:v>0</x:v>
      </x:c>
      <x:c r="L96" s="1554" t="n">
        <x:v>0</x:v>
      </x:c>
      <x:c r="M96" s="1554" t="n">
        <x:v>0</x:v>
      </x:c>
      <x:c r="N96" s="1554" t="n">
        <x:v>0</x:v>
      </x:c>
      <x:c r="O96" s="1554" t="n">
        <x:v>0</x:v>
      </x:c>
      <x:c r="P96" s="1554" t="n">
        <x:v>0</x:v>
      </x:c>
      <x:c r="Q96" s="1554" t="n">
        <x:v>0</x:v>
      </x:c>
      <x:c r="R96" s="1555" t="n">
        <x:f>MAX(0,G96-L96-M96-N96-O96+P96)</x:f>
        <x:v>0</x:v>
      </x:c>
      <x:c r="S96" s="1555" t="str">
        <x:f>IF(T96="NET",Q96-R96,"")</x:f>
      </x:c>
      <x:c r="T96" s="1552" t="str">
        <x:v>GROSS</x:v>
      </x:c>
      <x:c r="U96" s="1558" t="n">
        <x:v>0</x:v>
      </x:c>
      <x:c r="V96" s="1554" t="n">
        <x:v>0</x:v>
      </x:c>
      <x:c r="W96" s="1555" t="n">
        <x:f>IF(T96="NET",Q96*U96/100,G96*U96/100)</x:f>
        <x:v>0</x:v>
      </x:c>
      <x:c r="X96" s="1555" t="n">
        <x:f>V96-W96</x:f>
        <x:v>0</x:v>
      </x:c>
      <x:c r="Y96" s="1552" t="str">
        <x:v>PRE</x:v>
      </x:c>
      <x:c r="Z96" s="1554" t="n">
        <x:v>477291401</x:v>
      </x:c>
      <x:c r="AA96" s="1155" t="str"/>
      <x:c r="AB96" s="1560" t="n">
        <x:v>10</x:v>
      </x:c>
      <x:c r="AC96" s="1155" t="str">
        <x:v>https://www.alberta.ca/royalty-oil-sands-project-data.aspx?dto=0&amp;dtp=10&amp;dtq=&amp;dts=0</x:v>
      </x:c>
      <x:c r="AD96" s="1559" t="str">
        <x:f>IF(ABS(H96)&lt;=Model_Parameters!$B$7,"PASS","REVIEW")</x:f>
        <x:v>PASS</x:v>
      </x:c>
      <x:c r="AE96" s="1559" t="str">
        <x:f>IF(T96&lt;&gt;"NET","N/A",IF(ABS(S96)&lt;=Model_Parameters!$B$7,"PASS","REVIEW"))</x:f>
        <x:v>N/A</x:v>
      </x:c>
      <x:c r="AF96" s="1559" t="str">
        <x:f>IF(ABS(X96)&lt;=Model_Parameters!$B$7,"WITHIN TOLERANCE","DISPLAY RATE / ADJUSTMENT")</x:f>
        <x:v>WITHIN TOLERANCE</x:v>
      </x:c>
    </x:row>
    <x:row r="97" ht="18" customHeight="1">
      <x:c r="A97" s="1552" t="str">
        <x:v>OSR127</x:v>
      </x:c>
      <x:c r="B97" s="1155" t="str">
        <x:v>Fort Hills Oil Sands Project</x:v>
      </x:c>
      <x:c r="C97" s="1155" t="str">
        <x:v>SUNCOR ENERGY OPERATING INC.</x:v>
      </x:c>
      <x:c r="D97" s="1553" t="n">
        <x:v>2024</x:v>
      </x:c>
      <x:c r="E97" s="1554" t="n">
        <x:v>5794382226</x:v>
      </x:c>
      <x:c r="F97" s="1554" t="n">
        <x:v>1581644835</x:v>
      </x:c>
      <x:c r="G97" s="1554" t="n">
        <x:v>4212737391</x:v>
      </x:c>
      <x:c r="H97" s="1555" t="n">
        <x:f>E97-F97-G97</x:f>
        <x:v>0</x:v>
      </x:c>
      <x:c r="I97" s="1554" t="n">
        <x:v>61250003</x:v>
      </x:c>
      <x:c r="J97" s="1556" t="n">
        <x:v>68.78</x:v>
      </x:c>
      <x:c r="K97" s="1557" t="n">
        <x:f>IF(I97=0,0,G97/I97)</x:f>
        <x:v>68.77938260672411</x:v>
      </x:c>
      <x:c r="L97" s="1554" t="n">
        <x:v>2403426008</x:v>
      </x:c>
      <x:c r="M97" s="1554" t="n">
        <x:v>937051897</x:v>
      </x:c>
      <x:c r="N97" s="1554" t="n">
        <x:v>793697775</x:v>
      </x:c>
      <x:c r="O97" s="1554" t="n">
        <x:v>299191668</x:v>
      </x:c>
      <x:c r="P97" s="1554" t="n">
        <x:v>38333930</x:v>
      </x:c>
      <x:c r="Q97" s="1554" t="n">
        <x:v>0</x:v>
      </x:c>
      <x:c r="R97" s="1555" t="n">
        <x:f>MAX(0,G97-L97-M97-N97-O97+P97)</x:f>
        <x:v>0</x:v>
      </x:c>
      <x:c r="S97" s="1555" t="str">
        <x:f>IF(T97="NET",Q97-R97,"")</x:f>
      </x:c>
      <x:c r="T97" s="1552" t="str">
        <x:v>GROSS</x:v>
      </x:c>
      <x:c r="U97" s="1558" t="n">
        <x:v>7.1</x:v>
      </x:c>
      <x:c r="V97" s="1554" t="n">
        <x:v>299191668</x:v>
      </x:c>
      <x:c r="W97" s="1555" t="n">
        <x:f>IF(T97="NET",Q97*U97/100,G97*U97/100)</x:f>
        <x:v>299104354.761</x:v>
      </x:c>
      <x:c r="X97" s="1555" t="n">
        <x:f>V97-W97</x:f>
        <x:v>87313.23900002241</x:v>
      </x:c>
      <x:c r="Y97" s="1552" t="str">
        <x:v>PRE</x:v>
      </x:c>
      <x:c r="Z97" s="1554" t="n">
        <x:v>24564927834</x:v>
      </x:c>
      <x:c r="AA97" s="1155" t="str">
        <x:v>Project is subject to the Bitumen Valuation Methodology (BVM) in one or more production months.</x:v>
      </x:c>
      <x:c r="AB97" s="1560" t="n">
        <x:v>10</x:v>
      </x:c>
      <x:c r="AC97" s="1155" t="str">
        <x:v>https://www.alberta.ca/royalty-oil-sands-project-data.aspx?dto=0&amp;dtp=10&amp;dtq=&amp;dts=0</x:v>
      </x:c>
      <x:c r="AD97" s="1559" t="str">
        <x:f>IF(ABS(H97)&lt;=Model_Parameters!$B$7,"PASS","REVIEW")</x:f>
        <x:v>PASS</x:v>
      </x:c>
      <x:c r="AE97" s="1559" t="str">
        <x:f>IF(T97&lt;&gt;"NET","N/A",IF(ABS(S97)&lt;=Model_Parameters!$B$7,"PASS","REVIEW"))</x:f>
        <x:v>N/A</x:v>
      </x:c>
      <x:c r="AF97" s="1559" t="str">
        <x:f>IF(ABS(X97)&lt;=Model_Parameters!$B$7,"WITHIN TOLERANCE","DISPLAY RATE / ADJUSTMENT")</x:f>
        <x:v>DISPLAY RATE / ADJUSTMENT</x:v>
      </x:c>
    </x:row>
    <x:row r="98" ht="18" customHeight="1">
      <x:c r="A98" s="1552" t="str">
        <x:v>OSR128</x:v>
      </x:c>
      <x:c r="B98" s="1155" t="str">
        <x:v>Amadou Primary Heavy Oil Project</x:v>
      </x:c>
      <x:c r="C98" s="1155" t="str">
        <x:v>BIGHORN ENERGY CORPORATION</x:v>
      </x:c>
      <x:c r="D98" s="1553" t="n">
        <x:v>2024</x:v>
      </x:c>
      <x:c r="E98" s="1554" t="n">
        <x:v>5439076</x:v>
      </x:c>
      <x:c r="F98" s="1554" t="n">
        <x:v>0</x:v>
      </x:c>
      <x:c r="G98" s="1554" t="n">
        <x:v>5439076</x:v>
      </x:c>
      <x:c r="H98" s="1555" t="n">
        <x:f>E98-F98-G98</x:f>
        <x:v>0</x:v>
      </x:c>
      <x:c r="I98" s="1554" t="n">
        <x:v>72514</x:v>
      </x:c>
      <x:c r="J98" s="1556" t="n">
        <x:v>75.01</x:v>
      </x:c>
      <x:c r="K98" s="1557" t="n">
        <x:f>IF(I98=0,0,G98/I98)</x:f>
        <x:v>75.00725377168547</x:v>
      </x:c>
      <x:c r="L98" s="1554" t="n">
        <x:v>5081659</x:v>
      </x:c>
      <x:c r="M98" s="1554" t="n">
        <x:v>0</x:v>
      </x:c>
      <x:c r="N98" s="1554" t="n">
        <x:v>0</x:v>
      </x:c>
      <x:c r="O98" s="1554" t="n">
        <x:v>217139</x:v>
      </x:c>
      <x:c r="P98" s="1554" t="n">
        <x:v>0</x:v>
      </x:c>
      <x:c r="Q98" s="1554" t="n">
        <x:v>140278</x:v>
      </x:c>
      <x:c r="R98" s="1555" t="n">
        <x:f>MAX(0,G98-L98-M98-N98-O98+P98)</x:f>
        <x:v>140278</x:v>
      </x:c>
      <x:c r="S98" s="1555" t="str">
        <x:f>IF(T98="NET",Q98-R98,"")</x:f>
      </x:c>
      <x:c r="T98" s="1552" t="str">
        <x:v>GROSS</x:v>
      </x:c>
      <x:c r="U98" s="1558" t="n">
        <x:v>7.03</x:v>
      </x:c>
      <x:c r="V98" s="1554" t="n">
        <x:v>382342</x:v>
      </x:c>
      <x:c r="W98" s="1555" t="n">
        <x:f>IF(T98="NET",Q98*U98/100,G98*U98/100)</x:f>
        <x:v>382367.0428</x:v>
      </x:c>
      <x:c r="X98" s="1555" t="n">
        <x:f>V98-W98</x:f>
        <x:v>-25.042799999995623</x:v>
      </x:c>
      <x:c r="Y98" s="1552" t="str">
        <x:v>POST</x:v>
      </x:c>
      <x:c r="Z98" s="1554" t="n">
        <x:v>0</x:v>
      </x:c>
      <x:c r="AA98" s="1155" t="str"/>
      <x:c r="AB98" s="1560" t="n">
        <x:v>10</x:v>
      </x:c>
      <x:c r="AC98" s="1155" t="str">
        <x:v>https://www.alberta.ca/royalty-oil-sands-project-data.aspx?dto=0&amp;dtp=10&amp;dtq=&amp;dts=0</x:v>
      </x:c>
      <x:c r="AD98" s="1559" t="str">
        <x:f>IF(ABS(H98)&lt;=Model_Parameters!$B$7,"PASS","REVIEW")</x:f>
        <x:v>PASS</x:v>
      </x:c>
      <x:c r="AE98" s="1559" t="str">
        <x:f>IF(T98&lt;&gt;"NET","N/A",IF(ABS(S98)&lt;=Model_Parameters!$B$7,"PASS","REVIEW"))</x:f>
        <x:v>N/A</x:v>
      </x:c>
      <x:c r="AF98" s="1559" t="str">
        <x:f>IF(ABS(X98)&lt;=Model_Parameters!$B$7,"WITHIN TOLERANCE","DISPLAY RATE / ADJUSTMENT")</x:f>
        <x:v>WITHIN TOLERANCE</x:v>
      </x:c>
    </x:row>
    <x:row r="99" ht="18" customHeight="1">
      <x:c r="A99" s="1552" t="str">
        <x:v>OSR131</x:v>
      </x:c>
      <x:c r="B99" s="1155" t="str">
        <x:v>Lindbergh SAGD</x:v>
      </x:c>
      <x:c r="C99" s="1155" t="str">
        <x:v>STRATHCONA RESOURCES LTD.</x:v>
      </x:c>
      <x:c r="D99" s="1553" t="n">
        <x:v>2024</x:v>
      </x:c>
      <x:c r="E99" s="1554" t="n">
        <x:v>808057806</x:v>
      </x:c>
      <x:c r="F99" s="1554" t="n">
        <x:v>327842378</x:v>
      </x:c>
      <x:c r="G99" s="1554" t="n">
        <x:v>480215428</x:v>
      </x:c>
      <x:c r="H99" s="1555" t="n">
        <x:f>E99-F99-G99</x:f>
        <x:v>0</x:v>
      </x:c>
      <x:c r="I99" s="1554" t="n">
        <x:v>6841470</x:v>
      </x:c>
      <x:c r="J99" s="1556" t="n">
        <x:v>70.19</x:v>
      </x:c>
      <x:c r="K99" s="1557" t="n">
        <x:f>IF(I99=0,0,G99/I99)</x:f>
        <x:v>70.1918488278104</x:v>
      </x:c>
      <x:c r="L99" s="1554" t="n">
        <x:v>113706173</x:v>
      </x:c>
      <x:c r="M99" s="1554" t="n">
        <x:v>98695326</x:v>
      </x:c>
      <x:c r="N99" s="1554" t="n">
        <x:v>0</x:v>
      </x:c>
      <x:c r="O99" s="1554" t="n">
        <x:v>0</x:v>
      </x:c>
      <x:c r="P99" s="1554" t="n">
        <x:v>597866</x:v>
      </x:c>
      <x:c r="Q99" s="1554" t="n">
        <x:v>268411795</x:v>
      </x:c>
      <x:c r="R99" s="1555" t="n">
        <x:f>MAX(0,G99-L99-M99-N99-O99+P99)</x:f>
        <x:v>268411795</x:v>
      </x:c>
      <x:c r="S99" s="1555" t="n">
        <x:f>IF(T99="NET",Q99-R99,"")</x:f>
        <x:v>0</x:v>
      </x:c>
      <x:c r="T99" s="1552" t="str">
        <x:v>NET</x:v>
      </x:c>
      <x:c r="U99" s="1558" t="n">
        <x:v>36.31</x:v>
      </x:c>
      <x:c r="V99" s="1554" t="n">
        <x:v>97447922</x:v>
      </x:c>
      <x:c r="W99" s="1555" t="n">
        <x:f>IF(T99="NET",Q99*U99/100,G99*U99/100)</x:f>
        <x:v>97460322.7645</x:v>
      </x:c>
      <x:c r="X99" s="1555" t="n">
        <x:f>V99-W99</x:f>
        <x:v>-12400.764500007033</x:v>
      </x:c>
      <x:c r="Y99" s="1552" t="str">
        <x:v>POST</x:v>
      </x:c>
      <x:c r="Z99" s="1554" t="n">
        <x:v>0</x:v>
      </x:c>
      <x:c r="AA99" s="1155" t="str"/>
      <x:c r="AB99" s="1560" t="n">
        <x:v>10</x:v>
      </x:c>
      <x:c r="AC99" s="1155" t="str">
        <x:v>https://www.alberta.ca/royalty-oil-sands-project-data.aspx?dto=0&amp;dtp=10&amp;dtq=&amp;dts=0</x:v>
      </x:c>
      <x:c r="AD99" s="1559" t="str">
        <x:f>IF(ABS(H99)&lt;=Model_Parameters!$B$7,"PASS","REVIEW")</x:f>
        <x:v>PASS</x:v>
      </x:c>
      <x:c r="AE99" s="1559" t="str">
        <x:f>IF(T99&lt;&gt;"NET","N/A",IF(ABS(S99)&lt;=Model_Parameters!$B$7,"PASS","REVIEW"))</x:f>
        <x:v>PASS</x:v>
      </x:c>
      <x:c r="AF99" s="1559" t="str">
        <x:f>IF(ABS(X99)&lt;=Model_Parameters!$B$7,"WITHIN TOLERANCE","DISPLAY RATE / ADJUSTMENT")</x:f>
        <x:v>DISPLAY RATE / ADJUSTMENT</x:v>
      </x:c>
    </x:row>
    <x:row r="100" ht="18" customHeight="1">
      <x:c r="A100" s="1552" t="str">
        <x:v>OSR135</x:v>
      </x:c>
      <x:c r="B100" s="1155" t="str">
        <x:v>Hangingstone Expansion Project</x:v>
      </x:c>
      <x:c r="C100" s="1155" t="str">
        <x:v>GREENFIRE RESOURCES OPERATING CORPORATION</x:v>
      </x:c>
      <x:c r="D100" s="1553" t="n">
        <x:v>2024</x:v>
      </x:c>
      <x:c r="E100" s="1554" t="n">
        <x:v>901527029</x:v>
      </x:c>
      <x:c r="F100" s="1554" t="n">
        <x:v>386540707</x:v>
      </x:c>
      <x:c r="G100" s="1554" t="n">
        <x:v>514986322</x:v>
      </x:c>
      <x:c r="H100" s="1555" t="n">
        <x:f>E100-F100-G100</x:f>
        <x:v>0</x:v>
      </x:c>
      <x:c r="I100" s="1554" t="n">
        <x:v>7925876</x:v>
      </x:c>
      <x:c r="J100" s="1556" t="n">
        <x:v>64.98</x:v>
      </x:c>
      <x:c r="K100" s="1557" t="n">
        <x:f>IF(I100=0,0,G100/I100)</x:f>
        <x:v>64.97531906883226</x:v>
      </x:c>
      <x:c r="L100" s="1554" t="n">
        <x:v>119953303</x:v>
      </x:c>
      <x:c r="M100" s="1554" t="n">
        <x:v>71067493</x:v>
      </x:c>
      <x:c r="N100" s="1554" t="n">
        <x:v>43635573</x:v>
      </x:c>
      <x:c r="O100" s="1554" t="n">
        <x:v>36527077</x:v>
      </x:c>
      <x:c r="P100" s="1554" t="n">
        <x:v>0</x:v>
      </x:c>
      <x:c r="Q100" s="1554" t="n">
        <x:v>0</x:v>
      </x:c>
      <x:c r="R100" s="1555" t="n">
        <x:f>MAX(0,G100-L100-M100-N100-O100+P100)</x:f>
        <x:v>243802876</x:v>
      </x:c>
      <x:c r="S100" s="1555" t="str">
        <x:f>IF(T100="NET",Q100-R100,"")</x:f>
      </x:c>
      <x:c r="T100" s="1552" t="str">
        <x:v>GROSS</x:v>
      </x:c>
      <x:c r="U100" s="1558" t="n">
        <x:v>7.09</x:v>
      </x:c>
      <x:c r="V100" s="1554" t="n">
        <x:v>36527077</x:v>
      </x:c>
      <x:c r="W100" s="1555" t="n">
        <x:f>IF(T100="NET",Q100*U100/100,G100*U100/100)</x:f>
        <x:v>36512530.2298</x:v>
      </x:c>
      <x:c r="X100" s="1555" t="n">
        <x:f>V100-W100</x:f>
        <x:v>14546.770199999213</x:v>
      </x:c>
      <x:c r="Y100" s="1552" t="str">
        <x:v>PRE</x:v>
      </x:c>
      <x:c r="Z100" s="1554" t="n">
        <x:v>1200673314</x:v>
      </x:c>
      <x:c r="AA100" s="1155" t="str"/>
      <x:c r="AB100" s="1560" t="n">
        <x:v>10</x:v>
      </x:c>
      <x:c r="AC100" s="1155" t="str">
        <x:v>https://www.alberta.ca/royalty-oil-sands-project-data.aspx?dto=0&amp;dtp=10&amp;dtq=&amp;dts=0</x:v>
      </x:c>
      <x:c r="AD100" s="1559" t="str">
        <x:f>IF(ABS(H100)&lt;=Model_Parameters!$B$7,"PASS","REVIEW")</x:f>
        <x:v>PASS</x:v>
      </x:c>
      <x:c r="AE100" s="1559" t="str">
        <x:f>IF(T100&lt;&gt;"NET","N/A",IF(ABS(S100)&lt;=Model_Parameters!$B$7,"PASS","REVIEW"))</x:f>
        <x:v>N/A</x:v>
      </x:c>
      <x:c r="AF100" s="1559" t="str">
        <x:f>IF(ABS(X100)&lt;=Model_Parameters!$B$7,"WITHIN TOLERANCE","DISPLAY RATE / ADJUSTMENT")</x:f>
        <x:v>DISPLAY RATE / ADJUSTMENT</x:v>
      </x:c>
    </x:row>
    <x:row r="101" ht="18" customHeight="1">
      <x:c r="A101" s="1552" t="str">
        <x:v>OSR137</x:v>
      </x:c>
      <x:c r="B101" s="1155" t="str">
        <x:v>Goodlow</x:v>
      </x:c>
      <x:c r="C101" s="1155" t="str">
        <x:v>CANADIAN NATURAL RESOURCES LIMITED</x:v>
      </x:c>
      <x:c r="D101" s="1553" t="n">
        <x:v>2024</x:v>
      </x:c>
      <x:c r="E101" s="1554" t="n">
        <x:v>53692018</x:v>
      </x:c>
      <x:c r="F101" s="1554" t="n">
        <x:v>7939161</x:v>
      </x:c>
      <x:c r="G101" s="1554" t="n">
        <x:v>45752857</x:v>
      </x:c>
      <x:c r="H101" s="1555" t="n">
        <x:f>E101-F101-G101</x:f>
        <x:v>0</x:v>
      </x:c>
      <x:c r="I101" s="1554" t="n">
        <x:v>588341</x:v>
      </x:c>
      <x:c r="J101" s="1556" t="n">
        <x:v>77.77</x:v>
      </x:c>
      <x:c r="K101" s="1557" t="n">
        <x:f>IF(I101=0,0,G101/I101)</x:f>
        <x:v>77.76588237093794</x:v>
      </x:c>
      <x:c r="L101" s="1554" t="n">
        <x:v>14012934</x:v>
      </x:c>
      <x:c r="M101" s="1554" t="n">
        <x:v>4308289</x:v>
      </x:c>
      <x:c r="N101" s="1554" t="n">
        <x:v>465835</x:v>
      </x:c>
      <x:c r="O101" s="1554" t="n">
        <x:v>3267261</x:v>
      </x:c>
      <x:c r="P101" s="1554" t="n">
        <x:v>0</x:v>
      </x:c>
      <x:c r="Q101" s="1554" t="n">
        <x:v>0</x:v>
      </x:c>
      <x:c r="R101" s="1555" t="n">
        <x:f>MAX(0,G101-L101-M101-N101-O101+P101)</x:f>
        <x:v>23698538</x:v>
      </x:c>
      <x:c r="S101" s="1555" t="str">
        <x:f>IF(T101="NET",Q101-R101,"")</x:f>
      </x:c>
      <x:c r="T101" s="1552" t="str">
        <x:v>GROSS</x:v>
      </x:c>
      <x:c r="U101" s="1558" t="n">
        <x:v>7.14</x:v>
      </x:c>
      <x:c r="V101" s="1554" t="n">
        <x:v>3267261</x:v>
      </x:c>
      <x:c r="W101" s="1555" t="n">
        <x:f>IF(T101="NET",Q101*U101/100,G101*U101/100)</x:f>
        <x:v>3266753.9897999996</x:v>
      </x:c>
      <x:c r="X101" s="1555" t="n">
        <x:f>V101-W101</x:f>
        <x:v>507.01020000036806</x:v>
      </x:c>
      <x:c r="Y101" s="1552" t="str">
        <x:v>PRE</x:v>
      </x:c>
      <x:c r="Z101" s="1554" t="n">
        <x:v>583949</x:v>
      </x:c>
      <x:c r="AA101" s="1155" t="str"/>
      <x:c r="AB101" s="1560" t="n">
        <x:v>10</x:v>
      </x:c>
      <x:c r="AC101" s="1155" t="str">
        <x:v>https://www.alberta.ca/royalty-oil-sands-project-data.aspx?dto=0&amp;dtp=10&amp;dtq=&amp;dts=0</x:v>
      </x:c>
      <x:c r="AD101" s="1559" t="str">
        <x:f>IF(ABS(H101)&lt;=Model_Parameters!$B$7,"PASS","REVIEW")</x:f>
        <x:v>PASS</x:v>
      </x:c>
      <x:c r="AE101" s="1559" t="str">
        <x:f>IF(T101&lt;&gt;"NET","N/A",IF(ABS(S101)&lt;=Model_Parameters!$B$7,"PASS","REVIEW"))</x:f>
        <x:v>N/A</x:v>
      </x:c>
      <x:c r="AF101" s="1559" t="str">
        <x:f>IF(ABS(X101)&lt;=Model_Parameters!$B$7,"WITHIN TOLERANCE","DISPLAY RATE / ADJUSTMENT")</x:f>
        <x:v>WITHIN TOLERANCE</x:v>
      </x:c>
    </x:row>
    <x:row r="102" ht="18" customHeight="1">
      <x:c r="A102" s="1552" t="str">
        <x:v>OSR139</x:v>
      </x:c>
      <x:c r="B102" s="1155" t="str">
        <x:v>Peace River Bluesky</x:v>
      </x:c>
      <x:c r="C102" s="1155" t="str">
        <x:v>CANADIAN NATURAL RESOURCES LIMITED</x:v>
      </x:c>
      <x:c r="D102" s="1553" t="n">
        <x:v>2024</x:v>
      </x:c>
      <x:c r="E102" s="1554" t="n">
        <x:v>65168766</x:v>
      </x:c>
      <x:c r="F102" s="1554" t="n">
        <x:v>20506599</x:v>
      </x:c>
      <x:c r="G102" s="1554" t="n">
        <x:v>44662167</x:v>
      </x:c>
      <x:c r="H102" s="1555" t="n">
        <x:f>E102-F102-G102</x:f>
        <x:v>0</x:v>
      </x:c>
      <x:c r="I102" s="1554" t="n">
        <x:v>623109</x:v>
      </x:c>
      <x:c r="J102" s="1556" t="n">
        <x:v>71.68</x:v>
      </x:c>
      <x:c r="K102" s="1557" t="n">
        <x:f>IF(I102=0,0,G102/I102)</x:f>
        <x:v>71.67633110739854</x:v>
      </x:c>
      <x:c r="L102" s="1554" t="n">
        <x:v>32333311</x:v>
      </x:c>
      <x:c r="M102" s="1554" t="n">
        <x:v>3155617</x:v>
      </x:c>
      <x:c r="N102" s="1554" t="n">
        <x:v>0</x:v>
      </x:c>
      <x:c r="O102" s="1554" t="n">
        <x:v>0</x:v>
      </x:c>
      <x:c r="P102" s="1554" t="n">
        <x:v>0</x:v>
      </x:c>
      <x:c r="Q102" s="1554" t="n">
        <x:v>9173239</x:v>
      </x:c>
      <x:c r="R102" s="1555" t="n">
        <x:f>MAX(0,G102-L102-M102-N102-O102+P102)</x:f>
        <x:v>9173239</x:v>
      </x:c>
      <x:c r="S102" s="1555" t="n">
        <x:f>IF(T102="NET",Q102-R102,"")</x:f>
        <x:v>0</x:v>
      </x:c>
      <x:c r="T102" s="1552" t="str">
        <x:v>NET</x:v>
      </x:c>
      <x:c r="U102" s="1558" t="n">
        <x:v>36.31</x:v>
      </x:c>
      <x:c r="V102" s="1554" t="n">
        <x:v>3330379</x:v>
      </x:c>
      <x:c r="W102" s="1555" t="n">
        <x:f>IF(T102="NET",Q102*U102/100,G102*U102/100)</x:f>
        <x:v>3330803.0809000004</x:v>
      </x:c>
      <x:c r="X102" s="1555" t="n">
        <x:f>V102-W102</x:f>
        <x:v>-424.0809000004083</x:v>
      </x:c>
      <x:c r="Y102" s="1552" t="str">
        <x:v>POST</x:v>
      </x:c>
      <x:c r="Z102" s="1554" t="n">
        <x:v>0</x:v>
      </x:c>
      <x:c r="AA102" s="1155" t="str"/>
      <x:c r="AB102" s="1560" t="n">
        <x:v>10</x:v>
      </x:c>
      <x:c r="AC102" s="1155" t="str">
        <x:v>https://www.alberta.ca/royalty-oil-sands-project-data.aspx?dto=0&amp;dtp=10&amp;dtq=&amp;dts=0</x:v>
      </x:c>
      <x:c r="AD102" s="1559" t="str">
        <x:f>IF(ABS(H102)&lt;=Model_Parameters!$B$7,"PASS","REVIEW")</x:f>
        <x:v>PASS</x:v>
      </x:c>
      <x:c r="AE102" s="1559" t="str">
        <x:f>IF(T102&lt;&gt;"NET","N/A",IF(ABS(S102)&lt;=Model_Parameters!$B$7,"PASS","REVIEW"))</x:f>
        <x:v>PASS</x:v>
      </x:c>
      <x:c r="AF102" s="1559" t="str">
        <x:f>IF(ABS(X102)&lt;=Model_Parameters!$B$7,"WITHIN TOLERANCE","DISPLAY RATE / ADJUSTMENT")</x:f>
        <x:v>WITHIN TOLERANCE</x:v>
      </x:c>
    </x:row>
    <x:row r="103" ht="18" customHeight="1">
      <x:c r="A103" s="1552" t="str">
        <x:v>OSR141</x:v>
      </x:c>
      <x:c r="B103" s="1155" t="str">
        <x:v>Galloway</x:v>
      </x:c>
      <x:c r="C103" s="1155" t="str">
        <x:v>CANADIAN NATURAL RESOURCES LIMITED</x:v>
      </x:c>
      <x:c r="D103" s="1553" t="n">
        <x:v>2024</x:v>
      </x:c>
      <x:c r="E103" s="1554" t="n">
        <x:v>10792358</x:v>
      </x:c>
      <x:c r="F103" s="1554" t="n">
        <x:v>4050526</x:v>
      </x:c>
      <x:c r="G103" s="1554" t="n">
        <x:v>6741832</x:v>
      </x:c>
      <x:c r="H103" s="1555" t="n">
        <x:f>E103-F103-G103</x:f>
        <x:v>0</x:v>
      </x:c>
      <x:c r="I103" s="1554" t="n">
        <x:v>98449</x:v>
      </x:c>
      <x:c r="J103" s="1556" t="n">
        <x:v>68.48</x:v>
      </x:c>
      <x:c r="K103" s="1557" t="n">
        <x:f>IF(I103=0,0,G103/I103)</x:f>
        <x:v>68.48045180753486</x:v>
      </x:c>
      <x:c r="L103" s="1554" t="n">
        <x:v>2829482</x:v>
      </x:c>
      <x:c r="M103" s="1554" t="n">
        <x:v>430835</x:v>
      </x:c>
      <x:c r="N103" s="1554" t="n">
        <x:v>0</x:v>
      </x:c>
      <x:c r="O103" s="1554" t="n">
        <x:v>0</x:v>
      </x:c>
      <x:c r="P103" s="1554" t="n">
        <x:v>0</x:v>
      </x:c>
      <x:c r="Q103" s="1554" t="n">
        <x:v>3481515</x:v>
      </x:c>
      <x:c r="R103" s="1555" t="n">
        <x:f>MAX(0,G103-L103-M103-N103-O103+P103)</x:f>
        <x:v>3481515</x:v>
      </x:c>
      <x:c r="S103" s="1555" t="n">
        <x:f>IF(T103="NET",Q103-R103,"")</x:f>
        <x:v>0</x:v>
      </x:c>
      <x:c r="T103" s="1552" t="str">
        <x:v>NET</x:v>
      </x:c>
      <x:c r="U103" s="1558" t="n">
        <x:v>36.31</x:v>
      </x:c>
      <x:c r="V103" s="1554" t="n">
        <x:v>1263977</x:v>
      </x:c>
      <x:c r="W103" s="1555" t="n">
        <x:f>IF(T103="NET",Q103*U103/100,G103*U103/100)</x:f>
        <x:v>1264138.0965</x:v>
      </x:c>
      <x:c r="X103" s="1555" t="n">
        <x:f>V103-W103</x:f>
        <x:v>-161.0964999999851</x:v>
      </x:c>
      <x:c r="Y103" s="1552" t="str">
        <x:v>POST</x:v>
      </x:c>
      <x:c r="Z103" s="1554" t="n">
        <x:v>0</x:v>
      </x:c>
      <x:c r="AA103" s="1155" t="str"/>
      <x:c r="AB103" s="1560" t="n">
        <x:v>11</x:v>
      </x:c>
      <x:c r="AC103" s="1155" t="str">
        <x:v>https://www.alberta.ca/royalty-oil-sands-project-data.aspx?dto=0&amp;dtp=11&amp;dtq=&amp;dts=0</x:v>
      </x:c>
      <x:c r="AD103" s="1559" t="str">
        <x:f>IF(ABS(H103)&lt;=Model_Parameters!$B$7,"PASS","REVIEW")</x:f>
        <x:v>PASS</x:v>
      </x:c>
      <x:c r="AE103" s="1559" t="str">
        <x:f>IF(T103&lt;&gt;"NET","N/A",IF(ABS(S103)&lt;=Model_Parameters!$B$7,"PASS","REVIEW"))</x:f>
        <x:v>PASS</x:v>
      </x:c>
      <x:c r="AF103" s="1559" t="str">
        <x:f>IF(ABS(X103)&lt;=Model_Parameters!$B$7,"WITHIN TOLERANCE","DISPLAY RATE / ADJUSTMENT")</x:f>
        <x:v>WITHIN TOLERANCE</x:v>
      </x:c>
    </x:row>
    <x:row r="104" ht="18" customHeight="1">
      <x:c r="A104" s="1552" t="str">
        <x:v>OSR142</x:v>
      </x:c>
      <x:c r="B104" s="1155" t="str">
        <x:v>Cliffdale</x:v>
      </x:c>
      <x:c r="C104" s="1155" t="str">
        <x:v>BAYTEX ENERGY LTD.</x:v>
      </x:c>
      <x:c r="D104" s="1553" t="n">
        <x:v>2024</x:v>
      </x:c>
      <x:c r="E104" s="1554" t="n">
        <x:v>0</x:v>
      </x:c>
      <x:c r="F104" s="1554" t="n">
        <x:v>0</x:v>
      </x:c>
      <x:c r="G104" s="1554" t="n">
        <x:v>0</x:v>
      </x:c>
      <x:c r="H104" s="1555" t="n">
        <x:f>E104-F104-G104</x:f>
        <x:v>0</x:v>
      </x:c>
      <x:c r="I104" s="1554" t="n">
        <x:v>0</x:v>
      </x:c>
      <x:c r="J104" s="1556" t="n">
        <x:v>0</x:v>
      </x:c>
      <x:c r="K104" s="1557" t="n">
        <x:f>IF(I104=0,0,G104/I104)</x:f>
        <x:v>0</x:v>
      </x:c>
      <x:c r="L104" s="1554" t="n">
        <x:v>144334</x:v>
      </x:c>
      <x:c r="M104" s="1554" t="n">
        <x:v>2756406</x:v>
      </x:c>
      <x:c r="N104" s="1554" t="n">
        <x:v>0</x:v>
      </x:c>
      <x:c r="O104" s="1554" t="n">
        <x:v>0</x:v>
      </x:c>
      <x:c r="P104" s="1554" t="n">
        <x:v>659003</x:v>
      </x:c>
      <x:c r="Q104" s="1554" t="n">
        <x:v>0</x:v>
      </x:c>
      <x:c r="R104" s="1555" t="n">
        <x:f>MAX(0,G104-L104-M104-N104-O104+P104)</x:f>
        <x:v>0</x:v>
      </x:c>
      <x:c r="S104" s="1555" t="str">
        <x:f>IF(T104="NET",Q104-R104,"")</x:f>
      </x:c>
      <x:c r="T104" s="1552" t="str">
        <x:v>GROSS</x:v>
      </x:c>
      <x:c r="U104" s="1558" t="n">
        <x:v>0</x:v>
      </x:c>
      <x:c r="V104" s="1554" t="n">
        <x:v>0</x:v>
      </x:c>
      <x:c r="W104" s="1555" t="n">
        <x:f>IF(T104="NET",Q104*U104/100,G104*U104/100)</x:f>
        <x:v>0</x:v>
      </x:c>
      <x:c r="X104" s="1555" t="n">
        <x:f>V104-W104</x:f>
        <x:v>0</x:v>
      </x:c>
      <x:c r="Y104" s="1552" t="str">
        <x:v>PRE</x:v>
      </x:c>
      <x:c r="Z104" s="1554" t="n">
        <x:v>131166690</x:v>
      </x:c>
      <x:c r="AA104" s="1155" t="str"/>
      <x:c r="AB104" s="1560" t="n">
        <x:v>11</x:v>
      </x:c>
      <x:c r="AC104" s="1155" t="str">
        <x:v>https://www.alberta.ca/royalty-oil-sands-project-data.aspx?dto=0&amp;dtp=11&amp;dtq=&amp;dts=0</x:v>
      </x:c>
      <x:c r="AD104" s="1559" t="str">
        <x:f>IF(ABS(H104)&lt;=Model_Parameters!$B$7,"PASS","REVIEW")</x:f>
        <x:v>PASS</x:v>
      </x:c>
      <x:c r="AE104" s="1559" t="str">
        <x:f>IF(T104&lt;&gt;"NET","N/A",IF(ABS(S104)&lt;=Model_Parameters!$B$7,"PASS","REVIEW"))</x:f>
        <x:v>N/A</x:v>
      </x:c>
      <x:c r="AF104" s="1559" t="str">
        <x:f>IF(ABS(X104)&lt;=Model_Parameters!$B$7,"WITHIN TOLERANCE","DISPLAY RATE / ADJUSTMENT")</x:f>
        <x:v>WITHIN TOLERANCE</x:v>
      </x:c>
    </x:row>
    <x:row r="105" ht="18" customHeight="1">
      <x:c r="A105" s="1552" t="str">
        <x:v>OSR143</x:v>
      </x:c>
      <x:c r="B105" s="1155" t="str">
        <x:v>Hangingstone Project</x:v>
      </x:c>
      <x:c r="C105" s="1155" t="str">
        <x:v>ATHABASCA OIL CORPORATION</x:v>
      </x:c>
      <x:c r="D105" s="1553" t="n">
        <x:v>2024</x:v>
      </x:c>
      <x:c r="E105" s="1554" t="n">
        <x:v>268202196</x:v>
      </x:c>
      <x:c r="F105" s="1554" t="n">
        <x:v>107640814</x:v>
      </x:c>
      <x:c r="G105" s="1554" t="n">
        <x:v>160561382</x:v>
      </x:c>
      <x:c r="H105" s="1555" t="n">
        <x:f>E105-F105-G105</x:f>
        <x:v>0</x:v>
      </x:c>
      <x:c r="I105" s="1554" t="n">
        <x:v>2710726</x:v>
      </x:c>
      <x:c r="J105" s="1556" t="n">
        <x:v>59.23</x:v>
      </x:c>
      <x:c r="K105" s="1557" t="n">
        <x:f>IF(I105=0,0,G105/I105)</x:f>
        <x:v>59.23187441298014</x:v>
      </x:c>
      <x:c r="L105" s="1554" t="n">
        <x:v>37457264</x:v>
      </x:c>
      <x:c r="M105" s="1554" t="n">
        <x:v>29565742</x:v>
      </x:c>
      <x:c r="N105" s="1554" t="n">
        <x:v>26023172</x:v>
      </x:c>
      <x:c r="O105" s="1554" t="n">
        <x:v>11427196</x:v>
      </x:c>
      <x:c r="P105" s="1554" t="n">
        <x:v>12976043</x:v>
      </x:c>
      <x:c r="Q105" s="1554" t="n">
        <x:v>0</x:v>
      </x:c>
      <x:c r="R105" s="1555" t="n">
        <x:f>MAX(0,G105-L105-M105-N105-O105+P105)</x:f>
        <x:v>69064051</x:v>
      </x:c>
      <x:c r="S105" s="1555" t="str">
        <x:f>IF(T105="NET",Q105-R105,"")</x:f>
      </x:c>
      <x:c r="T105" s="1552" t="str">
        <x:v>GROSS</x:v>
      </x:c>
      <x:c r="U105" s="1558" t="n">
        <x:v>7.12</x:v>
      </x:c>
      <x:c r="V105" s="1554" t="n">
        <x:v>11427196</x:v>
      </x:c>
      <x:c r="W105" s="1555" t="n">
        <x:f>IF(T105="NET",Q105*U105/100,G105*U105/100)</x:f>
        <x:v>11431970.3984</x:v>
      </x:c>
      <x:c r="X105" s="1555" t="n">
        <x:f>V105-W105</x:f>
        <x:v>-4774.398399999365</x:v>
      </x:c>
      <x:c r="Y105" s="1552" t="str">
        <x:v>PRE</x:v>
      </x:c>
      <x:c r="Z105" s="1554" t="n">
        <x:v>757384908</x:v>
      </x:c>
      <x:c r="AA105" s="1155" t="str"/>
      <x:c r="AB105" s="1560" t="n">
        <x:v>11</x:v>
      </x:c>
      <x:c r="AC105" s="1155" t="str">
        <x:v>https://www.alberta.ca/royalty-oil-sands-project-data.aspx?dto=0&amp;dtp=11&amp;dtq=&amp;dts=0</x:v>
      </x:c>
      <x:c r="AD105" s="1559" t="str">
        <x:f>IF(ABS(H105)&lt;=Model_Parameters!$B$7,"PASS","REVIEW")</x:f>
        <x:v>PASS</x:v>
      </x:c>
      <x:c r="AE105" s="1559" t="str">
        <x:f>IF(T105&lt;&gt;"NET","N/A",IF(ABS(S105)&lt;=Model_Parameters!$B$7,"PASS","REVIEW"))</x:f>
        <x:v>N/A</x:v>
      </x:c>
      <x:c r="AF105" s="1559" t="str">
        <x:f>IF(ABS(X105)&lt;=Model_Parameters!$B$7,"WITHIN TOLERANCE","DISPLAY RATE / ADJUSTMENT")</x:f>
        <x:v>DISPLAY RATE / ADJUSTMENT</x:v>
      </x:c>
    </x:row>
    <x:row r="106" ht="18" customHeight="1">
      <x:c r="A106" s="1552" t="str">
        <x:v>OSR146</x:v>
      </x:c>
      <x:c r="B106" s="1155" t="str">
        <x:v>Harvest BlackGold</x:v>
      </x:c>
      <x:c r="C106" s="1155" t="str">
        <x:v>HARVEST OPERATIONS CORP.</x:v>
      </x:c>
      <x:c r="D106" s="1553" t="n">
        <x:v>2024</x:v>
      </x:c>
      <x:c r="E106" s="1554" t="n">
        <x:v>181810114</x:v>
      </x:c>
      <x:c r="F106" s="1554" t="n">
        <x:v>14550231</x:v>
      </x:c>
      <x:c r="G106" s="1554" t="n">
        <x:v>167259883</x:v>
      </x:c>
      <x:c r="H106" s="1555" t="n">
        <x:f>E106-F106-G106</x:f>
        <x:v>0</x:v>
      </x:c>
      <x:c r="I106" s="1554" t="n">
        <x:v>2681942</x:v>
      </x:c>
      <x:c r="J106" s="1556" t="n">
        <x:v>62.37</x:v>
      </x:c>
      <x:c r="K106" s="1557" t="n">
        <x:f>IF(I106=0,0,G106/I106)</x:f>
        <x:v>62.36521259594726</x:v>
      </x:c>
      <x:c r="L106" s="1554" t="n">
        <x:v>59009688</x:v>
      </x:c>
      <x:c r="M106" s="1554" t="n">
        <x:v>12044520</x:v>
      </x:c>
      <x:c r="N106" s="1554" t="n">
        <x:v>27636274</x:v>
      </x:c>
      <x:c r="O106" s="1554" t="n">
        <x:v>11664985</x:v>
      </x:c>
      <x:c r="P106" s="1554" t="n">
        <x:v>0</x:v>
      </x:c>
      <x:c r="Q106" s="1554" t="n">
        <x:v>0</x:v>
      </x:c>
      <x:c r="R106" s="1555" t="n">
        <x:f>MAX(0,G106-L106-M106-N106-O106+P106)</x:f>
        <x:v>56904416</x:v>
      </x:c>
      <x:c r="S106" s="1555" t="str">
        <x:f>IF(T106="NET",Q106-R106,"")</x:f>
      </x:c>
      <x:c r="T106" s="1552" t="str">
        <x:v>GROSS</x:v>
      </x:c>
      <x:c r="U106" s="1558" t="n">
        <x:v>6.97</x:v>
      </x:c>
      <x:c r="V106" s="1554" t="n">
        <x:v>11664985</x:v>
      </x:c>
      <x:c r="W106" s="1555" t="n">
        <x:f>IF(T106="NET",Q106*U106/100,G106*U106/100)</x:f>
        <x:v>11658013.8451</x:v>
      </x:c>
      <x:c r="X106" s="1555" t="n">
        <x:f>V106-W106</x:f>
        <x:v>6971.154899999499</x:v>
      </x:c>
      <x:c r="Y106" s="1552" t="str">
        <x:v>PRE</x:v>
      </x:c>
      <x:c r="Z106" s="1554" t="n">
        <x:v>810633596</x:v>
      </x:c>
      <x:c r="AA106" s="1155" t="str"/>
      <x:c r="AB106" s="1560" t="n">
        <x:v>11</x:v>
      </x:c>
      <x:c r="AC106" s="1155" t="str">
        <x:v>https://www.alberta.ca/royalty-oil-sands-project-data.aspx?dto=0&amp;dtp=11&amp;dtq=&amp;dts=0</x:v>
      </x:c>
      <x:c r="AD106" s="1559" t="str">
        <x:f>IF(ABS(H106)&lt;=Model_Parameters!$B$7,"PASS","REVIEW")</x:f>
        <x:v>PASS</x:v>
      </x:c>
      <x:c r="AE106" s="1559" t="str">
        <x:f>IF(T106&lt;&gt;"NET","N/A",IF(ABS(S106)&lt;=Model_Parameters!$B$7,"PASS","REVIEW"))</x:f>
        <x:v>N/A</x:v>
      </x:c>
      <x:c r="AF106" s="1559" t="str">
        <x:f>IF(ABS(X106)&lt;=Model_Parameters!$B$7,"WITHIN TOLERANCE","DISPLAY RATE / ADJUSTMENT")</x:f>
        <x:v>DISPLAY RATE / ADJUSTMENT</x:v>
      </x:c>
    </x:row>
    <x:row r="107" ht="18" customHeight="1">
      <x:c r="A107" s="1552" t="str">
        <x:v>OSR147</x:v>
      </x:c>
      <x:c r="B107" s="1155" t="str">
        <x:v>Saleski</x:v>
      </x:c>
      <x:c r="C107" s="1155" t="str">
        <x:v>CANADIAN NATURAL RESOURCES LIMITED</x:v>
      </x:c>
      <x:c r="D107" s="1553" t="n">
        <x:v>2024</x:v>
      </x:c>
      <x:c r="E107" s="1554" t="n">
        <x:v>0</x:v>
      </x:c>
      <x:c r="F107" s="1554" t="n">
        <x:v>0</x:v>
      </x:c>
      <x:c r="G107" s="1554" t="n">
        <x:v>0</x:v>
      </x:c>
      <x:c r="H107" s="1555" t="n">
        <x:f>E107-F107-G107</x:f>
        <x:v>0</x:v>
      </x:c>
      <x:c r="I107" s="1554" t="n">
        <x:v>0</x:v>
      </x:c>
      <x:c r="J107" s="1556" t="n">
        <x:v>0</x:v>
      </x:c>
      <x:c r="K107" s="1557" t="n">
        <x:f>IF(I107=0,0,G107/I107)</x:f>
        <x:v>0</x:v>
      </x:c>
      <x:c r="L107" s="1554" t="n">
        <x:v>22688</x:v>
      </x:c>
      <x:c r="M107" s="1554" t="n">
        <x:v>5256</x:v>
      </x:c>
      <x:c r="N107" s="1554" t="n">
        <x:v>0</x:v>
      </x:c>
      <x:c r="O107" s="1554" t="n">
        <x:v>0</x:v>
      </x:c>
      <x:c r="P107" s="1554" t="n">
        <x:v>0</x:v>
      </x:c>
      <x:c r="Q107" s="1554" t="n">
        <x:v>0</x:v>
      </x:c>
      <x:c r="R107" s="1555" t="n">
        <x:f>MAX(0,G107-L107-M107-N107-O107+P107)</x:f>
        <x:v>0</x:v>
      </x:c>
      <x:c r="S107" s="1555" t="str">
        <x:f>IF(T107="NET",Q107-R107,"")</x:f>
      </x:c>
      <x:c r="T107" s="1552" t="str">
        <x:v>GROSS</x:v>
      </x:c>
      <x:c r="U107" s="1558" t="n">
        <x:v>0</x:v>
      </x:c>
      <x:c r="V107" s="1554" t="n">
        <x:v>0</x:v>
      </x:c>
      <x:c r="W107" s="1555" t="n">
        <x:f>IF(T107="NET",Q107*U107/100,G107*U107/100)</x:f>
        <x:v>0</x:v>
      </x:c>
      <x:c r="X107" s="1555" t="n">
        <x:f>V107-W107</x:f>
        <x:v>0</x:v>
      </x:c>
      <x:c r="Y107" s="1552" t="str">
        <x:v>PRE</x:v>
      </x:c>
      <x:c r="Z107" s="1554" t="n">
        <x:v>86418756</x:v>
      </x:c>
      <x:c r="AA107" s="1155" t="str"/>
      <x:c r="AB107" s="1560" t="n">
        <x:v>11</x:v>
      </x:c>
      <x:c r="AC107" s="1155" t="str">
        <x:v>https://www.alberta.ca/royalty-oil-sands-project-data.aspx?dto=0&amp;dtp=11&amp;dtq=&amp;dts=0</x:v>
      </x:c>
      <x:c r="AD107" s="1559" t="str">
        <x:f>IF(ABS(H107)&lt;=Model_Parameters!$B$7,"PASS","REVIEW")</x:f>
        <x:v>PASS</x:v>
      </x:c>
      <x:c r="AE107" s="1559" t="str">
        <x:f>IF(T107&lt;&gt;"NET","N/A",IF(ABS(S107)&lt;=Model_Parameters!$B$7,"PASS","REVIEW"))</x:f>
        <x:v>N/A</x:v>
      </x:c>
      <x:c r="AF107" s="1559" t="str">
        <x:f>IF(ABS(X107)&lt;=Model_Parameters!$B$7,"WITHIN TOLERANCE","DISPLAY RATE / ADJUSTMENT")</x:f>
        <x:v>WITHIN TOLERANCE</x:v>
      </x:c>
    </x:row>
    <x:row r="108" ht="18" customHeight="1">
      <x:c r="A108" s="1552" t="str">
        <x:v>OSR148</x:v>
      </x:c>
      <x:c r="B108" s="1155" t="str">
        <x:v>Kirby North</x:v>
      </x:c>
      <x:c r="C108" s="1155" t="str">
        <x:v>CANADIAN NATURAL RESOURCES LIMITED</x:v>
      </x:c>
      <x:c r="D108" s="1553" t="n">
        <x:v>2024</x:v>
      </x:c>
      <x:c r="E108" s="1554" t="n">
        <x:v>98081358</x:v>
      </x:c>
      <x:c r="F108" s="1554" t="n">
        <x:v>48694090</x:v>
      </x:c>
      <x:c r="G108" s="1554" t="n">
        <x:v>49387269</x:v>
      </x:c>
      <x:c r="H108" s="1555" t="n">
        <x:f>E108-F108-G108</x:f>
        <x:v>-1</x:v>
      </x:c>
      <x:c r="I108" s="1554" t="n">
        <x:v>989309</x:v>
      </x:c>
      <x:c r="J108" s="1556" t="n">
        <x:v>49.92</x:v>
      </x:c>
      <x:c r="K108" s="1557" t="n">
        <x:f>IF(I108=0,0,G108/I108)</x:f>
        <x:v>49.920974134471635</x:v>
      </x:c>
      <x:c r="L108" s="1554" t="n">
        <x:v>12816614</x:v>
      </x:c>
      <x:c r="M108" s="1554" t="n">
        <x:v>8595493</x:v>
      </x:c>
      <x:c r="N108" s="1554" t="n">
        <x:v>121304</x:v>
      </x:c>
      <x:c r="O108" s="1554" t="n">
        <x:v>3035875</x:v>
      </x:c>
      <x:c r="P108" s="1554" t="n">
        <x:v>80000</x:v>
      </x:c>
      <x:c r="Q108" s="1554" t="n">
        <x:v>0</x:v>
      </x:c>
      <x:c r="R108" s="1555" t="n">
        <x:f>MAX(0,G108-L108-M108-N108-O108+P108)</x:f>
        <x:v>24897983</x:v>
      </x:c>
      <x:c r="S108" s="1555" t="str">
        <x:f>IF(T108="NET",Q108-R108,"")</x:f>
      </x:c>
      <x:c r="T108" s="1552" t="str">
        <x:v>GROSS</x:v>
      </x:c>
      <x:c r="U108" s="1558" t="n">
        <x:v>6.15</x:v>
      </x:c>
      <x:c r="V108" s="1554" t="n">
        <x:v>3035875</x:v>
      </x:c>
      <x:c r="W108" s="1555" t="n">
        <x:f>IF(T108="NET",Q108*U108/100,G108*U108/100)</x:f>
        <x:v>3037317.0435</x:v>
      </x:c>
      <x:c r="X108" s="1555" t="n">
        <x:f>V108-W108</x:f>
        <x:v>-1442.0435000001453</x:v>
      </x:c>
      <x:c r="Y108" s="1552" t="str">
        <x:v>PRE</x:v>
      </x:c>
      <x:c r="Z108" s="1554" t="n">
        <x:v>23623796</x:v>
      </x:c>
      <x:c r="AA108" s="1155" t="str">
        <x:v>Project achieved payout in reporting year, therefore has both pre and post payout periods reported.</x:v>
      </x:c>
      <x:c r="AB108" s="1560" t="n">
        <x:v>11</x:v>
      </x:c>
      <x:c r="AC108" s="1155" t="str">
        <x:v>https://www.alberta.ca/royalty-oil-sands-project-data.aspx?dto=0&amp;dtp=11&amp;dtq=&amp;dts=0</x:v>
      </x:c>
      <x:c r="AD108" s="1559" t="str">
        <x:f>IF(ABS(H108)&lt;=Model_Parameters!$B$7,"PASS","REVIEW")</x:f>
        <x:v>PASS</x:v>
      </x:c>
      <x:c r="AE108" s="1559" t="str">
        <x:f>IF(T108&lt;&gt;"NET","N/A",IF(ABS(S108)&lt;=Model_Parameters!$B$7,"PASS","REVIEW"))</x:f>
        <x:v>N/A</x:v>
      </x:c>
      <x:c r="AF108" s="1559" t="str">
        <x:f>IF(ABS(X108)&lt;=Model_Parameters!$B$7,"WITHIN TOLERANCE","DISPLAY RATE / ADJUSTMENT")</x:f>
        <x:v>DISPLAY RATE / ADJUSTMENT</x:v>
      </x:c>
    </x:row>
    <x:row r="109" ht="18" customHeight="1">
      <x:c r="A109" s="1552" t="str">
        <x:v>OSR148</x:v>
      </x:c>
      <x:c r="B109" s="1155" t="str">
        <x:v>Kirby North</x:v>
      </x:c>
      <x:c r="C109" s="1155" t="str">
        <x:v>CANADIAN NATURAL RESOURCES LIMITED</x:v>
      </x:c>
      <x:c r="D109" s="1553" t="n">
        <x:v>2024</x:v>
      </x:c>
      <x:c r="E109" s="1554" t="n">
        <x:v>1109011984</x:v>
      </x:c>
      <x:c r="F109" s="1554" t="n">
        <x:v>453516724</x:v>
      </x:c>
      <x:c r="G109" s="1554" t="n">
        <x:v>655495260</x:v>
      </x:c>
      <x:c r="H109" s="1555" t="n">
        <x:f>E109-F109-G109</x:f>
        <x:v>0</x:v>
      </x:c>
      <x:c r="I109" s="1554" t="n">
        <x:v>9741367</x:v>
      </x:c>
      <x:c r="J109" s="1556" t="n">
        <x:v>67.29</x:v>
      </x:c>
      <x:c r="K109" s="1557" t="n">
        <x:f>IF(I109=0,0,G109/I109)</x:f>
        <x:v>67.28986393798735</x:v>
      </x:c>
      <x:c r="L109" s="1554" t="n">
        <x:v>152512883</x:v>
      </x:c>
      <x:c r="M109" s="1554" t="n">
        <x:v>96980783</x:v>
      </x:c>
      <x:c r="N109" s="1554" t="n">
        <x:v>0</x:v>
      </x:c>
      <x:c r="O109" s="1554" t="n">
        <x:v>23687581</x:v>
      </x:c>
      <x:c r="P109" s="1554" t="n">
        <x:v>318750</x:v>
      </x:c>
      <x:c r="Q109" s="1554" t="n">
        <x:v>382632763</x:v>
      </x:c>
      <x:c r="R109" s="1555" t="n">
        <x:f>MAX(0,G109-L109-M109-N109-O109+P109)</x:f>
        <x:v>382632763</x:v>
      </x:c>
      <x:c r="S109" s="1555" t="n">
        <x:f>IF(T109="NET",Q109-R109,"")</x:f>
        <x:v>0</x:v>
      </x:c>
      <x:c r="T109" s="1552" t="str">
        <x:v>NET</x:v>
      </x:c>
      <x:c r="U109" s="1558" t="n">
        <x:v>36.31</x:v>
      </x:c>
      <x:c r="V109" s="1554" t="n">
        <x:v>138916279</x:v>
      </x:c>
      <x:c r="W109" s="1555" t="n">
        <x:f>IF(T109="NET",Q109*U109/100,G109*U109/100)</x:f>
        <x:v>138933956.2453</x:v>
      </x:c>
      <x:c r="X109" s="1555" t="n">
        <x:f>V109-W109</x:f>
        <x:v>-17677.245299994946</x:v>
      </x:c>
      <x:c r="Y109" s="1552" t="str">
        <x:v>POST</x:v>
      </x:c>
      <x:c r="Z109" s="1554" t="n">
        <x:v>0</x:v>
      </x:c>
      <x:c r="AA109" s="1155" t="str">
        <x:v>Project achieved payout in reporting year, therefore has both pre and post payout periods reported.</x:v>
      </x:c>
      <x:c r="AB109" s="1560" t="n">
        <x:v>11</x:v>
      </x:c>
      <x:c r="AC109" s="1155" t="str">
        <x:v>https://www.alberta.ca/royalty-oil-sands-project-data.aspx?dto=0&amp;dtp=11&amp;dtq=&amp;dts=0</x:v>
      </x:c>
      <x:c r="AD109" s="1559" t="str">
        <x:f>IF(ABS(H109)&lt;=Model_Parameters!$B$7,"PASS","REVIEW")</x:f>
        <x:v>PASS</x:v>
      </x:c>
      <x:c r="AE109" s="1559" t="str">
        <x:f>IF(T109&lt;&gt;"NET","N/A",IF(ABS(S109)&lt;=Model_Parameters!$B$7,"PASS","REVIEW"))</x:f>
        <x:v>PASS</x:v>
      </x:c>
      <x:c r="AF109" s="1559" t="str">
        <x:f>IF(ABS(X109)&lt;=Model_Parameters!$B$7,"WITHIN TOLERANCE","DISPLAY RATE / ADJUSTMENT")</x:f>
        <x:v>DISPLAY RATE / ADJUSTMENT</x:v>
      </x:c>
    </x:row>
    <x:row r="110" ht="18" customHeight="1">
      <x:c r="A110" s="1552" t="str">
        <x:v>OSR150</x:v>
      </x:c>
      <x:c r="B110" s="1155" t="str">
        <x:v>Frog Lake Oil Sands Project</x:v>
      </x:c>
      <x:c r="C110" s="1155" t="str">
        <x:v>HARVEST OPERATIONS CORP.</x:v>
      </x:c>
      <x:c r="D110" s="1553" t="n">
        <x:v>2024</x:v>
      </x:c>
      <x:c r="E110" s="1554" t="n">
        <x:v>1385414</x:v>
      </x:c>
      <x:c r="F110" s="1554" t="n">
        <x:v>0</x:v>
      </x:c>
      <x:c r="G110" s="1554" t="n">
        <x:v>1385414</x:v>
      </x:c>
      <x:c r="H110" s="1555" t="n">
        <x:f>E110-F110-G110</x:f>
        <x:v>0</x:v>
      </x:c>
      <x:c r="I110" s="1554" t="n">
        <x:v>19158</x:v>
      </x:c>
      <x:c r="J110" s="1556" t="n">
        <x:v>72.32</x:v>
      </x:c>
      <x:c r="K110" s="1557" t="n">
        <x:f>IF(I110=0,0,G110/I110)</x:f>
        <x:v>72.31516859797473</x:v>
      </x:c>
      <x:c r="L110" s="1554" t="n">
        <x:v>276303</x:v>
      </x:c>
      <x:c r="M110" s="1554" t="n">
        <x:v>0</x:v>
      </x:c>
      <x:c r="N110" s="1554" t="n">
        <x:v>0</x:v>
      </x:c>
      <x:c r="O110" s="1554" t="n">
        <x:v>0</x:v>
      </x:c>
      <x:c r="P110" s="1554" t="n">
        <x:v>0</x:v>
      </x:c>
      <x:c r="Q110" s="1554" t="n">
        <x:v>1109111</x:v>
      </x:c>
      <x:c r="R110" s="1555" t="n">
        <x:f>MAX(0,G110-L110-M110-N110-O110+P110)</x:f>
        <x:v>1109111</x:v>
      </x:c>
      <x:c r="S110" s="1555" t="n">
        <x:f>IF(T110="NET",Q110-R110,"")</x:f>
        <x:v>0</x:v>
      </x:c>
      <x:c r="T110" s="1552" t="str">
        <x:v>NET</x:v>
      </x:c>
      <x:c r="U110" s="1558" t="n">
        <x:v>36.31</x:v>
      </x:c>
      <x:c r="V110" s="1554" t="n">
        <x:v>402667</x:v>
      </x:c>
      <x:c r="W110" s="1555" t="n">
        <x:f>IF(T110="NET",Q110*U110/100,G110*U110/100)</x:f>
        <x:v>402718.20410000003</x:v>
      </x:c>
      <x:c r="X110" s="1555" t="n">
        <x:f>V110-W110</x:f>
        <x:v>-51.20410000003176</x:v>
      </x:c>
      <x:c r="Y110" s="1552" t="str">
        <x:v>POST</x:v>
      </x:c>
      <x:c r="Z110" s="1554" t="n">
        <x:v>0</x:v>
      </x:c>
      <x:c r="AA110" s="1155" t="str"/>
      <x:c r="AB110" s="1560" t="n">
        <x:v>11</x:v>
      </x:c>
      <x:c r="AC110" s="1155" t="str">
        <x:v>https://www.alberta.ca/royalty-oil-sands-project-data.aspx?dto=0&amp;dtp=11&amp;dtq=&amp;dts=0</x:v>
      </x:c>
      <x:c r="AD110" s="1559" t="str">
        <x:f>IF(ABS(H110)&lt;=Model_Parameters!$B$7,"PASS","REVIEW")</x:f>
        <x:v>PASS</x:v>
      </x:c>
      <x:c r="AE110" s="1559" t="str">
        <x:f>IF(T110&lt;&gt;"NET","N/A",IF(ABS(S110)&lt;=Model_Parameters!$B$7,"PASS","REVIEW"))</x:f>
        <x:v>PASS</x:v>
      </x:c>
      <x:c r="AF110" s="1559" t="str">
        <x:f>IF(ABS(X110)&lt;=Model_Parameters!$B$7,"WITHIN TOLERANCE","DISPLAY RATE / ADJUSTMENT")</x:f>
        <x:v>WITHIN TOLERANCE</x:v>
      </x:c>
    </x:row>
    <x:row r="111" ht="18" customHeight="1">
      <x:c r="A111" s="1552" t="str">
        <x:v>OSR153</x:v>
      </x:c>
      <x:c r="B111" s="1155" t="str">
        <x:v>WEST ELLS SAGD</x:v>
      </x:c>
      <x:c r="C111" s="1155" t="str">
        <x:v>SUNSHINE OILSANDS LTD.</x:v>
      </x:c>
      <x:c r="D111" s="1553" t="n">
        <x:v>2024</x:v>
      </x:c>
      <x:c r="E111" s="1554" t="n">
        <x:v>24199076</x:v>
      </x:c>
      <x:c r="F111" s="1554" t="n">
        <x:v>12803029</x:v>
      </x:c>
      <x:c r="G111" s="1554" t="n">
        <x:v>11396048</x:v>
      </x:c>
      <x:c r="H111" s="1555" t="n">
        <x:f>E111-F111-G111</x:f>
        <x:v>-1</x:v>
      </x:c>
      <x:c r="I111" s="1554" t="n">
        <x:v>261920</x:v>
      </x:c>
      <x:c r="J111" s="1556" t="n">
        <x:v>43.51</x:v>
      </x:c>
      <x:c r="K111" s="1557" t="n">
        <x:f>IF(I111=0,0,G111/I111)</x:f>
        <x:v>43.509651802076974</x:v>
      </x:c>
      <x:c r="L111" s="1554" t="n">
        <x:v>13243260</x:v>
      </x:c>
      <x:c r="M111" s="1554" t="n">
        <x:v>821991</x:v>
      </x:c>
      <x:c r="N111" s="1554" t="n">
        <x:v>25777010</x:v>
      </x:c>
      <x:c r="O111" s="1554" t="n">
        <x:v>815379</x:v>
      </x:c>
      <x:c r="P111" s="1554" t="n">
        <x:v>0</x:v>
      </x:c>
      <x:c r="Q111" s="1554" t="n">
        <x:v>0</x:v>
      </x:c>
      <x:c r="R111" s="1555" t="n">
        <x:f>MAX(0,G111-L111-M111-N111-O111+P111)</x:f>
        <x:v>0</x:v>
      </x:c>
      <x:c r="S111" s="1555" t="str">
        <x:f>IF(T111="NET",Q111-R111,"")</x:f>
      </x:c>
      <x:c r="T111" s="1552" t="str">
        <x:v>GROSS</x:v>
      </x:c>
      <x:c r="U111" s="1558" t="n">
        <x:v>7.15</x:v>
      </x:c>
      <x:c r="V111" s="1554" t="n">
        <x:v>815379</x:v>
      </x:c>
      <x:c r="W111" s="1555" t="n">
        <x:f>IF(T111="NET",Q111*U111/100,G111*U111/100)</x:f>
        <x:v>814817.432</x:v>
      </x:c>
      <x:c r="X111" s="1555" t="n">
        <x:f>V111-W111</x:f>
        <x:v>561.5679999999702</x:v>
      </x:c>
      <x:c r="Y111" s="1552" t="str">
        <x:v>PRE</x:v>
      </x:c>
      <x:c r="Z111" s="1554" t="n">
        <x:v>807389897</x:v>
      </x:c>
      <x:c r="AA111" s="1155" t="str"/>
      <x:c r="AB111" s="1560" t="n">
        <x:v>11</x:v>
      </x:c>
      <x:c r="AC111" s="1155" t="str">
        <x:v>https://www.alberta.ca/royalty-oil-sands-project-data.aspx?dto=0&amp;dtp=11&amp;dtq=&amp;dts=0</x:v>
      </x:c>
      <x:c r="AD111" s="1559" t="str">
        <x:f>IF(ABS(H111)&lt;=Model_Parameters!$B$7,"PASS","REVIEW")</x:f>
        <x:v>PASS</x:v>
      </x:c>
      <x:c r="AE111" s="1559" t="str">
        <x:f>IF(T111&lt;&gt;"NET","N/A",IF(ABS(S111)&lt;=Model_Parameters!$B$7,"PASS","REVIEW"))</x:f>
        <x:v>N/A</x:v>
      </x:c>
      <x:c r="AF111" s="1559" t="str">
        <x:f>IF(ABS(X111)&lt;=Model_Parameters!$B$7,"WITHIN TOLERANCE","DISPLAY RATE / ADJUSTMENT")</x:f>
        <x:v>WITHIN TOLERANCE</x:v>
      </x:c>
    </x:row>
    <x:row r="112" ht="18" customHeight="1">
      <x:c r="A112" s="1552" t="str">
        <x:v>OSR155</x:v>
      </x:c>
      <x:c r="B112" s="1155" t="str">
        <x:v>Sawn Lake Pilot</x:v>
      </x:c>
      <x:c r="C112" s="1155" t="str">
        <x:v>ANDORA ENERGY CORPORATION</x:v>
      </x:c>
      <x:c r="D112" s="1553" t="n">
        <x:v>2024</x:v>
      </x:c>
      <x:c r="E112" s="1554" t="n">
        <x:v>0</x:v>
      </x:c>
      <x:c r="F112" s="1554" t="n">
        <x:v>0</x:v>
      </x:c>
      <x:c r="G112" s="1554" t="n">
        <x:v>0</x:v>
      </x:c>
      <x:c r="H112" s="1555" t="n">
        <x:f>E112-F112-G112</x:f>
        <x:v>0</x:v>
      </x:c>
      <x:c r="I112" s="1554" t="n">
        <x:v>0</x:v>
      </x:c>
      <x:c r="J112" s="1556" t="n">
        <x:v>0</x:v>
      </x:c>
      <x:c r="K112" s="1557" t="n">
        <x:f>IF(I112=0,0,G112/I112)</x:f>
        <x:v>0</x:v>
      </x:c>
      <x:c r="L112" s="1554" t="n">
        <x:v>736840</x:v>
      </x:c>
      <x:c r="M112" s="1554" t="n">
        <x:v>20510</x:v>
      </x:c>
      <x:c r="N112" s="1554" t="n">
        <x:v>0</x:v>
      </x:c>
      <x:c r="O112" s="1554" t="n">
        <x:v>0</x:v>
      </x:c>
      <x:c r="P112" s="1554" t="n">
        <x:v>0</x:v>
      </x:c>
      <x:c r="Q112" s="1554" t="n">
        <x:v>0</x:v>
      </x:c>
      <x:c r="R112" s="1555" t="n">
        <x:f>MAX(0,G112-L112-M112-N112-O112+P112)</x:f>
        <x:v>0</x:v>
      </x:c>
      <x:c r="S112" s="1555" t="str">
        <x:f>IF(T112="NET",Q112-R112,"")</x:f>
      </x:c>
      <x:c r="T112" s="1552" t="str">
        <x:v>GROSS</x:v>
      </x:c>
      <x:c r="U112" s="1558" t="n">
        <x:v>0</x:v>
      </x:c>
      <x:c r="V112" s="1554" t="n">
        <x:v>0</x:v>
      </x:c>
      <x:c r="W112" s="1555" t="n">
        <x:f>IF(T112="NET",Q112*U112/100,G112*U112/100)</x:f>
        <x:v>0</x:v>
      </x:c>
      <x:c r="X112" s="1555" t="n">
        <x:f>V112-W112</x:f>
        <x:v>0</x:v>
      </x:c>
      <x:c r="Y112" s="1552" t="str">
        <x:v>PRE</x:v>
      </x:c>
      <x:c r="Z112" s="1554" t="n">
        <x:v>52715720</x:v>
      </x:c>
      <x:c r="AA112" s="1155" t="str"/>
      <x:c r="AB112" s="1560" t="n">
        <x:v>11</x:v>
      </x:c>
      <x:c r="AC112" s="1155" t="str">
        <x:v>https://www.alberta.ca/royalty-oil-sands-project-data.aspx?dto=0&amp;dtp=11&amp;dtq=&amp;dts=0</x:v>
      </x:c>
      <x:c r="AD112" s="1559" t="str">
        <x:f>IF(ABS(H112)&lt;=Model_Parameters!$B$7,"PASS","REVIEW")</x:f>
        <x:v>PASS</x:v>
      </x:c>
      <x:c r="AE112" s="1559" t="str">
        <x:f>IF(T112&lt;&gt;"NET","N/A",IF(ABS(S112)&lt;=Model_Parameters!$B$7,"PASS","REVIEW"))</x:f>
        <x:v>N/A</x:v>
      </x:c>
      <x:c r="AF112" s="1559" t="str">
        <x:f>IF(ABS(X112)&lt;=Model_Parameters!$B$7,"WITHIN TOLERANCE","DISPLAY RATE / ADJUSTMENT")</x:f>
        <x:v>WITHIN TOLERANCE</x:v>
      </x:c>
    </x:row>
    <x:row r="113" ht="18" customHeight="1">
      <x:c r="A113" s="1552" t="str">
        <x:v>OSR156</x:v>
      </x:c>
      <x:c r="B113" s="1155" t="str">
        <x:v>Bonnyville</x:v>
      </x:c>
      <x:c r="C113" s="1155" t="str">
        <x:v>CANADIAN NATURAL RESOURCES LIMITED</x:v>
      </x:c>
      <x:c r="D113" s="1553" t="n">
        <x:v>2024</x:v>
      </x:c>
      <x:c r="E113" s="1554" t="n">
        <x:v>697532250</x:v>
      </x:c>
      <x:c r="F113" s="1554" t="n">
        <x:v>124117317</x:v>
      </x:c>
      <x:c r="G113" s="1554" t="n">
        <x:v>573414933</x:v>
      </x:c>
      <x:c r="H113" s="1555" t="n">
        <x:f>E113-F113-G113</x:f>
        <x:v>0</x:v>
      </x:c>
      <x:c r="I113" s="1554" t="n">
        <x:v>7286398</x:v>
      </x:c>
      <x:c r="J113" s="1556" t="n">
        <x:v>78.7</x:v>
      </x:c>
      <x:c r="K113" s="1557" t="n">
        <x:f>IF(I113=0,0,G113/I113)</x:f>
        <x:v>78.69662527355766</x:v>
      </x:c>
      <x:c r="L113" s="1554" t="n">
        <x:v>99032220</x:v>
      </x:c>
      <x:c r="M113" s="1554" t="n">
        <x:v>68451394</x:v>
      </x:c>
      <x:c r="N113" s="1554" t="n">
        <x:v>0</x:v>
      </x:c>
      <x:c r="O113" s="1554" t="n">
        <x:v>0</x:v>
      </x:c>
      <x:c r="P113" s="1554" t="n">
        <x:v>13109004</x:v>
      </x:c>
      <x:c r="Q113" s="1554" t="n">
        <x:v>419040323</x:v>
      </x:c>
      <x:c r="R113" s="1555" t="n">
        <x:f>MAX(0,G113-L113-M113-N113-O113+P113)</x:f>
        <x:v>419040323</x:v>
      </x:c>
      <x:c r="S113" s="1555" t="n">
        <x:f>IF(T113="NET",Q113-R113,"")</x:f>
        <x:v>0</x:v>
      </x:c>
      <x:c r="T113" s="1552" t="str">
        <x:v>NET</x:v>
      </x:c>
      <x:c r="U113" s="1558" t="n">
        <x:v>36.31</x:v>
      </x:c>
      <x:c r="V113" s="1554" t="n">
        <x:v>152134182</x:v>
      </x:c>
      <x:c r="W113" s="1555" t="n">
        <x:f>IF(T113="NET",Q113*U113/100,G113*U113/100)</x:f>
        <x:v>152153541.2813</x:v>
      </x:c>
      <x:c r="X113" s="1555" t="n">
        <x:f>V113-W113</x:f>
        <x:v>-19359.281300008297</x:v>
      </x:c>
      <x:c r="Y113" s="1552" t="str">
        <x:v>POST</x:v>
      </x:c>
      <x:c r="Z113" s="1554" t="n">
        <x:v>0</x:v>
      </x:c>
      <x:c r="AA113" s="1155" t="str"/>
      <x:c r="AB113" s="1560" t="n">
        <x:v>12</x:v>
      </x:c>
      <x:c r="AC113" s="1155" t="str">
        <x:v>https://www.alberta.ca/royalty-oil-sands-project-data.aspx?dto=0&amp;dtp=12&amp;dtq=&amp;dts=0</x:v>
      </x:c>
      <x:c r="AD113" s="1559" t="str">
        <x:f>IF(ABS(H113)&lt;=Model_Parameters!$B$7,"PASS","REVIEW")</x:f>
        <x:v>PASS</x:v>
      </x:c>
      <x:c r="AE113" s="1559" t="str">
        <x:f>IF(T113&lt;&gt;"NET","N/A",IF(ABS(S113)&lt;=Model_Parameters!$B$7,"PASS","REVIEW"))</x:f>
        <x:v>PASS</x:v>
      </x:c>
      <x:c r="AF113" s="1559" t="str">
        <x:f>IF(ABS(X113)&lt;=Model_Parameters!$B$7,"WITHIN TOLERANCE","DISPLAY RATE / ADJUSTMENT")</x:f>
        <x:v>DISPLAY RATE / ADJUSTMENT</x:v>
      </x:c>
    </x:row>
    <x:row r="114" ht="18" customHeight="1">
      <x:c r="A114" s="1552" t="str">
        <x:v>OSR158</x:v>
      </x:c>
      <x:c r="B114" s="1155" t="str">
        <x:v>End Lake Project</x:v>
      </x:c>
      <x:c r="C114" s="1155" t="str">
        <x:v>CANADIAN NATURAL RESOURCES LIMITED</x:v>
      </x:c>
      <x:c r="D114" s="1553" t="n">
        <x:v>2024</x:v>
      </x:c>
      <x:c r="E114" s="1554" t="n">
        <x:v>7060770</x:v>
      </x:c>
      <x:c r="F114" s="1554" t="n">
        <x:v>1229853</x:v>
      </x:c>
      <x:c r="G114" s="1554" t="n">
        <x:v>5830917</x:v>
      </x:c>
      <x:c r="H114" s="1555" t="n">
        <x:f>E114-F114-G114</x:f>
        <x:v>0</x:v>
      </x:c>
      <x:c r="I114" s="1554" t="n">
        <x:v>73523</x:v>
      </x:c>
      <x:c r="J114" s="1556" t="n">
        <x:v>79.31</x:v>
      </x:c>
      <x:c r="K114" s="1557" t="n">
        <x:f>IF(I114=0,0,G114/I114)</x:f>
        <x:v>79.30738680412932</x:v>
      </x:c>
      <x:c r="L114" s="1554" t="n">
        <x:v>3749256</x:v>
      </x:c>
      <x:c r="M114" s="1554" t="n">
        <x:v>3403237</x:v>
      </x:c>
      <x:c r="N114" s="1554" t="n">
        <x:v>424072</x:v>
      </x:c>
      <x:c r="O114" s="1554" t="n">
        <x:v>13395923</x:v>
      </x:c>
      <x:c r="P114" s="1554" t="n">
        <x:v>76715</x:v>
      </x:c>
      <x:c r="Q114" s="1554" t="n">
        <x:v>0</x:v>
      </x:c>
      <x:c r="R114" s="1555" t="n">
        <x:f>MAX(0,G114-L114-M114-N114-O114+P114)</x:f>
        <x:v>0</x:v>
      </x:c>
      <x:c r="S114" s="1555" t="str">
        <x:f>IF(T114="NET",Q114-R114,"")</x:f>
      </x:c>
      <x:c r="T114" s="1552" t="str">
        <x:v>GROSS</x:v>
      </x:c>
      <x:c r="U114" s="1558" t="n">
        <x:v>7.03</x:v>
      </x:c>
      <x:c r="V114" s="1554" t="n">
        <x:v>409887</x:v>
      </x:c>
      <x:c r="W114" s="1555" t="n">
        <x:f>IF(T114="NET",Q114*U114/100,G114*U114/100)</x:f>
        <x:v>409913.4651</x:v>
      </x:c>
      <x:c r="X114" s="1555" t="n">
        <x:f>V114-W114</x:f>
        <x:v>-26.465099999972153</x:v>
      </x:c>
      <x:c r="Y114" s="1552" t="str">
        <x:v>POST</x:v>
      </x:c>
      <x:c r="Z114" s="1554" t="n">
        <x:v>15064856</x:v>
      </x:c>
      <x:c r="AA114" s="1155" t="str"/>
      <x:c r="AB114" s="1560" t="n">
        <x:v>12</x:v>
      </x:c>
      <x:c r="AC114" s="1155" t="str">
        <x:v>https://www.alberta.ca/royalty-oil-sands-project-data.aspx?dto=0&amp;dtp=12&amp;dtq=&amp;dts=0</x:v>
      </x:c>
      <x:c r="AD114" s="1559" t="str">
        <x:f>IF(ABS(H114)&lt;=Model_Parameters!$B$7,"PASS","REVIEW")</x:f>
        <x:v>PASS</x:v>
      </x:c>
      <x:c r="AE114" s="1559" t="str">
        <x:f>IF(T114&lt;&gt;"NET","N/A",IF(ABS(S114)&lt;=Model_Parameters!$B$7,"PASS","REVIEW"))</x:f>
        <x:v>N/A</x:v>
      </x:c>
      <x:c r="AF114" s="1559" t="str">
        <x:f>IF(ABS(X114)&lt;=Model_Parameters!$B$7,"WITHIN TOLERANCE","DISPLAY RATE / ADJUSTMENT")</x:f>
        <x:v>WITHIN TOLERANCE</x:v>
      </x:c>
    </x:row>
    <x:row r="115" ht="18" customHeight="1">
      <x:c r="A115" s="1552" t="str">
        <x:v>OSR160</x:v>
      </x:c>
      <x:c r="B115" s="1155" t="str">
        <x:v>Harmon Valley Bluesky</x:v>
      </x:c>
      <x:c r="C115" s="1155" t="str">
        <x:v>BAYTEX ENERGY LTD.</x:v>
      </x:c>
      <x:c r="D115" s="1553" t="n">
        <x:v>2024</x:v>
      </x:c>
      <x:c r="E115" s="1554" t="n">
        <x:v>120036630</x:v>
      </x:c>
      <x:c r="F115" s="1554" t="n">
        <x:v>23109297</x:v>
      </x:c>
      <x:c r="G115" s="1554" t="n">
        <x:v>96927333</x:v>
      </x:c>
      <x:c r="H115" s="1555" t="n">
        <x:f>E115-F115-G115</x:f>
        <x:v>0</x:v>
      </x:c>
      <x:c r="I115" s="1554" t="n">
        <x:v>1498896</x:v>
      </x:c>
      <x:c r="J115" s="1556" t="n">
        <x:v>64.67</x:v>
      </x:c>
      <x:c r="K115" s="1557" t="n">
        <x:f>IF(I115=0,0,G115/I115)</x:f>
        <x:v>64.66581604060589</x:v>
      </x:c>
      <x:c r="L115" s="1554" t="n">
        <x:v>32406741</x:v>
      </x:c>
      <x:c r="M115" s="1554" t="n">
        <x:v>1864543</x:v>
      </x:c>
      <x:c r="N115" s="1554" t="n">
        <x:v>0</x:v>
      </x:c>
      <x:c r="O115" s="1554" t="n">
        <x:v>0</x:v>
      </x:c>
      <x:c r="P115" s="1554" t="n">
        <x:v>123931</x:v>
      </x:c>
      <x:c r="Q115" s="1554" t="n">
        <x:v>62779980</x:v>
      </x:c>
      <x:c r="R115" s="1555" t="n">
        <x:f>MAX(0,G115-L115-M115-N115-O115+P115)</x:f>
        <x:v>62779980</x:v>
      </x:c>
      <x:c r="S115" s="1555" t="n">
        <x:f>IF(T115="NET",Q115-R115,"")</x:f>
        <x:v>0</x:v>
      </x:c>
      <x:c r="T115" s="1552" t="str">
        <x:v>NET</x:v>
      </x:c>
      <x:c r="U115" s="1558" t="n">
        <x:v>36.31</x:v>
      </x:c>
      <x:c r="V115" s="1554" t="n">
        <x:v>22792510</x:v>
      </x:c>
      <x:c r="W115" s="1555" t="n">
        <x:f>IF(T115="NET",Q115*U115/100,G115*U115/100)</x:f>
        <x:v>22795410.738</x:v>
      </x:c>
      <x:c r="X115" s="1555" t="n">
        <x:f>V115-W115</x:f>
        <x:v>-2900.7380000017583</x:v>
      </x:c>
      <x:c r="Y115" s="1552" t="str">
        <x:v>POST</x:v>
      </x:c>
      <x:c r="Z115" s="1554" t="n">
        <x:v>0</x:v>
      </x:c>
      <x:c r="AA115" s="1155" t="str"/>
      <x:c r="AB115" s="1560" t="n">
        <x:v>12</x:v>
      </x:c>
      <x:c r="AC115" s="1155" t="str">
        <x:v>https://www.alberta.ca/royalty-oil-sands-project-data.aspx?dto=0&amp;dtp=12&amp;dtq=&amp;dts=0</x:v>
      </x:c>
      <x:c r="AD115" s="1559" t="str">
        <x:f>IF(ABS(H115)&lt;=Model_Parameters!$B$7,"PASS","REVIEW")</x:f>
        <x:v>PASS</x:v>
      </x:c>
      <x:c r="AE115" s="1559" t="str">
        <x:f>IF(T115&lt;&gt;"NET","N/A",IF(ABS(S115)&lt;=Model_Parameters!$B$7,"PASS","REVIEW"))</x:f>
        <x:v>PASS</x:v>
      </x:c>
      <x:c r="AF115" s="1559" t="str">
        <x:f>IF(ABS(X115)&lt;=Model_Parameters!$B$7,"WITHIN TOLERANCE","DISPLAY RATE / ADJUSTMENT")</x:f>
        <x:v>DISPLAY RATE / ADJUSTMENT</x:v>
      </x:c>
    </x:row>
  </x:sheetData>
  <x:mergeCells>
    <x:mergeCell ref="A1:AF1"/>
    <x:mergeCell ref="A2:AF2"/>
    <x:mergeCell ref="A4:AF4"/>
  </x:mergeCells>
  <x:conditionalFormatting sqref="H6:H115">
    <x:cfRule type="expression" dxfId="31" priority="1">
      <x:formula>ABS(H6)&gt;1000</x:formula>
    </x:cfRule>
  </x:conditionalFormatting>
  <x:conditionalFormatting sqref="S6:S115">
    <x:cfRule type="expression" dxfId="32" priority="2">
      <x:formula>AND(T6="NET",ABS(S6)&gt;1000)</x:formula>
    </x:cfRule>
  </x:conditionalFormatting>
  <x:conditionalFormatting sqref="AD6:AE115">
    <x:cfRule type="expression" dxfId="33" priority="3">
      <x:formula>AD6="REVIEW"</x:formula>
    </x:cfRule>
  </x:conditionalFormatting>
  <x:pageMargins left="0.7" right="0.7" top="0.75" bottom="0.75" header="0.3" footer="0.3"/>
  <x:tableParts count="1">
    <x:tablePart xmlns:r="http://schemas.openxmlformats.org/officeDocument/2006/relationships" r:id="R5be5cf5192b44528"/>
  </x:tableParts>
</x:worksheet>
</file>

<file path=xl/worksheets/sheet49.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4" hidden="0" customWidth="1"/>
    <x:col min="9" max="9" width="30" hidden="0" customWidth="1"/>
    <x:col min="10" max="10" width="12" hidden="0" customWidth="1"/>
    <x:col min="11" max="11" width="12" hidden="0" customWidth="1"/>
    <x:col min="12" max="12" width="12" hidden="0" customWidth="1"/>
  </x:cols>
  <x:sheetData>
    <x:row r="1" ht="28" customHeight="1">
      <x:c r="A1" s="1532" t="str">
        <x:v>Alberta Oil-Sands Royalty Diagnostic — 2024</x:v>
      </x:c>
      <x:c r="B1" s="1532"/>
      <x:c r="C1" s="1532"/>
      <x:c r="D1" s="1532"/>
      <x:c r="E1" s="1532"/>
      <x:c r="F1" s="1532"/>
      <x:c r="G1" s="1532"/>
      <x:c r="H1" s="1532"/>
      <x:c r="I1" s="1532"/>
      <x:c r="J1" s="1532"/>
      <x:c r="K1" s="1532"/>
      <x:c r="L1" s="1532"/>
    </x:row>
    <x:row r="2" ht="42" customHeight="1">
      <x:c r="A2" s="1536" t="str">
        <x:v>This sheet summarizes Alberta’s project-level royalty-calculation accounts. It is a fiscal-regime diagnostic only. Royalty gross revenue, allowed costs, return allowance and net revenue are not interchangeable with national-accounts output, CFC, produced-capital stock or economic rent.</x:v>
      </x:c>
      <x:c r="B2" s="1536"/>
      <x:c r="C2" s="1536"/>
      <x:c r="D2" s="1536"/>
      <x:c r="E2" s="1536"/>
      <x:c r="F2" s="1536"/>
      <x:c r="G2" s="1536"/>
      <x:c r="H2" s="1536"/>
      <x:c r="I2" s="1536"/>
      <x:c r="J2" s="1536"/>
      <x:c r="K2" s="1536"/>
      <x:c r="L2" s="1536"/>
    </x:row>
    <x:row r="4">
      <x:c r="A4" s="1538" t="str">
        <x:v>Terminal ruling</x:v>
      </x:c>
      <x:c r="B4" s="1538"/>
      <x:c r="C4" s="1538"/>
      <x:c r="D4" s="1538"/>
      <x:c r="E4" s="1538"/>
      <x:c r="F4" s="1538"/>
      <x:c r="G4" s="1538"/>
      <x:c r="H4" s="1538"/>
      <x:c r="I4" s="1538"/>
      <x:c r="J4" s="1538"/>
      <x:c r="K4" s="1538"/>
      <x:c r="L4" s="1538"/>
    </x:row>
    <x:row r="5" ht="24" customHeight="1">
      <x:c r="A5" s="1513" t="str">
        <x:v>Dataset rows</x:v>
      </x:c>
      <x:c r="B5" s="26" t="n">
        <x:v>110</x:v>
      </x:c>
      <x:c r="C5" s="1513" t="str">
        <x:v>Unique project codes</x:v>
      </x:c>
      <x:c r="D5" s="26" t="n">
        <x:v>106</x:v>
      </x:c>
      <x:c r="E5" s="1513" t="str">
        <x:v>Reporting year</x:v>
      </x:c>
      <x:c r="F5" s="26" t="n">
        <x:v>2024</x:v>
      </x:c>
      <x:c r="G5" s="26"/>
      <x:c r="H5" s="26"/>
      <x:c r="I5" s="26"/>
      <x:c r="J5" s="26"/>
      <x:c r="K5" s="26"/>
      <x:c r="L5" s="26"/>
    </x:row>
    <x:row r="6" ht="24" customHeight="1">
      <x:c r="A6" s="1513" t="str">
        <x:v>Gross-revenue rows</x:v>
      </x:c>
      <x:c r="B6" s="26" t="n">
        <x:v>99</x:v>
      </x:c>
      <x:c r="C6" s="1513" t="str">
        <x:v>Positive net-revenue rows</x:v>
      </x:c>
      <x:c r="D6" s="26" t="n">
        <x:v>51</x:v>
      </x:c>
      <x:c r="E6" s="1513" t="str">
        <x:v>Source pages</x:v>
      </x:c>
      <x:c r="F6" s="26" t="n">
        <x:v>12</x:v>
      </x:c>
      <x:c r="G6" s="26"/>
      <x:c r="H6" s="26"/>
      <x:c r="I6" s="26"/>
      <x:c r="J6" s="26"/>
      <x:c r="K6" s="26"/>
      <x:c r="L6" s="26"/>
    </x:row>
    <x:row r="7" ht="24" customHeight="1">
      <x:c r="A7" s="1513" t="str">
        <x:v>Fiscal diagnostic</x:v>
      </x:c>
      <x:c r="B7" s="1562" t="str">
        <x:v>PASS</x:v>
      </x:c>
      <x:c r="C7" s="1513" t="str">
        <x:v>Economic-rent publication</x:v>
      </x:c>
      <x:c r="D7" s="1565" t="str">
        <x:v>LOCKED</x:v>
      </x:c>
      <x:c r="E7" s="1565" t="str">
        <x:v>National capture percentage</x:v>
      </x:c>
      <x:c r="F7" s="1565" t="str">
        <x:v>LOCKED</x:v>
      </x:c>
      <x:c r="G7" s="26"/>
      <x:c r="H7" s="26"/>
      <x:c r="I7" s="26"/>
      <x:c r="J7" s="26"/>
      <x:c r="K7" s="26"/>
      <x:c r="L7" s="26"/>
    </x:row>
    <x:row r="8" ht="24" customHeight="1">
      <x:c r="A8" s="1513" t="str">
        <x:v>Reason</x:v>
      </x:c>
      <x:c r="B8" s="26" t="str">
        <x:v>Royalty accounts reconcile and aggregate, but annual allowed capital costs and return allowance are not net capital stock, CFC or the model normal-return account.</x:v>
      </x:c>
      <x:c r="C8" s="1513"/>
      <x:c r="D8" s="26"/>
      <x:c r="E8" s="1513"/>
      <x:c r="F8" s="26"/>
      <x:c r="G8" s="26"/>
      <x:c r="H8" s="26"/>
      <x:c r="I8" s="26"/>
      <x:c r="J8" s="26"/>
      <x:c r="K8" s="26"/>
      <x:c r="L8" s="26"/>
    </x:row>
    <x:row r="10">
      <x:c r="A10" s="1538" t="str">
        <x:v>Aggregate royalty-calculation accounts</x:v>
      </x:c>
      <x:c r="B10" s="1538"/>
      <x:c r="C10" s="1538"/>
      <x:c r="D10" s="1538"/>
      <x:c r="E10" s="1538"/>
      <x:c r="F10" s="1538"/>
      <x:c r="G10" s="1538"/>
      <x:c r="H10" s="1538"/>
      <x:c r="I10" s="1538"/>
      <x:c r="J10" s="1538"/>
      <x:c r="K10" s="1538"/>
      <x:c r="L10" s="1538"/>
    </x:row>
    <x:row r="11">
      <x:c r="A11" s="1569" t="str">
        <x:v>Metric</x:v>
      </x:c>
      <x:c r="B11" s="1569" t="str">
        <x:v>All rows</x:v>
      </x:c>
      <x:c r="C11" s="1569" t="str">
        <x:v>GROSS royalty</x:v>
      </x:c>
      <x:c r="D11" s="1569" t="str">
        <x:v>NET royalty</x:v>
      </x:c>
      <x:c r="E11" s="1569" t="str">
        <x:v>PRE-payout</x:v>
      </x:c>
      <x:c r="F11" s="1569" t="str">
        <x:v>POST-payout</x:v>
      </x:c>
      <x:c r="G11" s="1569" t="str">
        <x:v>Unit / ratio</x:v>
      </x:c>
      <x:c r="H11" s="1569" t="str">
        <x:v>Model use</x:v>
      </x:c>
      <x:c r="I11" s="1569" t="str">
        <x:v>Source / formula</x:v>
      </x:c>
      <x:c r="J11" s="1569"/>
      <x:c r="K11" s="1569"/>
      <x:c r="L11" s="1569"/>
    </x:row>
    <x:row r="12">
      <x:c r="A12" s="26" t="str">
        <x:v>Project revenue</x:v>
      </x:c>
      <x:c r="B12" s="127" t="n">
        <x:f>SUM('AB_OS_Project_Data_2024'!E6:E115)/1000000000</x:f>
        <x:v>118.449023129</x:v>
      </x:c>
      <x:c r="C12" s="127" t="n">
        <x:f>SUMIF('AB_OS_Project_Data_2024'!$T$6:$T$115,"GROSS",'AB_OS_Project_Data_2024'!E$6:E$115)/1000000000</x:f>
        <x:v>38.861926971</x:v>
      </x:c>
      <x:c r="D12" s="127" t="n">
        <x:f>SUMIF('AB_OS_Project_Data_2024'!$T$6:$T$115,"NET",'AB_OS_Project_Data_2024'!E$6:E$115)/1000000000</x:f>
        <x:v>79.587096158</x:v>
      </x:c>
      <x:c r="E12" s="127" t="n">
        <x:f>SUMIF('AB_OS_Project_Data_2024'!$Y$6:$Y$115,"PRE",'AB_OS_Project_Data_2024'!E$6:E$115)/1000000000</x:f>
        <x:v>32.126555991</x:v>
      </x:c>
      <x:c r="F12" s="127" t="n">
        <x:f>SUMIF('AB_OS_Project_Data_2024'!$Y$6:$Y$115,"POST",'AB_OS_Project_Data_2024'!E$6:E$115)/1000000000</x:f>
        <x:v>86.322467138</x:v>
      </x:c>
      <x:c r="G12" s="26" t="str">
        <x:v>$B</x:v>
      </x:c>
      <x:c r="H12" s="26" t="str">
        <x:v>Fiscal diagnostic only</x:v>
      </x:c>
      <x:c r="I12" s="26" t="str">
        <x:v>Alberta oil-sands project data / linked formulas</x:v>
      </x:c>
    </x:row>
    <x:row r="13">
      <x:c r="A13" s="26" t="str">
        <x:v>Diluent cost</x:v>
      </x:c>
      <x:c r="B13" s="127" t="n">
        <x:f>SUM('AB_OS_Project_Data_2024'!F6:F115)/1000000000</x:f>
        <x:v>31.613407828</x:v>
      </x:c>
      <x:c r="C13" s="127" t="n">
        <x:f>SUMIF('AB_OS_Project_Data_2024'!$T$6:$T$115,"GROSS",'AB_OS_Project_Data_2024'!F$6:F$115)/1000000000</x:f>
        <x:v>11.941928588</x:v>
      </x:c>
      <x:c r="D13" s="127" t="n">
        <x:f>SUMIF('AB_OS_Project_Data_2024'!$T$6:$T$115,"NET",'AB_OS_Project_Data_2024'!F$6:F$115)/1000000000</x:f>
        <x:v>19.67147924</x:v>
      </x:c>
      <x:c r="E13" s="127" t="n">
        <x:f>SUMIF('AB_OS_Project_Data_2024'!$Y$6:$Y$115,"PRE",'AB_OS_Project_Data_2024'!F$6:F$115)/1000000000</x:f>
        <x:v>11.89773196</x:v>
      </x:c>
      <x:c r="F13" s="127" t="n">
        <x:f>SUMIF('AB_OS_Project_Data_2024'!$Y$6:$Y$115,"POST",'AB_OS_Project_Data_2024'!F$6:F$115)/1000000000</x:f>
        <x:v>19.715675868</x:v>
      </x:c>
      <x:c r="G13" s="26" t="str">
        <x:v>$B</x:v>
      </x:c>
      <x:c r="H13" s="26" t="str">
        <x:v>Fiscal diagnostic only</x:v>
      </x:c>
      <x:c r="I13" s="26" t="str">
        <x:v>Alberta oil-sands project data / linked formulas</x:v>
      </x:c>
    </x:row>
    <x:row r="14">
      <x:c r="A14" s="26" t="str">
        <x:v>Gross royalty revenue</x:v>
      </x:c>
      <x:c r="B14" s="127" t="n">
        <x:f>SUM('AB_OS_Project_Data_2024'!G6:G115)/1000000000</x:f>
        <x:v>86.83583526</x:v>
      </x:c>
      <x:c r="C14" s="127" t="n">
        <x:f>SUMIF('AB_OS_Project_Data_2024'!$T$6:$T$115,"GROSS",'AB_OS_Project_Data_2024'!G$6:G$115)/1000000000</x:f>
        <x:v>26.920106926</x:v>
      </x:c>
      <x:c r="D14" s="127" t="n">
        <x:f>SUMIF('AB_OS_Project_Data_2024'!$T$6:$T$115,"NET",'AB_OS_Project_Data_2024'!G$6:G$115)/1000000000</x:f>
        <x:v>59.915728334</x:v>
      </x:c>
      <x:c r="E14" s="127" t="n">
        <x:f>SUMIF('AB_OS_Project_Data_2024'!$Y$6:$Y$115,"PRE",'AB_OS_Project_Data_2024'!G$6:G$115)/1000000000</x:f>
        <x:v>20.228932574</x:v>
      </x:c>
      <x:c r="F14" s="127" t="n">
        <x:f>SUMIF('AB_OS_Project_Data_2024'!$Y$6:$Y$115,"POST",'AB_OS_Project_Data_2024'!G$6:G$115)/1000000000</x:f>
        <x:v>66.606902686</x:v>
      </x:c>
      <x:c r="G14" s="26" t="str">
        <x:v>$B</x:v>
      </x:c>
      <x:c r="H14" s="26" t="str">
        <x:v>Fiscal diagnostic only</x:v>
      </x:c>
      <x:c r="I14" s="26" t="str">
        <x:v>Alberta oil-sands project data / linked formulas</x:v>
      </x:c>
    </x:row>
    <x:row r="15">
      <x:c r="A15" s="26" t="str">
        <x:v>Cleaned bitumen at RCP</x:v>
      </x:c>
      <x:c r="B15" s="1571" t="n">
        <x:f>SUM('AB_OS_Project_Data_2024'!I6:I115)/1000000</x:f>
        <x:v>1235.132286</x:v>
      </x:c>
      <x:c r="C15" s="1571" t="n">
        <x:f>SUMIF('AB_OS_Project_Data_2024'!$T$6:$T$115,"GROSS",'AB_OS_Project_Data_2024'!I$6:I$115)/1000000</x:f>
        <x:v>391.567442</x:v>
      </x:c>
      <x:c r="D15" s="1571" t="n">
        <x:f>SUMIF('AB_OS_Project_Data_2024'!$T$6:$T$115,"NET",'AB_OS_Project_Data_2024'!I$6:I$115)/1000000</x:f>
        <x:v>843.564844</x:v>
      </x:c>
      <x:c r="E15" s="1571" t="n">
        <x:f>SUMIF('AB_OS_Project_Data_2024'!$Y$6:$Y$115,"PRE",'AB_OS_Project_Data_2024'!I$6:I$115)/1000000</x:f>
        <x:v>294.340346</x:v>
      </x:c>
      <x:c r="F15" s="1571" t="n">
        <x:f>SUMIF('AB_OS_Project_Data_2024'!$Y$6:$Y$115,"POST",'AB_OS_Project_Data_2024'!I$6:I$115)/1000000</x:f>
        <x:v>940.79194</x:v>
      </x:c>
      <x:c r="G15" s="26" t="str">
        <x:v>million bbl</x:v>
      </x:c>
      <x:c r="H15" s="26" t="str">
        <x:v>Physical royalty control</x:v>
      </x:c>
      <x:c r="I15" s="26" t="str">
        <x:v>Alberta oil-sands project data / linked formulas</x:v>
      </x:c>
    </x:row>
    <x:row r="16">
      <x:c r="A16" s="26" t="str">
        <x:v>Operating costs</x:v>
      </x:c>
      <x:c r="B16" s="127" t="n">
        <x:f>SUM('AB_OS_Project_Data_2024'!L6:L115)/1000000000</x:f>
        <x:v>24.748218549</x:v>
      </x:c>
      <x:c r="C16" s="127" t="n">
        <x:f>SUMIF('AB_OS_Project_Data_2024'!$T$6:$T$115,"GROSS",'AB_OS_Project_Data_2024'!L$6:L$115)/1000000000</x:f>
        <x:v>10.810031558</x:v>
      </x:c>
      <x:c r="D16" s="127" t="n">
        <x:f>SUMIF('AB_OS_Project_Data_2024'!$T$6:$T$115,"NET",'AB_OS_Project_Data_2024'!L$6:L$115)/1000000000</x:f>
        <x:v>13.938186991</x:v>
      </x:c>
      <x:c r="E16" s="127" t="n">
        <x:f>SUMIF('AB_OS_Project_Data_2024'!$Y$6:$Y$115,"PRE",'AB_OS_Project_Data_2024'!L$6:L$115)/1000000000</x:f>
        <x:v>7.10497239</x:v>
      </x:c>
      <x:c r="F16" s="127" t="n">
        <x:f>SUMIF('AB_OS_Project_Data_2024'!$Y$6:$Y$115,"POST",'AB_OS_Project_Data_2024'!L$6:L$115)/1000000000</x:f>
        <x:v>17.643246159</x:v>
      </x:c>
      <x:c r="G16" s="26" t="str">
        <x:v>$B</x:v>
      </x:c>
      <x:c r="H16" s="26" t="str">
        <x:v>Allowed royalty costs only</x:v>
      </x:c>
      <x:c r="I16" s="26" t="str">
        <x:v>Alberta oil-sands project data / linked formulas</x:v>
      </x:c>
    </x:row>
    <x:row r="17">
      <x:c r="A17" s="26" t="str">
        <x:v>Capital costs</x:v>
      </x:c>
      <x:c r="B17" s="127" t="n">
        <x:f>SUM('AB_OS_Project_Data_2024'!M6:M115)/1000000000</x:f>
        <x:v>10.455236193</x:v>
      </x:c>
      <x:c r="C17" s="127" t="n">
        <x:f>SUMIF('AB_OS_Project_Data_2024'!$T$6:$T$115,"GROSS",'AB_OS_Project_Data_2024'!M$6:M$115)/1000000000</x:f>
        <x:v>4.085043811</x:v>
      </x:c>
      <x:c r="D17" s="127" t="n">
        <x:f>SUMIF('AB_OS_Project_Data_2024'!$T$6:$T$115,"NET",'AB_OS_Project_Data_2024'!M$6:M$115)/1000000000</x:f>
        <x:v>6.370192382</x:v>
      </x:c>
      <x:c r="E17" s="127" t="n">
        <x:f>SUMIF('AB_OS_Project_Data_2024'!$Y$6:$Y$115,"PRE",'AB_OS_Project_Data_2024'!M$6:M$115)/1000000000</x:f>
        <x:v>3.038623977</x:v>
      </x:c>
      <x:c r="F17" s="127" t="n">
        <x:f>SUMIF('AB_OS_Project_Data_2024'!$Y$6:$Y$115,"POST",'AB_OS_Project_Data_2024'!M$6:M$115)/1000000000</x:f>
        <x:v>7.416612216</x:v>
      </x:c>
      <x:c r="G17" s="26" t="str">
        <x:v>$B</x:v>
      </x:c>
      <x:c r="H17" s="26" t="str">
        <x:v>Annual allowed expenditures; not stock</x:v>
      </x:c>
      <x:c r="I17" s="26" t="str">
        <x:v>Alberta oil-sands project data / linked formulas</x:v>
      </x:c>
    </x:row>
    <x:row r="18">
      <x:c r="A18" s="26" t="str">
        <x:v>Return allowance</x:v>
      </x:c>
      <x:c r="B18" s="127" t="n">
        <x:f>SUM('AB_OS_Project_Data_2024'!N6:N115)/1000000000</x:f>
        <x:v>4.712521071</x:v>
      </x:c>
      <x:c r="C18" s="127" t="n">
        <x:f>SUMIF('AB_OS_Project_Data_2024'!$T$6:$T$115,"GROSS",'AB_OS_Project_Data_2024'!N$6:N$115)/1000000000</x:f>
        <x:v>4.712509173</x:v>
      </x:c>
      <x:c r="D18" s="127" t="n">
        <x:f>SUMIF('AB_OS_Project_Data_2024'!$T$6:$T$115,"NET",'AB_OS_Project_Data_2024'!N$6:N$115)/1000000000</x:f>
        <x:v>0.000011898</x:v>
      </x:c>
      <x:c r="E18" s="127" t="n">
        <x:f>SUMIF('AB_OS_Project_Data_2024'!$Y$6:$Y$115,"PRE",'AB_OS_Project_Data_2024'!N$6:N$115)/1000000000</x:f>
        <x:v>4.666810294</x:v>
      </x:c>
      <x:c r="F18" s="127" t="n">
        <x:f>SUMIF('AB_OS_Project_Data_2024'!$Y$6:$Y$115,"POST",'AB_OS_Project_Data_2024'!N$6:N$115)/1000000000</x:f>
        <x:v>0.045710777</x:v>
      </x:c>
      <x:c r="G18" s="26" t="str">
        <x:v>$B</x:v>
      </x:c>
      <x:c r="H18" s="26" t="str">
        <x:v>Royalty-regime allowance; not model normal return</x:v>
      </x:c>
      <x:c r="I18" s="26" t="str">
        <x:v>Alberta oil-sands project data / linked formulas</x:v>
      </x:c>
    </x:row>
    <x:row r="19">
      <x:c r="A19" s="26" t="str">
        <x:v>Other costs</x:v>
      </x:c>
      <x:c r="B19" s="127" t="n">
        <x:f>SUM('AB_OS_Project_Data_2024'!O6:O115)/1000000000</x:f>
        <x:v>3.608247758</x:v>
      </x:c>
      <x:c r="C19" s="127" t="n">
        <x:f>SUMIF('AB_OS_Project_Data_2024'!$T$6:$T$115,"GROSS",'AB_OS_Project_Data_2024'!O$6:O$115)/1000000000</x:f>
        <x:v>3.324500359</x:v>
      </x:c>
      <x:c r="D19" s="127" t="n">
        <x:f>SUMIF('AB_OS_Project_Data_2024'!$T$6:$T$115,"NET",'AB_OS_Project_Data_2024'!O$6:O$115)/1000000000</x:f>
        <x:v>0.283747399</x:v>
      </x:c>
      <x:c r="E19" s="127" t="n">
        <x:f>SUMIF('AB_OS_Project_Data_2024'!$Y$6:$Y$115,"PRE",'AB_OS_Project_Data_2024'!O$6:O$115)/1000000000</x:f>
        <x:v>1.538160762</x:v>
      </x:c>
      <x:c r="F19" s="127" t="n">
        <x:f>SUMIF('AB_OS_Project_Data_2024'!$Y$6:$Y$115,"POST",'AB_OS_Project_Data_2024'!O$6:O$115)/1000000000</x:f>
        <x:v>2.070086996</x:v>
      </x:c>
      <x:c r="G19" s="26" t="str">
        <x:v>$B</x:v>
      </x:c>
      <x:c r="H19" s="26" t="str">
        <x:v>Fiscal diagnostic only</x:v>
      </x:c>
      <x:c r="I19" s="26" t="str">
        <x:v>Alberta oil-sands project data / linked formulas</x:v>
      </x:c>
    </x:row>
    <x:row r="20">
      <x:c r="A20" s="26" t="str">
        <x:v>Other net proceeds</x:v>
      </x:c>
      <x:c r="B20" s="127" t="n">
        <x:f>SUM('AB_OS_Project_Data_2024'!P6:P115)/1000000000</x:f>
        <x:v>0.651089784</x:v>
      </x:c>
      <x:c r="C20" s="127" t="n">
        <x:f>SUMIF('AB_OS_Project_Data_2024'!$T$6:$T$115,"GROSS",'AB_OS_Project_Data_2024'!P$6:P$115)/1000000000</x:f>
        <x:v>0.347166808</x:v>
      </x:c>
      <x:c r="D20" s="127" t="n">
        <x:f>SUMIF('AB_OS_Project_Data_2024'!$T$6:$T$115,"NET",'AB_OS_Project_Data_2024'!P$6:P$115)/1000000000</x:f>
        <x:v>0.303922976</x:v>
      </x:c>
      <x:c r="E20" s="127" t="n">
        <x:f>SUMIF('AB_OS_Project_Data_2024'!$Y$6:$Y$115,"PRE",'AB_OS_Project_Data_2024'!P$6:P$115)/1000000000</x:f>
        <x:v>0.221991916</x:v>
      </x:c>
      <x:c r="F20" s="127" t="n">
        <x:f>SUMIF('AB_OS_Project_Data_2024'!$Y$6:$Y$115,"POST",'AB_OS_Project_Data_2024'!P$6:P$115)/1000000000</x:f>
        <x:v>0.429097868</x:v>
      </x:c>
      <x:c r="G20" s="26" t="str">
        <x:v>$B</x:v>
      </x:c>
      <x:c r="H20" s="26" t="str">
        <x:v>Fiscal diagnostic only</x:v>
      </x:c>
      <x:c r="I20" s="26" t="str">
        <x:v>Alberta oil-sands project data / linked formulas</x:v>
      </x:c>
    </x:row>
    <x:row r="21">
      <x:c r="A21" s="26" t="str">
        <x:v>Net royalty revenue</x:v>
      </x:c>
      <x:c r="B21" s="127" t="n">
        <x:f>SUM('AB_OS_Project_Data_2024'!Q6:Q115)/1000000000</x:f>
        <x:v>40.053968218</x:v>
      </x:c>
      <x:c r="C21" s="127" t="n">
        <x:f>SUMIF('AB_OS_Project_Data_2024'!$T$6:$T$115,"GROSS",'AB_OS_Project_Data_2024'!Q$6:Q$115)/1000000000</x:f>
        <x:v>0.376169049</x:v>
      </x:c>
      <x:c r="D21" s="127" t="n">
        <x:f>SUMIF('AB_OS_Project_Data_2024'!$T$6:$T$115,"NET",'AB_OS_Project_Data_2024'!Q$6:Q$115)/1000000000</x:f>
        <x:v>39.677799169</x:v>
      </x:c>
      <x:c r="E21" s="127" t="n">
        <x:f>SUMIF('AB_OS_Project_Data_2024'!$Y$6:$Y$115,"PRE",'AB_OS_Project_Data_2024'!Q$6:Q$115)/1000000000</x:f>
        <x:v>0</x:v>
      </x:c>
      <x:c r="F21" s="127" t="n">
        <x:f>SUMIF('AB_OS_Project_Data_2024'!$Y$6:$Y$115,"POST",'AB_OS_Project_Data_2024'!Q$6:Q$115)/1000000000</x:f>
        <x:v>40.053968218</x:v>
      </x:c>
      <x:c r="G21" s="26" t="str">
        <x:v>$B</x:v>
      </x:c>
      <x:c r="H21" s="26" t="str">
        <x:v>Fiscal diagnostic only</x:v>
      </x:c>
      <x:c r="I21" s="26" t="str">
        <x:v>Alberta oil-sands project data / linked formulas</x:v>
      </x:c>
    </x:row>
    <x:row r="22">
      <x:c r="A22" s="26" t="str">
        <x:v>Royalty payable</x:v>
      </x:c>
      <x:c r="B22" s="127" t="n">
        <x:f>SUM('AB_OS_Project_Data_2024'!V6:V115)/1000000000</x:f>
        <x:v>16.298923381</x:v>
      </x:c>
      <x:c r="C22" s="127" t="n">
        <x:f>SUMIF('AB_OS_Project_Data_2024'!$T$6:$T$115,"GROSS",'AB_OS_Project_Data_2024'!V$6:V$115)/1000000000</x:f>
        <x:v>1.895596865</x:v>
      </x:c>
      <x:c r="D22" s="127" t="n">
        <x:f>SUMIF('AB_OS_Project_Data_2024'!$T$6:$T$115,"NET",'AB_OS_Project_Data_2024'!V$6:V$115)/1000000000</x:f>
        <x:v>14.403326516</x:v>
      </x:c>
      <x:c r="E22" s="127" t="n">
        <x:f>SUMIF('AB_OS_Project_Data_2024'!$Y$6:$Y$115,"PRE",'AB_OS_Project_Data_2024'!V$6:V$115)/1000000000</x:f>
        <x:v>1.425238087</x:v>
      </x:c>
      <x:c r="F22" s="127" t="n">
        <x:f>SUMIF('AB_OS_Project_Data_2024'!$Y$6:$Y$115,"POST",'AB_OS_Project_Data_2024'!V$6:V$115)/1000000000</x:f>
        <x:v>14.873685294</x:v>
      </x:c>
      <x:c r="G22" s="26" t="str">
        <x:v>$B</x:v>
      </x:c>
      <x:c r="H22" s="26" t="str">
        <x:v>Observed provincial royalty amount</x:v>
      </x:c>
      <x:c r="I22" s="26" t="str">
        <x:v>Alberta oil-sands project data / linked formulas</x:v>
      </x:c>
    </x:row>
    <x:row r="23">
      <x:c r="A23" s="26" t="str">
        <x:v>Unrecovered balance / net loss EOP</x:v>
      </x:c>
      <x:c r="B23" s="127" t="n">
        <x:f>SUM('AB_OS_Project_Data_2024'!Z6:Z115)/1000000000</x:f>
        <x:v>95.405435185</x:v>
      </x:c>
      <x:c r="C23" s="127" t="n">
        <x:f>SUMIF('AB_OS_Project_Data_2024'!$T$6:$T$115,"GROSS",'AB_OS_Project_Data_2024'!Z$6:Z$115)/1000000000</x:f>
        <x:v>95.352687807</x:v>
      </x:c>
      <x:c r="D23" s="127" t="n">
        <x:f>SUMIF('AB_OS_Project_Data_2024'!$T$6:$T$115,"NET",'AB_OS_Project_Data_2024'!Z$6:Z$115)/1000000000</x:f>
        <x:v>0.052747378</x:v>
      </x:c>
      <x:c r="E23" s="127" t="n">
        <x:f>SUMIF('AB_OS_Project_Data_2024'!$Y$6:$Y$115,"PRE",'AB_OS_Project_Data_2024'!Z$6:Z$115)/1000000000</x:f>
        <x:v>95.209350524</x:v>
      </x:c>
      <x:c r="F23" s="127" t="n">
        <x:f>SUMIF('AB_OS_Project_Data_2024'!$Y$6:$Y$115,"POST",'AB_OS_Project_Data_2024'!Z$6:Z$115)/1000000000</x:f>
        <x:v>0.196084661</x:v>
      </x:c>
      <x:c r="G23" s="26" t="str">
        <x:v>$B</x:v>
      </x:c>
      <x:c r="H23" s="26" t="str">
        <x:v>Payout-regime balance; not produced capital</x:v>
      </x:c>
      <x:c r="I23" s="26" t="str">
        <x:v>Alberta oil-sands project data / linked formulas</x:v>
      </x:c>
    </x:row>
    <x:row r="26">
      <x:c r="A26" s="1538" t="str">
        <x:v>Regime ratios and source-data checks</x:v>
      </x:c>
      <x:c r="B26" s="1538"/>
      <x:c r="C26" s="1538"/>
      <x:c r="D26" s="1538"/>
      <x:c r="E26" s="1538"/>
      <x:c r="F26" s="1538"/>
      <x:c r="G26" s="1538"/>
      <x:c r="H26" s="1538"/>
      <x:c r="I26" s="1538"/>
      <x:c r="J26" s="1538"/>
      <x:c r="K26" s="1538"/>
      <x:c r="L26" s="1538"/>
    </x:row>
    <x:row r="27">
      <x:c r="A27" s="1568" t="str">
        <x:v>Metric</x:v>
      </x:c>
      <x:c r="B27" s="1568" t="str">
        <x:v>Result</x:v>
      </x:c>
      <x:c r="C27" s="1568" t="str">
        <x:v>Interpretation</x:v>
      </x:c>
      <x:c r="D27" s="1568" t="str">
        <x:v>Status</x:v>
      </x:c>
      <x:c r="E27" s="1568" t="str">
        <x:v>Threshold / comparison</x:v>
      </x:c>
      <x:c r="F27" s="1568" t="str">
        <x:v>Source</x:v>
      </x:c>
      <x:c r="G27" s="1568" t="str">
        <x:v>Publication authority</x:v>
      </x:c>
      <x:c r="H27" s="1568" t="str">
        <x:v>Ruling</x:v>
      </x:c>
    </x:row>
    <x:row r="28">
      <x:c r="A28" s="26" t="str">
        <x:v>Weighted gross royalty revenue / bbl</x:v>
      </x:c>
      <x:c r="B28" s="1574" t="n">
        <x:f>B14/B15*1000</x:f>
        <x:v>70.3048865650007</x:v>
      </x:c>
      <x:c r="C28" s="26" t="str">
        <x:v>Uses royalty gross revenue and RCP volume</x:v>
      </x:c>
      <x:c r="D28" s="26" t="str">
        <x:v>CALCULATED</x:v>
      </x:c>
      <x:c r="E28" s="26" t="str">
        <x:v>Descriptive only</x:v>
      </x:c>
      <x:c r="F28" s="26" t="str">
        <x:v>Linked project table</x:v>
      </x:c>
      <x:c r="G28" s="26" t="str">
        <x:v>No</x:v>
      </x:c>
      <x:c r="H28" s="26" t="str">
        <x:v>Fiscal diagnostic</x:v>
      </x:c>
    </x:row>
    <x:row r="29">
      <x:c r="A29" s="26" t="str">
        <x:v>Royalty payable / gross royalty revenue</x:v>
      </x:c>
      <x:c r="B29" s="1575" t="n">
        <x:f>B22/B14</x:f>
        <x:v>0.1876981240774444</x:v>
      </x:c>
      <x:c r="C29" s="26" t="str">
        <x:v>Not a resource-rent capture rate</x:v>
      </x:c>
      <x:c r="D29" s="26" t="str">
        <x:v>CALCULATED</x:v>
      </x:c>
      <x:c r="E29" s="26" t="str">
        <x:v>Denominator is royalty gross revenue</x:v>
      </x:c>
      <x:c r="F29" s="26" t="str">
        <x:v>Linked project table</x:v>
      </x:c>
      <x:c r="G29" s="26" t="str">
        <x:v>No</x:v>
      </x:c>
      <x:c r="H29" s="26" t="str">
        <x:v>Do not publish as capture rate</x:v>
      </x:c>
    </x:row>
    <x:row r="30">
      <x:c r="A30" s="26" t="str">
        <x:v>GROSS-regime payable / gross revenue</x:v>
      </x:c>
      <x:c r="B30" s="1575" t="n">
        <x:f>C22/C14</x:f>
        <x:v>0.07041565140178523</x:v>
      </x:c>
      <x:c r="C30" s="26" t="str">
        <x:v>Weighted displayed gross-regime burden</x:v>
      </x:c>
      <x:c r="D30" s="26" t="str">
        <x:v>CALCULATED</x:v>
      </x:c>
      <x:c r="E30" s="26" t="str">
        <x:v>Approx. 7% regime</x:v>
      </x:c>
      <x:c r="F30" s="26" t="str">
        <x:v>Linked project table</x:v>
      </x:c>
      <x:c r="G30" s="26" t="str">
        <x:v>No</x:v>
      </x:c>
      <x:c r="H30" s="26" t="str">
        <x:v>Fiscal diagnostic</x:v>
      </x:c>
    </x:row>
    <x:row r="31">
      <x:c r="A31" s="26" t="str">
        <x:v>NET-regime payable / net revenue</x:v>
      </x:c>
      <x:c r="B31" s="1575" t="n">
        <x:f>D22/D21</x:f>
        <x:v>0.3630071933841841</x:v>
      </x:c>
      <x:c r="C31" s="26" t="str">
        <x:v>Weighted displayed net-regime burden</x:v>
      </x:c>
      <x:c r="D31" s="26" t="str">
        <x:v>CALCULATED</x:v>
      </x:c>
      <x:c r="E31" s="26" t="str">
        <x:v>Approx. 36% regime</x:v>
      </x:c>
      <x:c r="F31" s="26" t="str">
        <x:v>Linked project table</x:v>
      </x:c>
      <x:c r="G31" s="26" t="str">
        <x:v>No</x:v>
      </x:c>
      <x:c r="H31" s="26" t="str">
        <x:v>Fiscal diagnostic</x:v>
      </x:c>
    </x:row>
    <x:row r="32">
      <x:c r="A32" s="26" t="str">
        <x:v>Material gross-identity exceptions</x:v>
      </x:c>
      <x:c r="B32" s="1576" t="n">
        <x:f>COUNTIF('AB_OS_Project_Data_2024'!$AD$6:$AD$115,"REVIEW")</x:f>
        <x:v>4</x:v>
      </x:c>
      <x:c r="C32" s="26" t="str">
        <x:v>Project revenue less diluent differs from published gross revenue by &gt;$1,000</x:v>
      </x:c>
      <x:c r="D32" s="26" t="str">
        <x:v>REVIEW</x:v>
      </x:c>
      <x:c r="E32" s="26" t="str">
        <x:v>0 expected from definition</x:v>
      </x:c>
      <x:c r="F32" s="26" t="str">
        <x:v>Alberta source table</x:v>
      </x:c>
      <x:c r="G32" s="26" t="str">
        <x:v>No</x:v>
      </x:c>
      <x:c r="H32" s="26" t="str">
        <x:v>Preserve exceptions</x:v>
      </x:c>
    </x:row>
    <x:row r="33">
      <x:c r="A33" s="26" t="str">
        <x:v>Material NET-identity exceptions</x:v>
      </x:c>
      <x:c r="B33" s="1576" t="n">
        <x:f>COUNTIF('AB_OS_Project_Data_2024'!$AE$6:$AE$115,"REVIEW")</x:f>
        <x:v>2</x:v>
      </x:c>
      <x:c r="C33" s="26" t="str">
        <x:v>Published NET rows differ from displayed formula by &gt;$1,000</x:v>
      </x:c>
      <x:c r="D33" s="26" t="str">
        <x:v>REVIEW</x:v>
      </x:c>
      <x:c r="E33" s="26" t="str">
        <x:v>0 expected absent split-period adjustments</x:v>
      </x:c>
      <x:c r="F33" s="26" t="str">
        <x:v>Alberta source table</x:v>
      </x:c>
      <x:c r="G33" s="26" t="str">
        <x:v>No</x:v>
      </x:c>
      <x:c r="H33" s="26" t="str">
        <x:v>Preserve exceptions</x:v>
      </x:c>
    </x:row>
    <x:row r="34">
      <x:c r="A34" s="26" t="str">
        <x:v>Royalty display-rate differences &gt;$1,000</x:v>
      </x:c>
      <x:c r="B34" s="1576" t="n">
        <x:f>COUNTIF('AB_OS_Project_Data_2024'!$AF$6:$AF$115,"DISPLAY RATE / ADJUSTMENT")</x:f>
        <x:v>42</x:v>
      </x:c>
      <x:c r="C34" s="26" t="str">
        <x:v>Published rates are displayed to two decimals and do not fully reproduce payable</x:v>
      </x:c>
      <x:c r="D34" s="26" t="str">
        <x:v>EXPECTED</x:v>
      </x:c>
      <x:c r="E34" s="26" t="str">
        <x:v>Displayed-rate limitation</x:v>
      </x:c>
      <x:c r="F34" s="26" t="str">
        <x:v>Alberta source table</x:v>
      </x:c>
      <x:c r="G34" s="26" t="str">
        <x:v>No</x:v>
      </x:c>
      <x:c r="H34" s="26" t="str">
        <x:v>Not a failed royalty account</x:v>
      </x:c>
    </x:row>
    <x:row r="37">
      <x:c r="A37" s="1577" t="str">
        <x:v>Model finding</x:v>
      </x:c>
      <x:c r="B37" s="1577"/>
      <x:c r="C37" s="1577"/>
      <x:c r="D37" s="1577"/>
      <x:c r="E37" s="1577"/>
      <x:c r="F37" s="1577"/>
      <x:c r="G37" s="1577"/>
      <x:c r="H37" s="1577"/>
      <x:c r="I37" s="1577"/>
      <x:c r="J37" s="1577"/>
      <x:c r="K37" s="1577"/>
      <x:c r="L37" s="1577"/>
    </x:row>
    <x:row r="38">
      <x:c r="A38" s="1581" t="str">
        <x:v>The project accounts independently reproduce a large, observed 2024 oil-sands royalty payable total, but they do not close the economic-rent denominator. Alberta expressly limits the data to royalty calculations. Capital costs are annual allowed expenditures, return allowance is a regime-specific carry-forward calculation, and neither supplies net produced-capital stock or consumption of fixed capital.</x:v>
      </x:c>
      <x:c r="B38" s="1581"/>
      <x:c r="C38" s="1581"/>
      <x:c r="D38" s="1581"/>
      <x:c r="E38" s="1581"/>
      <x:c r="F38" s="1581"/>
      <x:c r="G38" s="1581"/>
      <x:c r="H38" s="1581"/>
      <x:c r="I38" s="1581"/>
      <x:c r="J38" s="1581"/>
      <x:c r="K38" s="1581"/>
      <x:c r="L38" s="1581"/>
    </x:row>
    <x:row r="39">
      <x:c r="A39" s="1581"/>
      <x:c r="B39" s="1581"/>
      <x:c r="C39" s="1581"/>
      <x:c r="D39" s="1581"/>
      <x:c r="E39" s="1581"/>
      <x:c r="F39" s="1581"/>
      <x:c r="G39" s="1581"/>
      <x:c r="H39" s="1581"/>
      <x:c r="I39" s="1581"/>
      <x:c r="J39" s="1581"/>
      <x:c r="K39" s="1581"/>
      <x:c r="L39" s="1581"/>
    </x:row>
    <x:row r="40">
      <x:c r="A40" s="1581"/>
      <x:c r="B40" s="1581"/>
      <x:c r="C40" s="1581"/>
      <x:c r="D40" s="1581"/>
      <x:c r="E40" s="1581"/>
      <x:c r="F40" s="1581"/>
      <x:c r="G40" s="1581"/>
      <x:c r="H40" s="1581"/>
      <x:c r="I40" s="1581"/>
      <x:c r="J40" s="1581"/>
      <x:c r="K40" s="1581"/>
      <x:c r="L40" s="1581"/>
    </x:row>
  </x:sheetData>
  <x:mergeCells>
    <x:mergeCell ref="A1:L1"/>
    <x:mergeCell ref="A2:L2"/>
    <x:mergeCell ref="A4:L4"/>
    <x:mergeCell ref="A10:L10"/>
    <x:mergeCell ref="A26:L26"/>
    <x:mergeCell ref="A37:L37"/>
    <x:mergeCell ref="A38:L40"/>
  </x:mergeCells>
  <x:pageMargins left="0.7" right="0.7" top="0.75" bottom="0.75" header="0.3" footer="0.3"/>
  <x:drawing xmlns:r="http://schemas.openxmlformats.org/officeDocument/2006/relationships" r:id="R39e3cf3dce0c4167"/>
</x:worksheet>
</file>

<file path=xl/worksheets/sheet50.xml><?xml version="1.0" encoding="utf-8"?>
<x:worksheet xmlns:x="http://schemas.openxmlformats.org/spreadsheetml/2006/main">
  <x:sheetFormatPr defaultRowHeight="15"/>
  <x:cols>
    <x:col min="1" max="1" width="15" hidden="0" customWidth="1"/>
    <x:col min="2" max="2" width="28" hidden="0" customWidth="1"/>
    <x:col min="3" max="3" width="15" hidden="0" customWidth="1"/>
    <x:col min="4" max="4" width="22" hidden="0" customWidth="1"/>
    <x:col min="5" max="5" width="32" hidden="0" customWidth="1"/>
    <x:col min="6" max="6" width="38" hidden="0" customWidth="1"/>
    <x:col min="7" max="7" width="22" hidden="0" customWidth="1"/>
    <x:col min="8" max="8" width="22" hidden="0" customWidth="1"/>
    <x:col min="9" max="9" width="22" hidden="0" customWidth="1"/>
    <x:col min="10" max="10" width="3" hidden="0" customWidth="1"/>
    <x:col min="11" max="11" width="31" hidden="0" customWidth="1"/>
    <x:col min="12" max="12" width="24" hidden="0" customWidth="1"/>
    <x:col min="13" max="13" width="16" hidden="0" customWidth="1"/>
    <x:col min="14" max="14" width="36" hidden="0" customWidth="1"/>
    <x:col min="15" max="15" width="14" hidden="0" customWidth="1"/>
    <x:col min="16" max="16" width="16" hidden="0" customWidth="1"/>
    <x:col min="17" max="17" width="24" hidden="0" customWidth="1"/>
    <x:col min="18" max="18" width="22" hidden="0" customWidth="1"/>
  </x:cols>
  <x:sheetData>
    <x:row r="1" ht="28" customHeight="1">
      <x:c r="A1" s="1532" t="str">
        <x:v>Potash Mining Capital Expenditure Vintages — 2004–2026 Evidence Record</x:v>
      </x:c>
      <x:c r="B1" s="1532"/>
      <x:c r="C1" s="1532"/>
      <x:c r="D1" s="1532"/>
      <x:c r="E1" s="1532"/>
      <x:c r="F1" s="1532"/>
      <x:c r="G1" s="1532"/>
      <x:c r="H1" s="1532"/>
      <x:c r="I1" s="1532"/>
      <x:c r="J1" s="1532"/>
      <x:c r="K1" s="1532"/>
      <x:c r="L1" s="1532"/>
      <x:c r="M1" s="1532"/>
      <x:c r="N1" s="1532"/>
      <x:c r="O1" s="1532"/>
      <x:c r="P1" s="1532"/>
      <x:c r="Q1" s="1532"/>
      <x:c r="R1" s="1532"/>
    </x:row>
    <x:row r="2" ht="42" customHeight="1">
      <x:c r="A2" s="1536" t="str">
        <x:v>Verified archived Statistics Canada observations for NAICS 212396 are preserved by publication vintage. Post-2014 public controls are added where exact values survive verification. Missing years and revised values remain explicit; no capital stock or consumption of fixed capital is inferred.</x:v>
      </x:c>
      <x:c r="B2" s="1536"/>
      <x:c r="C2" s="1536"/>
      <x:c r="D2" s="1536"/>
      <x:c r="E2" s="1536"/>
      <x:c r="F2" s="1536"/>
      <x:c r="G2" s="1536"/>
      <x:c r="H2" s="1536"/>
      <x:c r="I2" s="1536"/>
      <x:c r="J2" s="1536"/>
      <x:c r="K2" s="1536"/>
      <x:c r="L2" s="1536"/>
      <x:c r="M2" s="1536"/>
      <x:c r="N2" s="1536"/>
      <x:c r="O2" s="1536"/>
      <x:c r="P2" s="1536"/>
      <x:c r="Q2" s="1536"/>
      <x:c r="R2" s="1536"/>
    </x:row>
    <x:row r="4">
      <x:c r="A4" s="1538" t="str">
        <x:v>Official archived observations</x:v>
      </x:c>
      <x:c r="B4" s="1538"/>
      <x:c r="C4" s="1538"/>
      <x:c r="D4" s="1538"/>
      <x:c r="E4" s="1538"/>
      <x:c r="F4" s="1538"/>
      <x:c r="G4" s="1538"/>
      <x:c r="H4" s="1538"/>
      <x:c r="I4" s="1538"/>
      <x:c r="K4" s="1538" t="str">
        <x:v>Best currently verified observation by reference year</x:v>
      </x:c>
      <x:c r="L4" s="1538"/>
      <x:c r="M4" s="1538"/>
      <x:c r="N4" s="1538"/>
      <x:c r="O4" s="1538"/>
      <x:c r="P4" s="1538"/>
      <x:c r="Q4" s="1538"/>
      <x:c r="R4" s="1538"/>
    </x:row>
    <x:row r="5">
      <x:c r="A5" s="1569" t="str">
        <x:v>Reference year</x:v>
      </x:c>
      <x:c r="B5" s="1569" t="str">
        <x:v>Vintage</x:v>
      </x:c>
      <x:c r="C5" s="1569" t="str">
        <x:v>Evidence rank</x:v>
      </x:c>
      <x:c r="D5" s="1569" t="str">
        <x:v>Capital expenditure ($M)</x:v>
      </x:c>
      <x:c r="E5" s="1569" t="str">
        <x:v>Construction ($M)</x:v>
      </x:c>
      <x:c r="F5" s="1569" t="str">
        <x:v>Machinery &amp; equipment ($M)</x:v>
      </x:c>
      <x:c r="G5" s="1569" t="str">
        <x:v>Publication issue</x:v>
      </x:c>
      <x:c r="H5" s="1569" t="str">
        <x:v>Source URL</x:v>
      </x:c>
      <x:c r="I5" s="1569" t="str">
        <x:v>Evidence note</x:v>
      </x:c>
      <x:c r="K5" s="1569" t="str">
        <x:v>Year</x:v>
      </x:c>
      <x:c r="L5" s="1569" t="str">
        <x:v>Selected capex ($M)</x:v>
      </x:c>
      <x:c r="M5" s="1569" t="str">
        <x:v>Status</x:v>
      </x:c>
      <x:c r="N5" s="1569" t="str">
        <x:v>Publication issue</x:v>
      </x:c>
      <x:c r="O5" s="1569" t="str">
        <x:v>YoY change</x:v>
      </x:c>
      <x:c r="P5" s="1569" t="str">
        <x:v>Actual available?</x:v>
      </x:c>
      <x:c r="Q5" s="1569" t="str">
        <x:v>PIM use</x:v>
      </x:c>
      <x:c r="R5" s="1569" t="str">
        <x:v>Ruling</x:v>
      </x:c>
    </x:row>
    <x:row r="6">
      <x:c r="A6" s="1551" t="n">
        <x:v>2004</x:v>
      </x:c>
      <x:c r="B6" s="1154" t="str">
        <x:v>ACTUAL</x:v>
      </x:c>
      <x:c r="C6" s="1551" t="n">
        <x:v>3</x:v>
      </x:c>
      <x:c r="D6" s="1582" t="n">
        <x:v>202.7</x:v>
      </x:c>
      <x:c r="E6" s="1582" t="n">
        <x:v>56.6</x:v>
      </x:c>
      <x:c r="F6" s="1582" t="n">
        <x:v>146</x:v>
      </x:c>
      <x:c r="G6" s="1551" t="n">
        <x:v>2006</x:v>
      </x:c>
      <x:c r="H6" s="1155" t="str">
        <x:v>https://www150.statcan.gc.ca/n1/pub/61-205-x/00006/4084299-eng.htm</x:v>
      </x:c>
      <x:c r="I6" s="1155" t="str">
        <x:v>Actual as published in the 2006 issue</x:v>
      </x:c>
      <x:c r="K6" s="108" t="n">
        <x:v>2004</x:v>
      </x:c>
      <x:c r="L6" s="1585" t="n">
        <x:v>202.7</x:v>
      </x:c>
      <x:c r="M6" s="108" t="str">
        <x:v>ACTUAL</x:v>
      </x:c>
      <x:c r="N6" s="108" t="n">
        <x:v>2006</x:v>
      </x:c>
      <x:c r="O6" s="26" t="str">
        <x:v>-</x:v>
      </x:c>
      <x:c r="P6" s="26" t="str">
        <x:v>YES</x:v>
      </x:c>
      <x:c r="Q6" s="26" t="str">
        <x:v>FLOW EVIDENCE ONLY</x:v>
      </x:c>
      <x:c r="R6" s="26" t="str">
        <x:v>Does not authorize stock/CFC</x:v>
      </x:c>
    </x:row>
    <x:row r="7">
      <x:c r="A7" s="1551" t="n">
        <x:v>2005</x:v>
      </x:c>
      <x:c r="B7" s="1154" t="str">
        <x:v>PRELIMINARY</x:v>
      </x:c>
      <x:c r="C7" s="1551" t="n">
        <x:v>2</x:v>
      </x:c>
      <x:c r="D7" s="1582" t="n">
        <x:v>277</x:v>
      </x:c>
      <x:c r="E7" s="1582" t="n">
        <x:v>62.4</x:v>
      </x:c>
      <x:c r="F7" s="1582" t="n">
        <x:v>214.6</x:v>
      </x:c>
      <x:c r="G7" s="1551" t="n">
        <x:v>2006</x:v>
      </x:c>
      <x:c r="H7" s="1155" t="str">
        <x:v>https://www150.statcan.gc.ca/n1/pub/61-205-x/00006/4084299-eng.htm</x:v>
      </x:c>
      <x:c r="I7" s="1155" t="str">
        <x:v>Preliminary actual</x:v>
      </x:c>
      <x:c r="K7" s="108" t="n">
        <x:v>2005</x:v>
      </x:c>
      <x:c r="L7" s="1585" t="n">
        <x:v>308.6</x:v>
      </x:c>
      <x:c r="M7" s="108" t="str">
        <x:v>ACTUAL</x:v>
      </x:c>
      <x:c r="N7" s="108" t="n">
        <x:v>2007</x:v>
      </x:c>
      <x:c r="O7" s="1586" t="n">
        <x:f>IF(L6=0,"",L7/L6-1)</x:f>
        <x:v>0.5224469659595463</x:v>
      </x:c>
      <x:c r="P7" s="26" t="str">
        <x:v>YES</x:v>
      </x:c>
      <x:c r="Q7" s="26" t="str">
        <x:v>FLOW EVIDENCE ONLY</x:v>
      </x:c>
      <x:c r="R7" s="26" t="str">
        <x:v>Does not authorize stock/CFC</x:v>
      </x:c>
    </x:row>
    <x:row r="8">
      <x:c r="A8" s="1551" t="n">
        <x:v>2006</x:v>
      </x:c>
      <x:c r="B8" s="1154" t="str">
        <x:v>INTENTIONS</x:v>
      </x:c>
      <x:c r="C8" s="1551" t="n">
        <x:v>1</x:v>
      </x:c>
      <x:c r="D8" s="1582" t="n">
        <x:v>294.1</x:v>
      </x:c>
      <x:c r="E8" s="1582" t="n">
        <x:v>90.4</x:v>
      </x:c>
      <x:c r="F8" s="1582" t="n">
        <x:v>203.7</x:v>
      </x:c>
      <x:c r="G8" s="1551" t="n">
        <x:v>2006</x:v>
      </x:c>
      <x:c r="H8" s="1155" t="str">
        <x:v>https://www150.statcan.gc.ca/n1/pub/61-205-x/00006/4084299-eng.htm</x:v>
      </x:c>
      <x:c r="I8" s="1155" t="str">
        <x:v>Intentions</x:v>
      </x:c>
      <x:c r="K8" s="108" t="n">
        <x:v>2006</x:v>
      </x:c>
      <x:c r="L8" s="1585" t="n">
        <x:v>495.2</x:v>
      </x:c>
      <x:c r="M8" s="108" t="str">
        <x:v>ACTUAL</x:v>
      </x:c>
      <x:c r="N8" s="108" t="n">
        <x:v>2008</x:v>
      </x:c>
      <x:c r="O8" s="1586" t="n">
        <x:f>IF(L7=0,"",L8/L7-1)</x:f>
        <x:v>0.6046662346079066</x:v>
      </x:c>
      <x:c r="P8" s="26" t="str">
        <x:v>YES</x:v>
      </x:c>
      <x:c r="Q8" s="26" t="str">
        <x:v>FLOW EVIDENCE ONLY</x:v>
      </x:c>
      <x:c r="R8" s="26" t="str">
        <x:v>Does not authorize stock/CFC</x:v>
      </x:c>
    </x:row>
    <x:row r="9">
      <x:c r="A9" s="1551" t="n">
        <x:v>2005</x:v>
      </x:c>
      <x:c r="B9" s="1154" t="str">
        <x:v>ACTUAL</x:v>
      </x:c>
      <x:c r="C9" s="1551" t="n">
        <x:v>3</x:v>
      </x:c>
      <x:c r="D9" s="1582" t="n">
        <x:v>308.6</x:v>
      </x:c>
      <x:c r="E9" s="1582"/>
      <x:c r="F9" s="1582"/>
      <x:c r="G9" s="1551" t="n">
        <x:v>2007</x:v>
      </x:c>
      <x:c r="H9" s="1155" t="str">
        <x:v>https://www150.statcan.gc.ca/n1/pub/61-205-x/61-205-x2007000-eng.pdf</x:v>
      </x:c>
      <x:c r="I9" s="1155" t="str">
        <x:v>Construction and machinery suppressed</x:v>
      </x:c>
      <x:c r="K9" s="108" t="n">
        <x:v>2007</x:v>
      </x:c>
      <x:c r="L9" s="1585" t="n">
        <x:v>587.9</x:v>
      </x:c>
      <x:c r="M9" s="108" t="str">
        <x:v>ACTUAL</x:v>
      </x:c>
      <x:c r="N9" s="108" t="n">
        <x:v>2009</x:v>
      </x:c>
      <x:c r="O9" s="1586" t="n">
        <x:f>IF(L8=0,"",L9/L8-1)</x:f>
        <x:v>0.18719709208400648</x:v>
      </x:c>
      <x:c r="P9" s="26" t="str">
        <x:v>YES</x:v>
      </x:c>
      <x:c r="Q9" s="26" t="str">
        <x:v>FLOW EVIDENCE ONLY</x:v>
      </x:c>
      <x:c r="R9" s="26" t="str">
        <x:v>Does not authorize stock/CFC</x:v>
      </x:c>
    </x:row>
    <x:row r="10">
      <x:c r="A10" s="1551" t="n">
        <x:v>2006</x:v>
      </x:c>
      <x:c r="B10" s="1154" t="str">
        <x:v>PRELIMINARY</x:v>
      </x:c>
      <x:c r="C10" s="1551" t="n">
        <x:v>2</x:v>
      </x:c>
      <x:c r="D10" s="1582" t="n">
        <x:v>442.4</x:v>
      </x:c>
      <x:c r="E10" s="1582"/>
      <x:c r="F10" s="1582"/>
      <x:c r="G10" s="1551" t="n">
        <x:v>2007</x:v>
      </x:c>
      <x:c r="H10" s="1155" t="str">
        <x:v>https://www150.statcan.gc.ca/n1/pub/61-205-x/61-205-x2007000-eng.pdf</x:v>
      </x:c>
      <x:c r="I10" s="1155" t="str">
        <x:v>Preliminary actual</x:v>
      </x:c>
      <x:c r="K10" s="108" t="n">
        <x:v>2008</x:v>
      </x:c>
      <x:c r="L10" s="1585" t="n">
        <x:v>919.1</x:v>
      </x:c>
      <x:c r="M10" s="108" t="str">
        <x:v>PRELIMINARY</x:v>
      </x:c>
      <x:c r="N10" s="108" t="n">
        <x:v>2009</x:v>
      </x:c>
      <x:c r="O10" s="1586" t="n">
        <x:f>IF(L9=0,"",L10/L9-1)</x:f>
        <x:v>0.5633611158360265</x:v>
      </x:c>
      <x:c r="P10" s="26" t="str">
        <x:v>NO</x:v>
      </x:c>
      <x:c r="Q10" s="26" t="str">
        <x:v>FLOW EVIDENCE ONLY</x:v>
      </x:c>
      <x:c r="R10" s="26" t="str">
        <x:v>Does not authorize stock/CFC</x:v>
      </x:c>
    </x:row>
    <x:row r="11">
      <x:c r="A11" s="1551" t="n">
        <x:v>2007</x:v>
      </x:c>
      <x:c r="B11" s="1154" t="str">
        <x:v>INTENTIONS</x:v>
      </x:c>
      <x:c r="C11" s="1551" t="n">
        <x:v>1</x:v>
      </x:c>
      <x:c r="D11" s="1582" t="n">
        <x:v>384.2</x:v>
      </x:c>
      <x:c r="E11" s="1582" t="n">
        <x:v>55.9</x:v>
      </x:c>
      <x:c r="F11" s="1582" t="n">
        <x:v>328.3</x:v>
      </x:c>
      <x:c r="G11" s="1551" t="n">
        <x:v>2007</x:v>
      </x:c>
      <x:c r="H11" s="1155" t="str">
        <x:v>https://www150.statcan.gc.ca/n1/pub/61-205-x/61-205-x2007000-eng.pdf</x:v>
      </x:c>
      <x:c r="I11" s="1155" t="str">
        <x:v>Intentions</x:v>
      </x:c>
      <x:c r="K11" s="108" t="n">
        <x:v>2009</x:v>
      </x:c>
      <x:c r="L11" s="1585" t="n">
        <x:v>1881.4</x:v>
      </x:c>
      <x:c r="M11" s="108" t="str">
        <x:v>ACTUAL</x:v>
      </x:c>
      <x:c r="N11" s="108" t="n">
        <x:v>2011</x:v>
      </x:c>
      <x:c r="O11" s="1586" t="n">
        <x:f>IF(L10=0,"",L11/L10-1)</x:f>
        <x:v>1.0470025024480472</x:v>
      </x:c>
      <x:c r="P11" s="26" t="str">
        <x:v>YES</x:v>
      </x:c>
      <x:c r="Q11" s="26" t="str">
        <x:v>FLOW EVIDENCE ONLY</x:v>
      </x:c>
      <x:c r="R11" s="26" t="str">
        <x:v>Does not authorize stock/CFC</x:v>
      </x:c>
    </x:row>
    <x:row r="12">
      <x:c r="A12" s="1551" t="n">
        <x:v>2006</x:v>
      </x:c>
      <x:c r="B12" s="1154" t="str">
        <x:v>ACTUAL</x:v>
      </x:c>
      <x:c r="C12" s="1551" t="n">
        <x:v>3</x:v>
      </x:c>
      <x:c r="D12" s="1582" t="n">
        <x:v>495.2</x:v>
      </x:c>
      <x:c r="E12" s="1582"/>
      <x:c r="F12" s="1582"/>
      <x:c r="G12" s="1551" t="n">
        <x:v>2008</x:v>
      </x:c>
      <x:c r="H12" s="1155" t="str">
        <x:v>https://www150.statcan.gc.ca/n1/pub/61-205-x/2008000/5003417-eng.htm</x:v>
      </x:c>
      <x:c r="I12" s="1155" t="str">
        <x:v>Actual; components suppressed</x:v>
      </x:c>
      <x:c r="K12" s="108" t="n">
        <x:v>2010</x:v>
      </x:c>
      <x:c r="L12" s="1585" t="n">
        <x:v>2427.6</x:v>
      </x:c>
      <x:c r="M12" s="108" t="str">
        <x:v>PRELIMINARY</x:v>
      </x:c>
      <x:c r="N12" s="108" t="n">
        <x:v>2011</x:v>
      </x:c>
      <x:c r="O12" s="1586" t="n">
        <x:f>IF(L11=0,"",L12/L11-1)</x:f>
        <x:v>0.2903157223344317</x:v>
      </x:c>
      <x:c r="P12" s="26" t="str">
        <x:v>NO</x:v>
      </x:c>
      <x:c r="Q12" s="26" t="str">
        <x:v>FLOW EVIDENCE ONLY</x:v>
      </x:c>
      <x:c r="R12" s="26" t="str">
        <x:v>Does not authorize stock/CFC</x:v>
      </x:c>
    </x:row>
    <x:row r="13">
      <x:c r="A13" s="1551" t="n">
        <x:v>2007</x:v>
      </x:c>
      <x:c r="B13" s="1154" t="str">
        <x:v>PRELIMINARY</x:v>
      </x:c>
      <x:c r="C13" s="1551" t="n">
        <x:v>2</x:v>
      </x:c>
      <x:c r="D13" s="1582" t="n">
        <x:v>551.5</x:v>
      </x:c>
      <x:c r="E13" s="1582"/>
      <x:c r="F13" s="1582"/>
      <x:c r="G13" s="1551" t="n">
        <x:v>2008</x:v>
      </x:c>
      <x:c r="H13" s="1155" t="str">
        <x:v>https://www150.statcan.gc.ca/n1/pub/61-205-x/2008000/5003417-eng.htm</x:v>
      </x:c>
      <x:c r="I13" s="1155" t="str">
        <x:v>Preliminary actual</x:v>
      </x:c>
      <x:c r="K13" s="108" t="n">
        <x:v>2011</x:v>
      </x:c>
      <x:c r="L13" s="1585" t="n">
        <x:v>2516.4</x:v>
      </x:c>
      <x:c r="M13" s="108" t="str">
        <x:v>ACTUAL</x:v>
      </x:c>
      <x:c r="N13" s="108" t="n">
        <x:v>2013</x:v>
      </x:c>
      <x:c r="O13" s="1586" t="n">
        <x:f>IF(L12=0,"",L13/L12-1)</x:f>
        <x:v>0.036579337617399954</x:v>
      </x:c>
      <x:c r="P13" s="26" t="str">
        <x:v>YES</x:v>
      </x:c>
      <x:c r="Q13" s="26" t="str">
        <x:v>FLOW EVIDENCE ONLY</x:v>
      </x:c>
      <x:c r="R13" s="26" t="str">
        <x:v>Does not authorize stock/CFC</x:v>
      </x:c>
    </x:row>
    <x:row r="14">
      <x:c r="A14" s="1551" t="n">
        <x:v>2008</x:v>
      </x:c>
      <x:c r="B14" s="1154" t="str">
        <x:v>INTENTIONS</x:v>
      </x:c>
      <x:c r="C14" s="1551" t="n">
        <x:v>1</x:v>
      </x:c>
      <x:c r="D14" s="1582" t="n">
        <x:v>859.4</x:v>
      </x:c>
      <x:c r="E14" s="1582"/>
      <x:c r="F14" s="1582"/>
      <x:c r="G14" s="1551" t="n">
        <x:v>2008</x:v>
      </x:c>
      <x:c r="H14" s="1155" t="str">
        <x:v>https://www150.statcan.gc.ca/n1/pub/61-205-x/2008000/5003417-eng.htm</x:v>
      </x:c>
      <x:c r="I14" s="1155" t="str">
        <x:v>Intentions</x:v>
      </x:c>
      <x:c r="K14" s="108" t="n">
        <x:v>2012</x:v>
      </x:c>
      <x:c r="L14" s="1585" t="n">
        <x:v>3875</x:v>
      </x:c>
      <x:c r="M14" s="108" t="str">
        <x:v>ACTUAL</x:v>
      </x:c>
      <x:c r="N14" s="108" t="n">
        <x:v>2014</x:v>
      </x:c>
      <x:c r="O14" s="1586" t="n">
        <x:f>IF(L13=0,"",L14/L13-1)</x:f>
        <x:v>0.5398982673660784</x:v>
      </x:c>
      <x:c r="P14" s="26" t="str">
        <x:v>YES</x:v>
      </x:c>
      <x:c r="Q14" s="26" t="str">
        <x:v>FLOW EVIDENCE ONLY</x:v>
      </x:c>
      <x:c r="R14" s="26" t="str">
        <x:v>Does not authorize stock/CFC</x:v>
      </x:c>
    </x:row>
    <x:row r="15">
      <x:c r="A15" s="1551" t="n">
        <x:v>2007</x:v>
      </x:c>
      <x:c r="B15" s="1154" t="str">
        <x:v>ACTUAL</x:v>
      </x:c>
      <x:c r="C15" s="1551" t="n">
        <x:v>3</x:v>
      </x:c>
      <x:c r="D15" s="1582" t="n">
        <x:v>587.9</x:v>
      </x:c>
      <x:c r="E15" s="1582"/>
      <x:c r="F15" s="1582"/>
      <x:c r="G15" s="1551" t="n">
        <x:v>2009</x:v>
      </x:c>
      <x:c r="H15" s="1155" t="str">
        <x:v>https://www150.statcan.gc.ca/n1/pub/61-205-x/2009000/t005-eng.htm</x:v>
      </x:c>
      <x:c r="I15" s="1155" t="str">
        <x:v>Actual; components suppressed</x:v>
      </x:c>
      <x:c r="K15" s="108" t="n">
        <x:v>2013</x:v>
      </x:c>
      <x:c r="L15" s="1585" t="n">
        <x:v>3919.8</x:v>
      </x:c>
      <x:c r="M15" s="108" t="str">
        <x:v>PRELIMINARY</x:v>
      </x:c>
      <x:c r="N15" s="108" t="n">
        <x:v>2014</x:v>
      </x:c>
      <x:c r="O15" s="1586" t="n">
        <x:f>IF(L14=0,"",L15/L14-1)</x:f>
        <x:v>0.011561290322580797</x:v>
      </x:c>
      <x:c r="P15" s="26" t="str">
        <x:v>NO</x:v>
      </x:c>
      <x:c r="Q15" s="26" t="str">
        <x:v>FLOW EVIDENCE ONLY</x:v>
      </x:c>
      <x:c r="R15" s="26" t="str">
        <x:v>Does not authorize stock/CFC</x:v>
      </x:c>
    </x:row>
    <x:row r="16">
      <x:c r="A16" s="1551" t="n">
        <x:v>2008</x:v>
      </x:c>
      <x:c r="B16" s="1154" t="str">
        <x:v>PRELIMINARY</x:v>
      </x:c>
      <x:c r="C16" s="1551" t="n">
        <x:v>2</x:v>
      </x:c>
      <x:c r="D16" s="1582" t="n">
        <x:v>919.1</x:v>
      </x:c>
      <x:c r="E16" s="1582"/>
      <x:c r="F16" s="1582"/>
      <x:c r="G16" s="1551" t="n">
        <x:v>2009</x:v>
      </x:c>
      <x:c r="H16" s="1155" t="str">
        <x:v>https://www150.statcan.gc.ca/n1/pub/61-205-x/2009000/t005-eng.htm</x:v>
      </x:c>
      <x:c r="I16" s="1155" t="str">
        <x:v>Preliminary actual</x:v>
      </x:c>
      <x:c r="K16" s="108" t="n">
        <x:v>2014</x:v>
      </x:c>
      <x:c r="L16" s="1585" t="n">
        <x:v>3553.4</x:v>
      </x:c>
      <x:c r="M16" s="108" t="str">
        <x:v>INTENTIONS</x:v>
      </x:c>
      <x:c r="N16" s="108" t="n">
        <x:v>2014</x:v>
      </x:c>
      <x:c r="O16" s="1586" t="n">
        <x:f>IF(L15=0,"",L16/L15-1)</x:f>
        <x:v>-0.09347415684473703</x:v>
      </x:c>
      <x:c r="P16" s="26" t="str">
        <x:v>NO</x:v>
      </x:c>
      <x:c r="Q16" s="26" t="str">
        <x:v>FLOW EVIDENCE ONLY</x:v>
      </x:c>
      <x:c r="R16" s="26" t="str">
        <x:v>Does not authorize stock/CFC</x:v>
      </x:c>
    </x:row>
    <x:row r="17">
      <x:c r="A17" s="1551" t="n">
        <x:v>2009</x:v>
      </x:c>
      <x:c r="B17" s="1154" t="str">
        <x:v>INTENTIONS</x:v>
      </x:c>
      <x:c r="C17" s="1551" t="n">
        <x:v>1</x:v>
      </x:c>
      <x:c r="D17" s="1582" t="n">
        <x:v>1292.8</x:v>
      </x:c>
      <x:c r="E17" s="1582"/>
      <x:c r="F17" s="1582"/>
      <x:c r="G17" s="1551" t="n">
        <x:v>2009</x:v>
      </x:c>
      <x:c r="H17" s="1155" t="str">
        <x:v>https://www150.statcan.gc.ca/n1/pub/61-205-x/2009000/t005-eng.htm</x:v>
      </x:c>
      <x:c r="I17" s="1155" t="str">
        <x:v>Intentions</x:v>
      </x:c>
    </x:row>
    <x:row r="18">
      <x:c r="A18" s="1551" t="n">
        <x:v>2009</x:v>
      </x:c>
      <x:c r="B18" s="1154" t="str">
        <x:v>ACTUAL</x:v>
      </x:c>
      <x:c r="C18" s="1551" t="n">
        <x:v>3</x:v>
      </x:c>
      <x:c r="D18" s="1582" t="n">
        <x:v>1881.4</x:v>
      </x:c>
      <x:c r="E18" s="1582"/>
      <x:c r="F18" s="1582"/>
      <x:c r="G18" s="1551" t="n">
        <x:v>2011</x:v>
      </x:c>
      <x:c r="H18" s="1155" t="str">
        <x:v>https://www150.statcan.gc.ca/n1/pub/61-205-x/2011000/t005-eng.htm</x:v>
      </x:c>
      <x:c r="I18" s="1155" t="str">
        <x:v>Actual; components suppressed</x:v>
      </x:c>
    </x:row>
    <x:row r="19">
      <x:c r="A19" s="1551" t="n">
        <x:v>2010</x:v>
      </x:c>
      <x:c r="B19" s="1154" t="str">
        <x:v>PRELIMINARY</x:v>
      </x:c>
      <x:c r="C19" s="1551" t="n">
        <x:v>2</x:v>
      </x:c>
      <x:c r="D19" s="1582" t="n">
        <x:v>2427.6</x:v>
      </x:c>
      <x:c r="E19" s="1582"/>
      <x:c r="F19" s="1582"/>
      <x:c r="G19" s="1551" t="n">
        <x:v>2011</x:v>
      </x:c>
      <x:c r="H19" s="1155" t="str">
        <x:v>https://www150.statcan.gc.ca/n1/pub/61-205-x/2011000/t005-eng.htm</x:v>
      </x:c>
      <x:c r="I19" s="1155" t="str">
        <x:v>Preliminary actual</x:v>
      </x:c>
    </x:row>
    <x:row r="20">
      <x:c r="A20" s="1551" t="n">
        <x:v>2011</x:v>
      </x:c>
      <x:c r="B20" s="1154" t="str">
        <x:v>INTENTIONS</x:v>
      </x:c>
      <x:c r="C20" s="1551" t="n">
        <x:v>1</x:v>
      </x:c>
      <x:c r="D20" s="1582" t="n">
        <x:v>1924.8</x:v>
      </x:c>
      <x:c r="E20" s="1582"/>
      <x:c r="F20" s="1582"/>
      <x:c r="G20" s="1551" t="n">
        <x:v>2011</x:v>
      </x:c>
      <x:c r="H20" s="1155" t="str">
        <x:v>https://www150.statcan.gc.ca/n1/pub/61-205-x/2011000/t005-eng.htm</x:v>
      </x:c>
      <x:c r="I20" s="1155" t="str">
        <x:v>Intentions</x:v>
      </x:c>
    </x:row>
    <x:row r="21">
      <x:c r="A21" s="1551" t="n">
        <x:v>2011</x:v>
      </x:c>
      <x:c r="B21" s="1154" t="str">
        <x:v>PRELIMINARY</x:v>
      </x:c>
      <x:c r="C21" s="1551" t="n">
        <x:v>2</x:v>
      </x:c>
      <x:c r="D21" s="1582" t="n">
        <x:v>2505.2</x:v>
      </x:c>
      <x:c r="E21" s="1582" t="n">
        <x:v>1345.2</x:v>
      </x:c>
      <x:c r="F21" s="1582" t="n">
        <x:v>1160.1</x:v>
      </x:c>
      <x:c r="G21" s="1551" t="n">
        <x:v>2012</x:v>
      </x:c>
      <x:c r="H21" s="1155" t="str">
        <x:v>https://www150.statcan.gc.ca/n1/pub/61-205-x/61-205-x2012000-eng.pdf</x:v>
      </x:c>
      <x:c r="I21" s="1155" t="str">
        <x:v>Preliminary actual</x:v>
      </x:c>
    </x:row>
    <x:row r="22">
      <x:c r="A22" s="1551" t="n">
        <x:v>2012</x:v>
      </x:c>
      <x:c r="B22" s="1154" t="str">
        <x:v>INTENTIONS</x:v>
      </x:c>
      <x:c r="C22" s="1551" t="n">
        <x:v>1</x:v>
      </x:c>
      <x:c r="D22" s="1582" t="n">
        <x:v>2861.2</x:v>
      </x:c>
      <x:c r="E22" s="1582" t="n">
        <x:v>1683.1</x:v>
      </x:c>
      <x:c r="F22" s="1582" t="n">
        <x:v>1178.1</x:v>
      </x:c>
      <x:c r="G22" s="1551" t="n">
        <x:v>2012</x:v>
      </x:c>
      <x:c r="H22" s="1155" t="str">
        <x:v>https://www150.statcan.gc.ca/n1/pub/61-205-x/61-205-x2012000-eng.pdf</x:v>
      </x:c>
      <x:c r="I22" s="1155" t="str">
        <x:v>Intentions</x:v>
      </x:c>
    </x:row>
    <x:row r="23">
      <x:c r="A23" s="1551" t="n">
        <x:v>2011</x:v>
      </x:c>
      <x:c r="B23" s="1154" t="str">
        <x:v>ACTUAL</x:v>
      </x:c>
      <x:c r="C23" s="1551" t="n">
        <x:v>3</x:v>
      </x:c>
      <x:c r="D23" s="1582" t="n">
        <x:v>2516.4</x:v>
      </x:c>
      <x:c r="E23" s="1582" t="n">
        <x:v>1099.6</x:v>
      </x:c>
      <x:c r="F23" s="1582" t="n">
        <x:v>1416.8</x:v>
      </x:c>
      <x:c r="G23" s="1551" t="n">
        <x:v>2013</x:v>
      </x:c>
      <x:c r="H23" s="1155" t="str">
        <x:v>https://www150.statcan.gc.ca/n1/pub/61-205-x/61-205-x2013000-eng.pdf</x:v>
      </x:c>
      <x:c r="I23" s="1155" t="str">
        <x:v>Actual</x:v>
      </x:c>
    </x:row>
    <x:row r="24">
      <x:c r="A24" s="1551" t="n">
        <x:v>2012</x:v>
      </x:c>
      <x:c r="B24" s="1154" t="str">
        <x:v>PRELIMINARY</x:v>
      </x:c>
      <x:c r="C24" s="1551" t="n">
        <x:v>2</x:v>
      </x:c>
      <x:c r="D24" s="1582" t="n">
        <x:v>3901.6</x:v>
      </x:c>
      <x:c r="E24" s="1582" t="n">
        <x:v>2086.9</x:v>
      </x:c>
      <x:c r="F24" s="1582" t="n">
        <x:v>1814.7</x:v>
      </x:c>
      <x:c r="G24" s="1551" t="n">
        <x:v>2013</x:v>
      </x:c>
      <x:c r="H24" s="1155" t="str">
        <x:v>https://www150.statcan.gc.ca/n1/pub/61-205-x/61-205-x2013000-eng.pdf</x:v>
      </x:c>
      <x:c r="I24" s="1155" t="str">
        <x:v>Preliminary actual</x:v>
      </x:c>
    </x:row>
    <x:row r="25">
      <x:c r="A25" s="1551" t="n">
        <x:v>2013</x:v>
      </x:c>
      <x:c r="B25" s="1154" t="str">
        <x:v>INTENTIONS</x:v>
      </x:c>
      <x:c r="C25" s="1551" t="n">
        <x:v>1</x:v>
      </x:c>
      <x:c r="D25" s="1582" t="n">
        <x:v>4062.6</x:v>
      </x:c>
      <x:c r="E25" s="1582" t="n">
        <x:v>3018.4</x:v>
      </x:c>
      <x:c r="F25" s="1582" t="n">
        <x:v>1044.2</x:v>
      </x:c>
      <x:c r="G25" s="1551" t="n">
        <x:v>2013</x:v>
      </x:c>
      <x:c r="H25" s="1155" t="str">
        <x:v>https://www150.statcan.gc.ca/n1/pub/61-205-x/61-205-x2013000-eng.pdf</x:v>
      </x:c>
      <x:c r="I25" s="1155" t="str">
        <x:v>Intentions</x:v>
      </x:c>
    </x:row>
    <x:row r="26">
      <x:c r="A26" s="1551" t="n">
        <x:v>2012</x:v>
      </x:c>
      <x:c r="B26" s="1154" t="str">
        <x:v>ACTUAL</x:v>
      </x:c>
      <x:c r="C26" s="1551" t="n">
        <x:v>3</x:v>
      </x:c>
      <x:c r="D26" s="1582" t="n">
        <x:v>3875</x:v>
      </x:c>
      <x:c r="E26" s="1582"/>
      <x:c r="F26" s="1582"/>
      <x:c r="G26" s="1551" t="n">
        <x:v>2014</x:v>
      </x:c>
      <x:c r="H26" s="1155" t="str">
        <x:v>https://www150.statcan.gc.ca/n1/pub/61-205-x/2014000/t005-eng.htm</x:v>
      </x:c>
      <x:c r="I26" s="1155" t="str">
        <x:v>Actual; components suppressed</x:v>
      </x:c>
    </x:row>
    <x:row r="27">
      <x:c r="A27" s="1551" t="n">
        <x:v>2013</x:v>
      </x:c>
      <x:c r="B27" s="1154" t="str">
        <x:v>PRELIMINARY</x:v>
      </x:c>
      <x:c r="C27" s="1551" t="n">
        <x:v>2</x:v>
      </x:c>
      <x:c r="D27" s="1582" t="n">
        <x:v>3919.8</x:v>
      </x:c>
      <x:c r="E27" s="1582"/>
      <x:c r="F27" s="1582"/>
      <x:c r="G27" s="1551" t="n">
        <x:v>2014</x:v>
      </x:c>
      <x:c r="H27" s="1155" t="str">
        <x:v>https://www150.statcan.gc.ca/n1/pub/61-205-x/2014000/t005-eng.htm</x:v>
      </x:c>
      <x:c r="I27" s="1155" t="str">
        <x:v>Preliminary actual</x:v>
      </x:c>
    </x:row>
    <x:row r="28">
      <x:c r="A28" s="1551" t="n">
        <x:v>2014</x:v>
      </x:c>
      <x:c r="B28" s="1154" t="str">
        <x:v>INTENTIONS</x:v>
      </x:c>
      <x:c r="C28" s="1551" t="n">
        <x:v>1</x:v>
      </x:c>
      <x:c r="D28" s="1582" t="n">
        <x:v>3553.4</x:v>
      </x:c>
      <x:c r="E28" s="1582" t="n">
        <x:v>2666</x:v>
      </x:c>
      <x:c r="F28" s="1582" t="n">
        <x:v>887.5</x:v>
      </x:c>
      <x:c r="G28" s="1551" t="n">
        <x:v>2014</x:v>
      </x:c>
      <x:c r="H28" s="1155" t="str">
        <x:v>https://www150.statcan.gc.ca/n1/pub/61-205-x/2014000/t005-eng.htm</x:v>
      </x:c>
      <x:c r="I28" s="1155" t="str">
        <x:v>Intentions</x:v>
      </x:c>
    </x:row>
    <x:row r="31">
      <x:c r="K31" s="1538" t="str">
        <x:v>Revision-vintage test</x:v>
      </x:c>
      <x:c r="L31" s="1538"/>
      <x:c r="M31" s="1538"/>
      <x:c r="N31" s="1538"/>
      <x:c r="O31" s="1538"/>
      <x:c r="P31" s="1538"/>
      <x:c r="Q31" s="1538"/>
      <x:c r="R31" s="1538"/>
    </x:row>
    <x:row r="32">
      <x:c r="K32" s="1568" t="str">
        <x:v>Year</x:v>
      </x:c>
      <x:c r="L32" s="1568" t="str">
        <x:v>Intentions ($M)</x:v>
      </x:c>
      <x:c r="M32" s="1568" t="str">
        <x:v>Preliminary ($M)</x:v>
      </x:c>
      <x:c r="N32" s="1568" t="str">
        <x:v>Actual ($M)</x:v>
      </x:c>
      <x:c r="O32" s="1568" t="str">
        <x:v>Actual vs intentions</x:v>
      </x:c>
      <x:c r="P32" s="1568" t="str">
        <x:v>Latest available</x:v>
      </x:c>
      <x:c r="Q32" s="1568" t="str">
        <x:v>Evidence consequence</x:v>
      </x:c>
      <x:c r="R32" s="1568" t="str">
        <x:v>PIM gate</x:v>
      </x:c>
    </x:row>
    <x:row r="33">
      <x:c r="K33" s="108" t="n">
        <x:v>2005</x:v>
      </x:c>
      <x:c r="L33" s="1585"/>
      <x:c r="M33" s="1585" t="n">
        <x:v>277</x:v>
      </x:c>
      <x:c r="N33" s="1585" t="n">
        <x:v>308.6</x:v>
      </x:c>
      <x:c r="O33" s="1586" t="str">
        <x:f>IF(OR(L33="",N33=""),"",N33/L33-1)</x:f>
      </x:c>
      <x:c r="P33" s="26" t="str">
        <x:v>ACTUAL</x:v>
      </x:c>
      <x:c r="Q33" s="26" t="str">
        <x:v>Vintages differ; use actual only when available</x:v>
      </x:c>
      <x:c r="R33" s="26" t="str">
        <x:v>LOCKED</x:v>
      </x:c>
    </x:row>
    <x:row r="34">
      <x:c r="K34" s="108" t="n">
        <x:v>2006</x:v>
      </x:c>
      <x:c r="L34" s="1585" t="n">
        <x:v>294.1</x:v>
      </x:c>
      <x:c r="M34" s="1585" t="n">
        <x:v>442.4</x:v>
      </x:c>
      <x:c r="N34" s="1585" t="n">
        <x:v>495.2</x:v>
      </x:c>
      <x:c r="O34" s="1586" t="n">
        <x:f>IF(OR(L34="",N34=""),"",N34/L34-1)</x:f>
        <x:v>0.6837810268616116</x:v>
      </x:c>
      <x:c r="P34" s="26" t="str">
        <x:v>ACTUAL</x:v>
      </x:c>
      <x:c r="Q34" s="26" t="str">
        <x:v>Vintages differ; use actual only when available</x:v>
      </x:c>
      <x:c r="R34" s="26" t="str">
        <x:v>LOCKED</x:v>
      </x:c>
    </x:row>
    <x:row r="35">
      <x:c r="K35" s="108" t="n">
        <x:v>2007</x:v>
      </x:c>
      <x:c r="L35" s="1585" t="n">
        <x:v>384.2</x:v>
      </x:c>
      <x:c r="M35" s="1585" t="n">
        <x:v>551.5</x:v>
      </x:c>
      <x:c r="N35" s="1585" t="n">
        <x:v>587.9</x:v>
      </x:c>
      <x:c r="O35" s="1586" t="n">
        <x:f>IF(OR(L35="",N35=""),"",N35/L35-1)</x:f>
        <x:v>0.5301926080166579</x:v>
      </x:c>
      <x:c r="P35" s="26" t="str">
        <x:v>ACTUAL</x:v>
      </x:c>
      <x:c r="Q35" s="26" t="str">
        <x:v>Vintages differ; use actual only when available</x:v>
      </x:c>
      <x:c r="R35" s="26" t="str">
        <x:v>LOCKED</x:v>
      </x:c>
    </x:row>
    <x:row r="36">
      <x:c r="K36" s="108" t="n">
        <x:v>2008</x:v>
      </x:c>
      <x:c r="L36" s="1585" t="n">
        <x:v>859.4</x:v>
      </x:c>
      <x:c r="M36" s="1585" t="n">
        <x:v>919.1</x:v>
      </x:c>
      <x:c r="N36" s="1585"/>
      <x:c r="O36" s="1586" t="str">
        <x:f>IF(OR(L36="",N36=""),"",N36/L36-1)</x:f>
      </x:c>
      <x:c r="P36" s="26" t="str">
        <x:v>PRELIMINARY</x:v>
      </x:c>
      <x:c r="Q36" s="26" t="str">
        <x:v>Vintages differ; use actual only when available</x:v>
      </x:c>
      <x:c r="R36" s="26" t="str">
        <x:v>LOCKED</x:v>
      </x:c>
    </x:row>
    <x:row r="37">
      <x:c r="K37" s="108" t="n">
        <x:v>2009</x:v>
      </x:c>
      <x:c r="L37" s="1585" t="n">
        <x:v>1292.8</x:v>
      </x:c>
      <x:c r="M37" s="1585"/>
      <x:c r="N37" s="1585" t="n">
        <x:v>1881.4</x:v>
      </x:c>
      <x:c r="O37" s="1586" t="n">
        <x:f>IF(OR(L37="",N37=""),"",N37/L37-1)</x:f>
        <x:v>0.45529084158415856</x:v>
      </x:c>
      <x:c r="P37" s="26" t="str">
        <x:v>ACTUAL</x:v>
      </x:c>
      <x:c r="Q37" s="26" t="str">
        <x:v>Vintages differ; use actual only when available</x:v>
      </x:c>
      <x:c r="R37" s="26" t="str">
        <x:v>LOCKED</x:v>
      </x:c>
    </x:row>
    <x:row r="38">
      <x:c r="K38" s="108" t="n">
        <x:v>2011</x:v>
      </x:c>
      <x:c r="L38" s="1585" t="n">
        <x:v>1924.8</x:v>
      </x:c>
      <x:c r="M38" s="1585" t="n">
        <x:v>2505.2</x:v>
      </x:c>
      <x:c r="N38" s="1585" t="n">
        <x:v>2516.4</x:v>
      </x:c>
      <x:c r="O38" s="1586" t="n">
        <x:f>IF(OR(L38="",N38=""),"",N38/L38-1)</x:f>
        <x:v>0.3073566084788031</x:v>
      </x:c>
      <x:c r="P38" s="26" t="str">
        <x:v>ACTUAL</x:v>
      </x:c>
      <x:c r="Q38" s="26" t="str">
        <x:v>Vintages differ; use actual only when available</x:v>
      </x:c>
      <x:c r="R38" s="26" t="str">
        <x:v>LOCKED</x:v>
      </x:c>
    </x:row>
    <x:row r="39">
      <x:c r="K39" s="108" t="n">
        <x:v>2012</x:v>
      </x:c>
      <x:c r="L39" s="1585" t="n">
        <x:v>2861.2</x:v>
      </x:c>
      <x:c r="M39" s="1585" t="n">
        <x:v>3901.6</x:v>
      </x:c>
      <x:c r="N39" s="1585" t="n">
        <x:v>3875</x:v>
      </x:c>
      <x:c r="O39" s="1586" t="n">
        <x:f>IF(OR(L39="",N39=""),"",N39/L39-1)</x:f>
        <x:v>0.35432685586467216</x:v>
      </x:c>
      <x:c r="P39" s="26" t="str">
        <x:v>ACTUAL</x:v>
      </x:c>
      <x:c r="Q39" s="26" t="str">
        <x:v>Vintages differ; use actual only when available</x:v>
      </x:c>
      <x:c r="R39" s="26" t="str">
        <x:v>LOCKED</x:v>
      </x:c>
    </x:row>
    <x:row r="40">
      <x:c r="K40" s="108" t="n">
        <x:v>2013</x:v>
      </x:c>
      <x:c r="L40" s="1585" t="n">
        <x:v>4062.6</x:v>
      </x:c>
      <x:c r="M40" s="1585" t="n">
        <x:v>3919.8</x:v>
      </x:c>
      <x:c r="N40" s="1585"/>
      <x:c r="O40" s="1586" t="str">
        <x:f>IF(OR(L40="",N40=""),"",N40/L40-1)</x:f>
      </x:c>
      <x:c r="P40" s="26" t="str">
        <x:v>PRELIMINARY</x:v>
      </x:c>
      <x:c r="Q40" s="26" t="str">
        <x:v>Vintages differ; use actual only when available</x:v>
      </x:c>
      <x:c r="R40" s="26" t="str">
        <x:v>LOCKED</x:v>
      </x:c>
    </x:row>
    <x:row r="43">
      <x:c r="A43" s="1577" t="str">
        <x:v>Evidence ruling</x:v>
      </x:c>
      <x:c r="B43" s="1577"/>
      <x:c r="C43" s="1577"/>
      <x:c r="D43" s="1577"/>
      <x:c r="E43" s="1577"/>
      <x:c r="F43" s="1577"/>
      <x:c r="G43" s="1577"/>
      <x:c r="H43" s="1577"/>
      <x:c r="I43" s="1577"/>
      <x:c r="J43" s="1577"/>
      <x:c r="K43" s="1577"/>
      <x:c r="L43" s="1577"/>
      <x:c r="M43" s="1577"/>
      <x:c r="N43" s="1577"/>
      <x:c r="O43" s="1577"/>
      <x:c r="P43" s="1577"/>
      <x:c r="Q43" s="1577"/>
      <x:c r="R43" s="1577"/>
    </x:row>
    <x:row r="44">
      <x:c r="A44" s="1581" t="str">
        <x:v>The archive supplies a verified 2004–2014 investment-vintage record and demonstrates material revisions between intentions, preliminary estimates and actuals. This strengthens the historical flow evidence and rejects using intentions as if they were final investment. It still does not provide a complete asset-level series, opening stock, retirements, work in progress, direct net stock or direct CFC. Potash PIM and commodity rent remain locked.</x:v>
      </x:c>
      <x:c r="B44" s="1581"/>
      <x:c r="C44" s="1581"/>
      <x:c r="D44" s="1581"/>
      <x:c r="E44" s="1581"/>
      <x:c r="F44" s="1581"/>
      <x:c r="G44" s="1581"/>
      <x:c r="H44" s="1581"/>
      <x:c r="I44" s="1581"/>
      <x:c r="J44" s="1581"/>
      <x:c r="K44" s="1581"/>
      <x:c r="L44" s="1581"/>
      <x:c r="M44" s="1581"/>
      <x:c r="N44" s="1581"/>
      <x:c r="O44" s="1581"/>
      <x:c r="P44" s="1581"/>
      <x:c r="Q44" s="1581"/>
      <x:c r="R44" s="1581"/>
    </x:row>
    <x:row r="45">
      <x:c r="A45" s="1581"/>
      <x:c r="B45" s="1581"/>
      <x:c r="C45" s="1581"/>
      <x:c r="D45" s="1581"/>
      <x:c r="E45" s="1581"/>
      <x:c r="F45" s="1581"/>
      <x:c r="G45" s="1581"/>
      <x:c r="H45" s="1581"/>
      <x:c r="I45" s="1581"/>
      <x:c r="J45" s="1581"/>
      <x:c r="K45" s="1581"/>
      <x:c r="L45" s="1581"/>
      <x:c r="M45" s="1581"/>
      <x:c r="N45" s="1581"/>
      <x:c r="O45" s="1581"/>
      <x:c r="P45" s="1581"/>
      <x:c r="Q45" s="1581"/>
      <x:c r="R45" s="1581"/>
    </x:row>
    <x:row r="46">
      <x:c r="A46" s="1602" t="str">
        <x:v>Post-2014 public extension and current-vintage controls</x:v>
      </x:c>
      <x:c r="B46" s="1602"/>
      <x:c r="C46" s="1602"/>
      <x:c r="D46" s="1602"/>
      <x:c r="E46" s="1602"/>
      <x:c r="F46" s="1602"/>
      <x:c r="G46" s="1602"/>
      <x:c r="H46" s="1602"/>
      <x:c r="I46" s="1602"/>
      <x:c r="J46" s="1581"/>
      <x:c r="K46" s="1602" t="str">
        <x:v>Post-2014 extension gate</x:v>
      </x:c>
      <x:c r="L46" s="1602"/>
      <x:c r="M46" s="1602"/>
      <x:c r="N46" s="1602"/>
      <x:c r="O46" s="1602"/>
      <x:c r="P46" s="1602"/>
      <x:c r="Q46" s="1602"/>
      <x:c r="R46" s="1602"/>
    </x:row>
    <x:row r="47">
      <x:c r="A47" s="1614" t="str">
        <x:v>Reference year</x:v>
      </x:c>
      <x:c r="B47" s="1615" t="str">
        <x:v>Vintage / estimate status</x:v>
      </x:c>
      <x:c r="C47" s="1642" t="str">
        <x:v>Capital expenditure ($M)</x:v>
      </x:c>
      <x:c r="D47" s="1615" t="str">
        <x:v>Precision</x:v>
      </x:c>
      <x:c r="E47" s="1615" t="str">
        <x:v>Source publication</x:v>
      </x:c>
      <x:c r="F47" s="1615" t="str">
        <x:v>Source URL</x:v>
      </x:c>
      <x:c r="G47" s="1615" t="str">
        <x:v>PIM use</x:v>
      </x:c>
      <x:c r="H47" s="1615" t="str">
        <x:v>Evidence status</x:v>
      </x:c>
      <x:c r="I47" s="1616" t="str">
        <x:v>Boundary note</x:v>
      </x:c>
      <x:c r="K47" s="1614" t="str">
        <x:v>Metric</x:v>
      </x:c>
      <x:c r="L47" s="1615" t="str">
        <x:v>Result</x:v>
      </x:c>
      <x:c r="M47" s="1615" t="str">
        <x:v>Status</x:v>
      </x:c>
      <x:c r="N47" s="1616" t="str">
        <x:v>Model consequence</x:v>
      </x:c>
    </x:row>
    <x:row r="48">
      <x:c r="A48" s="1640" t="n">
        <x:v>2015</x:v>
      </x:c>
      <x:c r="B48" s="1626" t="str">
        <x:v>CURRENT CUBE — VALUE NOT EXTRACTED</x:v>
      </x:c>
      <x:c r="C48" s="1643"/>
      <x:c r="D48" s="1626" t="str">
        <x:v>Missing exact row</x:v>
      </x:c>
      <x:c r="E48" s="1626" t="str">
        <x:v>Statistics Canada table 34-10-0036-01</x:v>
      </x:c>
      <x:c r="F48" s="1626" t="str">
        <x:v>https://www150.statcan.gc.ca/t1/tbl1/en/tv.action?pid=3410003601</x:v>
      </x:c>
      <x:c r="G48" s="1622" t="str">
        <x:v>NOT AUTHORIZED</x:v>
      </x:c>
      <x:c r="H48" s="1631" t="str">
        <x:v>CUBE EXTRACTION REQUIRED</x:v>
      </x:c>
      <x:c r="I48" s="1622" t="str">
        <x:v>The public table route is verified, but the exact NAICS 212396 observation was not recovered in this run.</x:v>
      </x:c>
      <x:c r="K48" s="1622" t="str">
        <x:v>2015–2022 exact potash total CAPEX</x:v>
      </x:c>
      <x:c r="L48" s="1622" t="str">
        <x:v>Not extracted</x:v>
      </x:c>
      <x:c r="M48" s="1631" t="str">
        <x:v>OPEN</x:v>
      </x:c>
      <x:c r="N48" s="1622" t="str">
        <x:v>Historical flow sequence remains incomplete</x:v>
      </x:c>
    </x:row>
    <x:row r="49">
      <x:c r="A49" s="1640" t="n">
        <x:v>2016</x:v>
      </x:c>
      <x:c r="B49" s="1626" t="str">
        <x:v>CURRENT CUBE — VALUE NOT EXTRACTED</x:v>
      </x:c>
      <x:c r="C49" s="1643"/>
      <x:c r="D49" s="1626" t="str">
        <x:v>Missing exact row</x:v>
      </x:c>
      <x:c r="E49" s="1626" t="str">
        <x:v>Statistics Canada table 34-10-0036-01</x:v>
      </x:c>
      <x:c r="F49" s="1626" t="str">
        <x:v>https://www150.statcan.gc.ca/t1/tbl1/en/tv.action?pid=3410003601</x:v>
      </x:c>
      <x:c r="G49" s="1622" t="str">
        <x:v>NOT AUTHORIZED</x:v>
      </x:c>
      <x:c r="H49" s="1631" t="str">
        <x:v>CUBE EXTRACTION REQUIRED</x:v>
      </x:c>
      <x:c r="I49" s="1622" t="str">
        <x:v>The public table route is verified, but the exact NAICS 212396 observation was not recovered in this run.</x:v>
      </x:c>
      <x:c r="K49" s="1622" t="str">
        <x:v>2023 public control</x:v>
      </x:c>
      <x:c r="L49" s="1622" t="str">
        <x:v>$3.1B rounded</x:v>
      </x:c>
      <x:c r="M49" s="1633" t="str">
        <x:v>PARTIAL</x:v>
      </x:c>
      <x:c r="N49" s="1622" t="str">
        <x:v>Context only; exact cube value required</x:v>
      </x:c>
    </x:row>
    <x:row r="50">
      <x:c r="A50" s="1640" t="n">
        <x:v>2017</x:v>
      </x:c>
      <x:c r="B50" s="1626" t="str">
        <x:v>CURRENT CUBE — VALUE NOT EXTRACTED</x:v>
      </x:c>
      <x:c r="C50" s="1643"/>
      <x:c r="D50" s="1626" t="str">
        <x:v>Missing exact row</x:v>
      </x:c>
      <x:c r="E50" s="1626" t="str">
        <x:v>Statistics Canada table 34-10-0036-01</x:v>
      </x:c>
      <x:c r="F50" s="1626" t="str">
        <x:v>https://www150.statcan.gc.ca/t1/tbl1/en/tv.action?pid=3410003601</x:v>
      </x:c>
      <x:c r="G50" s="1622" t="str">
        <x:v>NOT AUTHORIZED</x:v>
      </x:c>
      <x:c r="H50" s="1631" t="str">
        <x:v>CUBE EXTRACTION REQUIRED</x:v>
      </x:c>
      <x:c r="I50" s="1622" t="str">
        <x:v>The public table route is verified, but the exact NAICS 212396 observation was not recovered in this run.</x:v>
      </x:c>
      <x:c r="K50" s="1622" t="str">
        <x:v>2024 preliminary public control</x:v>
      </x:c>
      <x:c r="L50" s="1622" t="str">
        <x:v>$4,477.7M</x:v>
      </x:c>
      <x:c r="M50" s="1635" t="str">
        <x:v>PASS</x:v>
      </x:c>
      <x:c r="N50" s="1622" t="str">
        <x:v>Preserved as a preliminary vintage, not final flow</x:v>
      </x:c>
    </x:row>
    <x:row r="51">
      <x:c r="A51" s="1640" t="n">
        <x:v>2018</x:v>
      </x:c>
      <x:c r="B51" s="1626" t="str">
        <x:v>CURRENT CUBE — VALUE NOT EXTRACTED</x:v>
      </x:c>
      <x:c r="C51" s="1643"/>
      <x:c r="D51" s="1626" t="str">
        <x:v>Missing exact row</x:v>
      </x:c>
      <x:c r="E51" s="1626" t="str">
        <x:v>Statistics Canada table 34-10-0036-01</x:v>
      </x:c>
      <x:c r="F51" s="1626" t="str">
        <x:v>https://www150.statcan.gc.ca/t1/tbl1/en/tv.action?pid=3410003601</x:v>
      </x:c>
      <x:c r="G51" s="1622" t="str">
        <x:v>NOT AUTHORIZED</x:v>
      </x:c>
      <x:c r="H51" s="1631" t="str">
        <x:v>CUBE EXTRACTION REQUIRED</x:v>
      </x:c>
      <x:c r="I51" s="1622" t="str">
        <x:v>The public table route is verified, but the exact NAICS 212396 observation was not recovered in this run.</x:v>
      </x:c>
      <x:c r="K51" s="1622" t="str">
        <x:v>2024 revised / actual exact value</x:v>
      </x:c>
      <x:c r="L51" s="1622" t="str">
        <x:v>Not recovered</x:v>
      </x:c>
      <x:c r="M51" s="1631" t="str">
        <x:v>OPEN</x:v>
      </x:c>
      <x:c r="N51" s="1622" t="str">
        <x:v>No exact revision or PIM input authorized</x:v>
      </x:c>
    </x:row>
    <x:row r="52">
      <x:c r="A52" s="1640" t="n">
        <x:v>2019</x:v>
      </x:c>
      <x:c r="B52" s="1626" t="str">
        <x:v>CURRENT CUBE — VALUE NOT EXTRACTED</x:v>
      </x:c>
      <x:c r="C52" s="1643"/>
      <x:c r="D52" s="1626" t="str">
        <x:v>Missing exact row</x:v>
      </x:c>
      <x:c r="E52" s="1626" t="str">
        <x:v>Statistics Canada table 34-10-0036-01</x:v>
      </x:c>
      <x:c r="F52" s="1626" t="str">
        <x:v>https://www150.statcan.gc.ca/t1/tbl1/en/tv.action?pid=3410003601</x:v>
      </x:c>
      <x:c r="G52" s="1622" t="str">
        <x:v>NOT AUTHORIZED</x:v>
      </x:c>
      <x:c r="H52" s="1631" t="str">
        <x:v>CUBE EXTRACTION REQUIRED</x:v>
      </x:c>
      <x:c r="I52" s="1622" t="str">
        <x:v>The public table route is verified, but the exact NAICS 212396 observation was not recovered in this run.</x:v>
      </x:c>
      <x:c r="K52" s="1622" t="str">
        <x:v>2025 preliminary public control</x:v>
      </x:c>
      <x:c r="L52" s="1622" t="str">
        <x:v>$4,223.7M</x:v>
      </x:c>
      <x:c r="M52" s="1635" t="str">
        <x:v>PASS</x:v>
      </x:c>
      <x:c r="N52" s="1622" t="str">
        <x:v>Preserved as preliminary evidence</x:v>
      </x:c>
    </x:row>
    <x:row r="53">
      <x:c r="A53" s="1640" t="n">
        <x:v>2020</x:v>
      </x:c>
      <x:c r="B53" s="1626" t="str">
        <x:v>CURRENT CUBE — VALUE NOT EXTRACTED</x:v>
      </x:c>
      <x:c r="C53" s="1643"/>
      <x:c r="D53" s="1626" t="str">
        <x:v>Missing exact row</x:v>
      </x:c>
      <x:c r="E53" s="1626" t="str">
        <x:v>Statistics Canada table 34-10-0036-01</x:v>
      </x:c>
      <x:c r="F53" s="1626" t="str">
        <x:v>https://www150.statcan.gc.ca/t1/tbl1/en/tv.action?pid=3410003601</x:v>
      </x:c>
      <x:c r="G53" s="1622" t="str">
        <x:v>NOT AUTHORIZED</x:v>
      </x:c>
      <x:c r="H53" s="1631" t="str">
        <x:v>CUBE EXTRACTION REQUIRED</x:v>
      </x:c>
      <x:c r="I53" s="1622" t="str">
        <x:v>The public table route is verified, but the exact NAICS 212396 observation was not recovered in this run.</x:v>
      </x:c>
      <x:c r="K53" s="1622" t="str">
        <x:v>2026 intentions</x:v>
      </x:c>
      <x:c r="L53" s="1622" t="str">
        <x:v>$3.5B rounded</x:v>
      </x:c>
      <x:c r="M53" s="1631" t="str">
        <x:v>EXCLUDED</x:v>
      </x:c>
      <x:c r="N53" s="1622" t="str">
        <x:v>No historical-flow use</x:v>
      </x:c>
    </x:row>
    <x:row r="54">
      <x:c r="A54" s="1640" t="n">
        <x:v>2021</x:v>
      </x:c>
      <x:c r="B54" s="1626" t="str">
        <x:v>CURRENT CUBE — VALUE NOT EXTRACTED</x:v>
      </x:c>
      <x:c r="C54" s="1643"/>
      <x:c r="D54" s="1626" t="str">
        <x:v>Missing exact row</x:v>
      </x:c>
      <x:c r="E54" s="1626" t="str">
        <x:v>Statistics Canada table 34-10-0036-01</x:v>
      </x:c>
      <x:c r="F54" s="1626" t="str">
        <x:v>https://www150.statcan.gc.ca/t1/tbl1/en/tv.action?pid=3410003601</x:v>
      </x:c>
      <x:c r="G54" s="1622" t="str">
        <x:v>NOT AUTHORIZED</x:v>
      </x:c>
      <x:c r="H54" s="1631" t="str">
        <x:v>CUBE EXTRACTION REQUIRED</x:v>
      </x:c>
      <x:c r="I54" s="1622" t="str">
        <x:v>The public table route is verified, but the exact NAICS 212396 observation was not recovered in this run.</x:v>
      </x:c>
      <x:c r="K54" s="1623" t="str">
        <x:v>Asset-level investment series</x:v>
      </x:c>
      <x:c r="L54" s="1623" t="str">
        <x:v>Table exists; potash rows unverified</x:v>
      </x:c>
      <x:c r="M54" s="1639" t="str">
        <x:v>LOCKED</x:v>
      </x:c>
      <x:c r="N54" s="1623" t="str">
        <x:v>No asset PIM authorized</x:v>
      </x:c>
    </x:row>
    <x:row r="55">
      <x:c r="A55" s="1640" t="n">
        <x:v>2022</x:v>
      </x:c>
      <x:c r="B55" s="1626" t="str">
        <x:v>CURRENT CUBE — VALUE NOT EXTRACTED</x:v>
      </x:c>
      <x:c r="C55" s="1643"/>
      <x:c r="D55" s="1626" t="str">
        <x:v>Missing exact row</x:v>
      </x:c>
      <x:c r="E55" s="1626" t="str">
        <x:v>Statistics Canada table 34-10-0036-01</x:v>
      </x:c>
      <x:c r="F55" s="1626" t="str">
        <x:v>https://www150.statcan.gc.ca/t1/tbl1/en/tv.action?pid=3410003601</x:v>
      </x:c>
      <x:c r="G55" s="1622" t="str">
        <x:v>NOT AUTHORIZED</x:v>
      </x:c>
      <x:c r="H55" s="1631" t="str">
        <x:v>CUBE EXTRACTION REQUIRED</x:v>
      </x:c>
      <x:c r="I55" s="1622" t="str">
        <x:v>The public table route is verified, but the exact NAICS 212396 observation was not recovered in this run.</x:v>
      </x:c>
    </x:row>
    <x:row r="56">
      <x:c r="A56" s="1640" t="n">
        <x:v>2023</x:v>
      </x:c>
      <x:c r="B56" s="1626" t="str">
        <x:v>REPORTED ACTUAL — rounded</x:v>
      </x:c>
      <x:c r="C56" s="1643" t="n">
        <x:v>3100</x:v>
      </x:c>
      <x:c r="D56" s="1626" t="str">
        <x:v>Approximate ($3.1B)</x:v>
      </x:c>
      <x:c r="E56" s="1626" t="str">
        <x:v>NRCan minerals-sector CAPEX bulletin (June 2025 vintage)</x:v>
      </x:c>
      <x:c r="F56" s="1626" t="str">
        <x:v>https://natural-resources.canada.ca/minerals-mining/mining-data-statistics-analysis/minerals-mining-publications/capital-expenditures</x:v>
      </x:c>
      <x:c r="G56" s="1622" t="str">
        <x:v>FLOW CONTROL ONLY</x:v>
      </x:c>
      <x:c r="H56" s="1633" t="str">
        <x:v>PARTIAL</x:v>
      </x:c>
      <x:c r="I56" s="1622" t="str">
        <x:v>Rounded public control; exact Statistics Canada cube value is still required for a PIM.</x:v>
      </x:c>
    </x:row>
    <x:row r="57">
      <x:c r="A57" s="1640" t="n">
        <x:v>2024</x:v>
      </x:c>
      <x:c r="B57" s="1626" t="str">
        <x:v>PRELIMINARY — June 2025 vintage</x:v>
      </x:c>
      <x:c r="C57" s="1643" t="n">
        <x:v>4477.7</x:v>
      </x:c>
      <x:c r="D57" s="1626" t="str">
        <x:v>Exact published preliminary</x:v>
      </x:c>
      <x:c r="E57" s="1626" t="str">
        <x:v>NRCan minerals-sector CAPEX bulletin (June 2025 vintage)</x:v>
      </x:c>
      <x:c r="F57" s="1626" t="str">
        <x:v>https://natural-resources.canada.ca/minerals-mining/mining-data-statistics-analysis/minerals-mining-publications/capital-expenditures</x:v>
      </x:c>
      <x:c r="G57" s="1622" t="str">
        <x:v>VINTAGE CONTROL ONLY</x:v>
      </x:c>
      <x:c r="H57" s="1635" t="str">
        <x:v>VERIFIED PRELIMINARY</x:v>
      </x:c>
      <x:c r="I57" s="1622" t="str">
        <x:v>Must not be treated as final: the later 2026 bulletin implies a substantial downward revision.</x:v>
      </x:c>
    </x:row>
    <x:row r="58">
      <x:c r="A58" s="1640" t="n">
        <x:v>2024</x:v>
      </x:c>
      <x:c r="B58" s="1626" t="str">
        <x:v>REVISED / ACTUAL — February 2026 vintage</x:v>
      </x:c>
      <x:c r="C58" s="1643"/>
      <x:c r="D58" s="1626" t="str">
        <x:v>Exact value not recovered</x:v>
      </x:c>
      <x:c r="E58" s="1626" t="str">
        <x:v>Statistics Canada 2026 capital-expenditure release / NRCan current bulletin</x:v>
      </x:c>
      <x:c r="F58" s="1626" t="str">
        <x:v>https://www150.statcan.gc.ca/t1/tbl1/en/tv.action?pid=3410003601</x:v>
      </x:c>
      <x:c r="G58" s="1622" t="str">
        <x:v>NOT AUTHORIZED</x:v>
      </x:c>
      <x:c r="H58" s="1631" t="str">
        <x:v>EXACT REVISED VALUE REQUIRED</x:v>
      </x:c>
      <x:c r="I58" s="1622" t="str">
        <x:v>Current public text indicates roughly $3.1B through the 2025 growth comparison, but no exact value is inserted.</x:v>
      </x:c>
    </x:row>
    <x:row r="59">
      <x:c r="A59" s="1640" t="n">
        <x:v>2025</x:v>
      </x:c>
      <x:c r="B59" s="1626" t="str">
        <x:v>PRELIMINARY — February 2026 vintage</x:v>
      </x:c>
      <x:c r="C59" s="1643" t="n">
        <x:v>4223.7</x:v>
      </x:c>
      <x:c r="D59" s="1626" t="str">
        <x:v>Exact published preliminary</x:v>
      </x:c>
      <x:c r="E59" s="1626" t="str">
        <x:v>NRCan Capital Expenditures bulletin (May 2026)</x:v>
      </x:c>
      <x:c r="F59" s="1626" t="str">
        <x:v>https://natural-resources.canada.ca/minerals-mining/mining-data-statistics-analysis/minerals-mining-publications/capital-expenditures</x:v>
      </x:c>
      <x:c r="G59" s="1622" t="str">
        <x:v>FLOW CONTROL ONLY</x:v>
      </x:c>
      <x:c r="H59" s="1635" t="str">
        <x:v>VERIFIED PRELIMINARY</x:v>
      </x:c>
      <x:c r="I59" s="1622" t="str">
        <x:v>Public control sourced to NRCan and Statistics Canada; still not a final actual flow.</x:v>
      </x:c>
    </x:row>
    <x:row r="60">
      <x:c r="A60" s="1641" t="n">
        <x:v>2026</x:v>
      </x:c>
      <x:c r="B60" s="1628" t="str">
        <x:v>INTENTIONS</x:v>
      </x:c>
      <x:c r="C60" s="1644" t="n">
        <x:v>3500</x:v>
      </x:c>
      <x:c r="D60" s="1628" t="str">
        <x:v>Approximate ($3.5B)</x:v>
      </x:c>
      <x:c r="E60" s="1628" t="str">
        <x:v>NRCan Capital Expenditures bulletin (May 2026)</x:v>
      </x:c>
      <x:c r="F60" s="1628" t="str">
        <x:v>https://natural-resources.canada.ca/minerals-mining/mining-data-statistics-analysis/minerals-mining-publications/capital-expenditures</x:v>
      </x:c>
      <x:c r="G60" s="1623" t="str">
        <x:v>NO FINAL-FLOW USE</x:v>
      </x:c>
      <x:c r="H60" s="1637" t="str">
        <x:v>INTENTIONS</x:v>
      </x:c>
      <x:c r="I60" s="1623" t="str">
        <x:v>Forward-looking spending intention; excluded from any historical PIM.</x:v>
      </x:c>
    </x:row>
    <x:row r="61">
      <x:c r="A61" s="1457"/>
      <x:c r="C61" s="1645"/>
    </x:row>
  </x:sheetData>
  <x:mergeCells>
    <x:mergeCell ref="A1:R1"/>
    <x:mergeCell ref="A2:R2"/>
    <x:mergeCell ref="A4:I4"/>
    <x:mergeCell ref="K4:R4"/>
    <x:mergeCell ref="K31:R31"/>
    <x:mergeCell ref="A43:R43"/>
    <x:mergeCell ref="A44:R46"/>
    <x:mergeCell ref="A46:I46"/>
    <x:mergeCell ref="K46:R46"/>
  </x:mergeCells>
  <x:conditionalFormatting sqref="P6:P16">
    <x:cfRule type="expression" dxfId="34" priority="1">
      <x:formula>P6="NO"</x:formula>
    </x:cfRule>
  </x:conditionalFormatting>
  <x:pageMargins left="0.7" right="0.7" top="0.75" bottom="0.75" header="0.3" footer="0.3"/>
  <x:drawing xmlns:r="http://schemas.openxmlformats.org/officeDocument/2006/relationships" r:id="Ra578d97fc6c44cbe"/>
</x:worksheet>
</file>

<file path=xl/worksheets/sheet51.xml><?xml version="1.0" encoding="utf-8"?>
<x:worksheet xmlns:x="http://schemas.openxmlformats.org/spreadsheetml/2006/main">
  <x:sheetFormatPr defaultRowHeight="15"/>
  <x:cols>
    <x:col min="1" max="1" width="15" hidden="0" customWidth="1"/>
    <x:col min="2" max="2" width="31" hidden="0" customWidth="1"/>
    <x:col min="3" max="3" width="40" hidden="0" customWidth="1"/>
    <x:col min="4" max="4" width="16" hidden="0" customWidth="1"/>
    <x:col min="5" max="5" width="16" hidden="0" customWidth="1"/>
    <x:col min="6" max="6" width="23" hidden="0" customWidth="1"/>
    <x:col min="7" max="7" width="38" hidden="0" customWidth="1"/>
    <x:col min="8" max="8" width="23" hidden="0" customWidth="1"/>
    <x:col min="9" max="9" width="42" hidden="0" customWidth="1"/>
    <x:col min="10" max="10" width="28" hidden="0" customWidth="1"/>
  </x:cols>
  <x:sheetData>
    <x:row r="1" ht="28" customHeight="1">
      <x:c r="A1" s="1649" t="str">
        <x:v>Potash Public Asset-Level Investment Cube Audit</x:v>
      </x:c>
      <x:c r="B1" s="1649"/>
      <x:c r="C1" s="1649"/>
      <x:c r="D1" s="1649"/>
      <x:c r="E1" s="1649"/>
      <x:c r="F1" s="1649"/>
      <x:c r="G1" s="1649"/>
      <x:c r="H1" s="1649"/>
      <x:c r="I1" s="1649"/>
      <x:c r="J1" s="1649"/>
    </x:row>
    <x:row r="2" ht="42" customHeight="1">
      <x:c r="A2" s="1653" t="str">
        <x:v>Audit of Statistics Canada table 34-10-0039-01. The table architecture is verified; a complete, unsuppressed NAICS 212396-by-asset series has not been extracted and therefore cannot enter the PIM.</x:v>
      </x:c>
      <x:c r="B2" s="1653"/>
      <x:c r="C2" s="1653"/>
      <x:c r="D2" s="1653"/>
      <x:c r="E2" s="1653"/>
      <x:c r="F2" s="1653"/>
      <x:c r="G2" s="1653"/>
      <x:c r="H2" s="1653"/>
      <x:c r="I2" s="1653"/>
      <x:c r="J2" s="1653"/>
    </x:row>
    <x:row r="4">
      <x:c r="A4" s="1656" t="str">
        <x:v>Mechanical authorization result</x:v>
      </x:c>
      <x:c r="B4" s="1656"/>
      <x:c r="C4" s="1656"/>
      <x:c r="D4" s="1656"/>
      <x:c r="E4" s="1656"/>
      <x:c r="F4" s="1656"/>
      <x:c r="G4" s="1656"/>
      <x:c r="H4" s="1656"/>
      <x:c r="I4" s="1656"/>
      <x:c r="J4" s="1656"/>
    </x:row>
    <x:row r="5">
      <x:c r="A5" s="1614" t="str">
        <x:v>Control</x:v>
      </x:c>
      <x:c r="B5" s="1616" t="str">
        <x:v>Result</x:v>
      </x:c>
      <x:c r="D5" s="1614" t="str">
        <x:v>Source table</x:v>
      </x:c>
      <x:c r="E5" s="1615" t="str">
        <x:v>Table title</x:v>
      </x:c>
      <x:c r="F5" s="1615" t="str">
        <x:v>Frequency</x:v>
      </x:c>
      <x:c r="G5" s="1615" t="str">
        <x:v>Published span</x:v>
      </x:c>
      <x:c r="H5" s="1615" t="str">
        <x:v>Latest release</x:v>
      </x:c>
      <x:c r="I5" s="1615" t="str">
        <x:v>Source URL</x:v>
      </x:c>
      <x:c r="J5" s="1616" t="str">
        <x:v>Evidence ruling</x:v>
      </x:c>
    </x:row>
    <x:row r="6">
      <x:c r="A6" s="1622" t="str">
        <x:v>Table architecture</x:v>
      </x:c>
      <x:c r="B6" s="1635" t="str">
        <x:v>VERIFIED</x:v>
      </x:c>
      <x:c r="D6" s="1628" t="str">
        <x:v>34-10-0039-01</x:v>
      </x:c>
      <x:c r="E6" s="1628" t="str">
        <x:v>Capital expenditures, non-residential tangible assets, by industry and type of asset</x:v>
      </x:c>
      <x:c r="F6" s="1628" t="str">
        <x:v>Annual</x:v>
      </x:c>
      <x:c r="G6" s="1628" t="str">
        <x:v>2006 to current</x:v>
      </x:c>
      <x:c r="H6" s="1628" t="str">
        <x:v>2026-02-25</x:v>
      </x:c>
      <x:c r="I6" s="1628" t="str">
        <x:v>https://www150.statcan.gc.ca/t1/tbl1/en/tv.action?pid=3410003901</x:v>
      </x:c>
      <x:c r="J6" s="1623" t="str">
        <x:v>Cube existence and dimensions verified; row-level potash availability remains unproven</x:v>
      </x:c>
    </x:row>
    <x:row r="7">
      <x:c r="A7" s="1622" t="str">
        <x:v>Coverage stated by Statistics Canada</x:v>
      </x:c>
      <x:c r="B7" s="1622" t="str">
        <x:v>Annual, Canada, 2006 to current</x:v>
      </x:c>
    </x:row>
    <x:row r="8">
      <x:c r="A8" s="1622" t="str">
        <x:v>Exact potash-by-asset observations</x:v>
      </x:c>
      <x:c r="B8" s="1631" t="str">
        <x:v>NOT VERIFIED</x:v>
      </x:c>
    </x:row>
    <x:row r="9">
      <x:c r="A9" s="1622" t="str">
        <x:v>Asset PIM authorization</x:v>
      </x:c>
      <x:c r="B9" s="1631" t="str">
        <x:v>LOCKED</x:v>
      </x:c>
    </x:row>
    <x:row r="10">
      <x:c r="A10" s="1623" t="str">
        <x:v>Commodity-rent consequence</x:v>
      </x:c>
      <x:c r="B10" s="1639" t="str">
        <x:v>NO CHANGE — RENT REMAINS LOCKED</x:v>
      </x:c>
    </x:row>
    <x:row r="12">
      <x:c r="A12" s="1656" t="str">
        <x:v>Requirement-by-requirement audit</x:v>
      </x:c>
      <x:c r="B12" s="1656"/>
      <x:c r="C12" s="1656"/>
      <x:c r="D12" s="1656"/>
      <x:c r="E12" s="1656"/>
      <x:c r="F12" s="1656"/>
      <x:c r="G12" s="1656"/>
      <x:c r="H12" s="1656"/>
      <x:c r="I12" s="1656"/>
      <x:c r="J12" s="1656"/>
    </x:row>
    <x:row r="13">
      <x:c r="A13" s="1614" t="str">
        <x:v>Requirement ID</x:v>
      </x:c>
      <x:c r="B13" s="1615" t="str">
        <x:v>Test</x:v>
      </x:c>
      <x:c r="C13" s="1615" t="str">
        <x:v>Observed evidence</x:v>
      </x:c>
      <x:c r="D13" s="1615" t="str">
        <x:v>Status</x:v>
      </x:c>
      <x:c r="E13" s="1615" t="str">
        <x:v>Mandatory?</x:v>
      </x:c>
      <x:c r="F13" s="1615" t="str">
        <x:v>PIM use</x:v>
      </x:c>
      <x:c r="G13" s="1615" t="str">
        <x:v>Next action</x:v>
      </x:c>
      <x:c r="H13" s="1615" t="str">
        <x:v>Source</x:v>
      </x:c>
      <x:c r="I13" s="1615" t="str">
        <x:v>Source URL</x:v>
      </x:c>
      <x:c r="J13" s="1616" t="str">
        <x:v>Gate consequence</x:v>
      </x:c>
    </x:row>
    <x:row r="14">
      <x:c r="A14" s="1626" t="str">
        <x:v>ASSET-01</x:v>
      </x:c>
      <x:c r="B14" s="1626" t="str">
        <x:v>Official current asset-level table exists</x:v>
      </x:c>
      <x:c r="C14" s="1626" t="str">
        <x:v>Table 34-10-0039-01 is published and downloadable.</x:v>
      </x:c>
      <x:c r="D14" s="1635" t="str">
        <x:v>PASS</x:v>
      </x:c>
      <x:c r="E14" s="1626" t="str">
        <x:v>YES</x:v>
      </x:c>
      <x:c r="F14" s="1626" t="str">
        <x:v>Source architecture</x:v>
      </x:c>
      <x:c r="G14" s="1626" t="str">
        <x:v>Retain table identifier and release metadata.</x:v>
      </x:c>
      <x:c r="H14" s="1626" t="str">
        <x:v>Statistics Canada</x:v>
      </x:c>
      <x:c r="I14" s="1626" t="str">
        <x:v>https://www150.statcan.gc.ca/t1/tbl1/en/tv.action?pid=3410003901</x:v>
      </x:c>
      <x:c r="J14" s="1626" t="str">
        <x:v>No gate failure</x:v>
      </x:c>
    </x:row>
    <x:row r="15">
      <x:c r="A15" s="1626" t="str">
        <x:v>ASSET-02</x:v>
      </x:c>
      <x:c r="B15" s="1626" t="str">
        <x:v>Industry dimension is part of the table</x:v>
      </x:c>
      <x:c r="C15" s="1626" t="str">
        <x:v>Statistics Canada describes the table as capital expenditures by NAICS and asset.</x:v>
      </x:c>
      <x:c r="D15" s="1635" t="str">
        <x:v>PASS</x:v>
      </x:c>
      <x:c r="E15" s="1626" t="str">
        <x:v>YES</x:v>
      </x:c>
      <x:c r="F15" s="1626" t="str">
        <x:v>Potential potash filter</x:v>
      </x:c>
      <x:c r="G15" s="1626" t="str">
        <x:v>Extract the full cube rather than rely on displayed aggregate rows.</x:v>
      </x:c>
      <x:c r="H15" s="1626" t="str">
        <x:v>Statistics Canada catalogue</x:v>
      </x:c>
      <x:c r="I15" s="1626" t="str">
        <x:v>https://www150.statcan.gc.ca/n1/en/catalogue/3410003901</x:v>
      </x:c>
      <x:c r="J15" s="1626" t="str">
        <x:v>No gate failure</x:v>
      </x:c>
    </x:row>
    <x:row r="16">
      <x:c r="A16" s="1626" t="str">
        <x:v>ASSET-03</x:v>
      </x:c>
      <x:c r="B16" s="1626" t="str">
        <x:v>Asset dimension is part of the table</x:v>
      </x:c>
      <x:c r="C16" s="1626" t="str">
        <x:v>The title and metadata explicitly specify type of asset.</x:v>
      </x:c>
      <x:c r="D16" s="1635" t="str">
        <x:v>PASS</x:v>
      </x:c>
      <x:c r="E16" s="1626" t="str">
        <x:v>YES</x:v>
      </x:c>
      <x:c r="F16" s="1626" t="str">
        <x:v>Potential structures/M&amp;E split</x:v>
      </x:c>
      <x:c r="G16" s="1626" t="str">
        <x:v>Preserve each available asset category and status symbol.</x:v>
      </x:c>
      <x:c r="H16" s="1626" t="str">
        <x:v>Statistics Canada</x:v>
      </x:c>
      <x:c r="I16" s="1626" t="str">
        <x:v>https://www150.statcan.gc.ca/t1/tbl1/en/tv.action?pid=3410003901</x:v>
      </x:c>
      <x:c r="J16" s="1626" t="str">
        <x:v>No gate failure</x:v>
      </x:c>
    </x:row>
    <x:row r="17">
      <x:c r="A17" s="1626" t="str">
        <x:v>ASSET-04</x:v>
      </x:c>
      <x:c r="B17" s="1626" t="str">
        <x:v>Exact NAICS 212396 member appears in downloaded cube</x:v>
      </x:c>
      <x:c r="C17" s="1626" t="str">
        <x:v>Not demonstrated from the public search result or local archive.</x:v>
      </x:c>
      <x:c r="D17" s="1631" t="str">
        <x:v>NOT VERIFIED</x:v>
      </x:c>
      <x:c r="E17" s="1626" t="str">
        <x:v>YES</x:v>
      </x:c>
      <x:c r="F17" s="1626" t="str">
        <x:v>None</x:v>
      </x:c>
      <x:c r="G17" s="1626" t="str">
        <x:v>Download the full CSV cube and test the industry labels directly.</x:v>
      </x:c>
      <x:c r="H17" s="1626" t="str">
        <x:v>Statistics Canada</x:v>
      </x:c>
      <x:c r="I17" s="1626" t="str">
        <x:v>https://www150.statcan.gc.ca/t1/tbl1/en/tv.action?pid=3410003901</x:v>
      </x:c>
      <x:c r="J17" s="1626" t="str">
        <x:v>Locks asset PIM</x:v>
      </x:c>
    </x:row>
    <x:row r="18">
      <x:c r="A18" s="1626" t="str">
        <x:v>ASSET-05</x:v>
      </x:c>
      <x:c r="B18" s="1626" t="str">
        <x:v>Potash-by-asset values are unsuppressed for all required years</x:v>
      </x:c>
      <x:c r="C18" s="1626" t="str">
        <x:v>Not demonstrated.</x:v>
      </x:c>
      <x:c r="D18" s="1631" t="str">
        <x:v>NOT VERIFIED</x:v>
      </x:c>
      <x:c r="E18" s="1626" t="str">
        <x:v>YES</x:v>
      </x:c>
      <x:c r="F18" s="1626" t="str">
        <x:v>None</x:v>
      </x:c>
      <x:c r="G18" s="1626" t="str">
        <x:v>Preserve suppression symbols and identify coverage gaps by year/asset.</x:v>
      </x:c>
      <x:c r="H18" s="1626" t="str">
        <x:v>Statistics Canada</x:v>
      </x:c>
      <x:c r="I18" s="1626" t="str">
        <x:v>https://www150.statcan.gc.ca/t1/tbl1/en/tv.action?pid=3410003901</x:v>
      </x:c>
      <x:c r="J18" s="1626" t="str">
        <x:v>Locks asset PIM</x:v>
      </x:c>
    </x:row>
    <x:row r="19">
      <x:c r="A19" s="1626" t="str">
        <x:v>ASSET-06</x:v>
      </x:c>
      <x:c r="B19" s="1626" t="str">
        <x:v>Asset categories sum to the detailed total-CAPEX row</x:v>
      </x:c>
      <x:c r="C19" s="1626" t="str">
        <x:v>No extracted potash rows are available for reconciliation.</x:v>
      </x:c>
      <x:c r="D19" s="1631" t="str">
        <x:v>NOT TESTED</x:v>
      </x:c>
      <x:c r="E19" s="1626" t="str">
        <x:v>YES</x:v>
      </x:c>
      <x:c r="F19" s="1626" t="str">
        <x:v>None</x:v>
      </x:c>
      <x:c r="G19" s="1626" t="str">
        <x:v>Reconcile asset sum to table 34-10-0036-01 by year and vintage.</x:v>
      </x:c>
      <x:c r="H19" s="1626" t="str">
        <x:v>Statistics Canada</x:v>
      </x:c>
      <x:c r="I19" s="1626" t="str">
        <x:v>https://www150.statcan.gc.ca/t1/tbl1/en/tv.action?pid=3410003601</x:v>
      </x:c>
      <x:c r="J19" s="1626" t="str">
        <x:v>Locks asset PIM</x:v>
      </x:c>
    </x:row>
    <x:row r="20">
      <x:c r="A20" s="1626" t="str">
        <x:v>ASSET-07</x:v>
      </x:c>
      <x:c r="B20" s="1626" t="str">
        <x:v>Methodology break from 2013 is controlled</x:v>
      </x:c>
      <x:c r="C20" s="1626" t="str">
        <x:v>Statistics Canada states this table replaced archived tables from reference year 2013 because of methodology changes.</x:v>
      </x:c>
      <x:c r="D20" s="1633" t="str">
        <x:v>PASS WITH BREAK</x:v>
      </x:c>
      <x:c r="E20" s="1626" t="str">
        <x:v>YES</x:v>
      </x:c>
      <x:c r="F20" s="1626" t="str">
        <x:v>Series governance</x:v>
      </x:c>
      <x:c r="G20" s="1626" t="str">
        <x:v>Do not splice pre/post-2013 asset series without an explicit concordance.</x:v>
      </x:c>
      <x:c r="H20" s="1626" t="str">
        <x:v>Statistics Canada</x:v>
      </x:c>
      <x:c r="I20" s="1626" t="str">
        <x:v>https://www150.statcan.gc.ca/t1/tbl1/en/tv.action?pid=3410003901</x:v>
      </x:c>
      <x:c r="J20" s="1626" t="str">
        <x:v>Requires documented bridge</x:v>
      </x:c>
    </x:row>
    <x:row r="21">
      <x:c r="A21" s="1626" t="str">
        <x:v>ASSET-08</x:v>
      </x:c>
      <x:c r="B21" s="1626" t="str">
        <x:v>Actual, preliminary and intentions vintages are distinguishable</x:v>
      </x:c>
      <x:c r="C21" s="1626" t="str">
        <x:v>The source survey publishes actual, preliminary actual and intentions.</x:v>
      </x:c>
      <x:c r="D21" s="1635" t="str">
        <x:v>PASS</x:v>
      </x:c>
      <x:c r="E21" s="1626" t="str">
        <x:v>YES</x:v>
      </x:c>
      <x:c r="F21" s="1626" t="str">
        <x:v>Vintage control</x:v>
      </x:c>
      <x:c r="G21" s="1626" t="str">
        <x:v>Use actual only where available; preserve all status flags.</x:v>
      </x:c>
      <x:c r="H21" s="1626" t="str">
        <x:v>Statistics Canada</x:v>
      </x:c>
      <x:c r="I21" s="1626" t="str">
        <x:v>https://www150.statcan.gc.ca/n1/en/catalogue/34100039</x:v>
      </x:c>
      <x:c r="J21" s="1626" t="str">
        <x:v>No direct gate failure</x:v>
      </x:c>
    </x:row>
    <x:row r="22">
      <x:c r="A22" s="1628" t="str">
        <x:v>ASSET-09</x:v>
      </x:c>
      <x:c r="B22" s="1628" t="str">
        <x:v>Compatible deflators and PIM parameters are mapped</x:v>
      </x:c>
      <x:c r="C22" s="1628" t="str">
        <x:v>Not completed in this stage.</x:v>
      </x:c>
      <x:c r="D22" s="1639" t="str">
        <x:v>MISSING</x:v>
      </x:c>
      <x:c r="E22" s="1628" t="str">
        <x:v>YES</x:v>
      </x:c>
      <x:c r="F22" s="1628" t="str">
        <x:v>None</x:v>
      </x:c>
      <x:c r="G22" s="1628" t="str">
        <x:v>Map each asset category to the official price and depreciation inputs.</x:v>
      </x:c>
      <x:c r="H22" s="1628" t="str">
        <x:v>SCFNRC methodology</x:v>
      </x:c>
      <x:c r="I22" s="1628" t="str">
        <x:v>https://www23.statcan.gc.ca/imdb/p2SV.pl?Function=getSurvey&amp;SDDS=2820</x:v>
      </x:c>
      <x:c r="J22" s="1628" t="str">
        <x:v>Locks PIM</x:v>
      </x:c>
    </x:row>
    <x:row r="24">
      <x:c r="A24" s="1656" t="str">
        <x:v>Terminal ruling</x:v>
      </x:c>
      <x:c r="B24" s="1656"/>
      <x:c r="C24" s="1656"/>
      <x:c r="D24" s="1656"/>
      <x:c r="E24" s="1656"/>
      <x:c r="F24" s="1656"/>
      <x:c r="G24" s="1656"/>
      <x:c r="H24" s="1656"/>
      <x:c r="I24" s="1656"/>
      <x:c r="J24" s="1656"/>
    </x:row>
    <x:row r="25">
      <x:c r="A25" s="1664" t="str">
        <x:v>The public asset-level cube is a valid acquisition target, but the model has not established that a complete, unsuppressed Potash mining (NAICS 212396) series exists inside it. Until the full cube is extracted, suppression symbols are preserved, asset totals reconcile to detailed total CAPEX, and compatible deflators/parameters are mapped, no potash asset PIM, produced-capital stock, CFC, normal return or commodity economic rent is authorized.</x:v>
      </x:c>
      <x:c r="B25" s="1664"/>
      <x:c r="C25" s="1664"/>
      <x:c r="D25" s="1664"/>
      <x:c r="E25" s="1664"/>
      <x:c r="F25" s="1664"/>
      <x:c r="G25" s="1664"/>
      <x:c r="H25" s="1664"/>
      <x:c r="I25" s="1664"/>
      <x:c r="J25" s="1664"/>
    </x:row>
    <x:row r="26">
      <x:c r="A26" s="1664"/>
      <x:c r="B26" s="1664"/>
      <x:c r="C26" s="1664"/>
      <x:c r="D26" s="1664"/>
      <x:c r="E26" s="1664"/>
      <x:c r="F26" s="1664"/>
      <x:c r="G26" s="1664"/>
      <x:c r="H26" s="1664"/>
      <x:c r="I26" s="1664"/>
      <x:c r="J26" s="1664"/>
    </x:row>
    <x:row r="27">
      <x:c r="A27" s="1664"/>
      <x:c r="B27" s="1664"/>
      <x:c r="C27" s="1664"/>
      <x:c r="D27" s="1664"/>
      <x:c r="E27" s="1664"/>
      <x:c r="F27" s="1664"/>
      <x:c r="G27" s="1664"/>
      <x:c r="H27" s="1664"/>
      <x:c r="I27" s="1664"/>
      <x:c r="J27" s="1664"/>
    </x:row>
  </x:sheetData>
  <x:mergeCells>
    <x:mergeCell ref="A1:J1"/>
    <x:mergeCell ref="A2:J2"/>
    <x:mergeCell ref="A4:J4"/>
    <x:mergeCell ref="A12:J12"/>
    <x:mergeCell ref="A24:J24"/>
    <x:mergeCell ref="A25:J27"/>
  </x:mergeCells>
  <x:pageMargins left="0.7" right="0.7" top="0.75" bottom="0.75" header="0.3" footer="0.3"/>
</x:worksheet>
</file>

<file path=xl/worksheets/sheet52.xml><?xml version="1.0" encoding="utf-8"?>
<x:worksheet xmlns:x="http://schemas.openxmlformats.org/spreadsheetml/2006/main">
  <x:sheetFormatPr defaultRowHeight="15"/>
  <x:cols>
    <x:col min="1" max="1" width="20" hidden="0" customWidth="1"/>
    <x:col min="2" max="2" width="17" hidden="0" customWidth="1"/>
    <x:col min="3" max="3" width="17" hidden="0" customWidth="1"/>
    <x:col min="4" max="4" width="25" hidden="0" customWidth="1"/>
    <x:col min="5" max="5" width="29" hidden="0" customWidth="1"/>
    <x:col min="6" max="6" width="28" hidden="0" customWidth="1"/>
    <x:col min="7" max="7" width="40" hidden="0" customWidth="1"/>
    <x:col min="8" max="8" width="29" hidden="0" customWidth="1"/>
    <x:col min="9" max="9" width="29" hidden="0" customWidth="1"/>
    <x:col min="10" max="10" width="29" hidden="0" customWidth="1"/>
  </x:cols>
  <x:sheetData>
    <x:row r="1" ht="28" customHeight="1">
      <x:c r="A1" s="1649" t="str">
        <x:v>Alberta Oil-Sands Royalty Boundary Reconciliation — 2024</x:v>
      </x:c>
      <x:c r="B1" s="1649"/>
      <x:c r="C1" s="1649"/>
      <x:c r="D1" s="1649"/>
      <x:c r="E1" s="1649"/>
      <x:c r="F1" s="1649"/>
      <x:c r="G1" s="1649"/>
      <x:c r="H1" s="1649"/>
      <x:c r="I1" s="1649"/>
      <x:c r="J1" s="1649"/>
    </x:row>
    <x:row r="2" ht="42" customHeight="1">
      <x:c r="A2" s="1653" t="str">
        <x:v>Reconciles the calendar-year project-table total to broader calendar-year government-finance rent and adjacent fiscal-year public-account bitumen royalties. These totals use different scopes, periods and accounting bases; the bridge is diagnostic and does not create a resource-rent capture percentage.</x:v>
      </x:c>
      <x:c r="B2" s="1653"/>
      <x:c r="C2" s="1653"/>
      <x:c r="D2" s="1653"/>
      <x:c r="E2" s="1653"/>
      <x:c r="F2" s="1653"/>
      <x:c r="G2" s="1653"/>
      <x:c r="H2" s="1653"/>
      <x:c r="I2" s="1653"/>
      <x:c r="J2" s="1653"/>
    </x:row>
    <x:row r="4">
      <x:c r="A4" s="1656" t="str">
        <x:v>Reported totals by boundary</x:v>
      </x:c>
      <x:c r="B4" s="1656"/>
      <x:c r="C4" s="1656"/>
      <x:c r="D4" s="1656"/>
      <x:c r="E4" s="1656"/>
      <x:c r="F4" s="1656"/>
      <x:c r="G4" s="1656"/>
      <x:c r="H4" s="1656"/>
      <x:c r="I4" s="1656"/>
      <x:c r="J4" s="1656"/>
    </x:row>
    <x:row r="5">
      <x:c r="A5" s="1614" t="str">
        <x:v>Boundary ID</x:v>
      </x:c>
      <x:c r="B5" s="1615" t="str">
        <x:v>Reported amount ($B)</x:v>
      </x:c>
      <x:c r="C5" s="1615" t="str">
        <x:v>Reference period</x:v>
      </x:c>
      <x:c r="D5" s="1615" t="str">
        <x:v>Scope</x:v>
      </x:c>
      <x:c r="E5" s="1615" t="str">
        <x:v>Accounting basis</x:v>
      </x:c>
      <x:c r="F5" s="1615" t="str">
        <x:v>Source</x:v>
      </x:c>
      <x:c r="G5" s="1615" t="str">
        <x:v>Source URL</x:v>
      </x:c>
      <x:c r="H5" s="1615" t="str">
        <x:v>Comparability</x:v>
      </x:c>
      <x:c r="I5" s="1615" t="str">
        <x:v>Model use</x:v>
      </x:c>
      <x:c r="J5" s="1616" t="str">
        <x:v>Status</x:v>
      </x:c>
    </x:row>
    <x:row r="6">
      <x:c r="A6" s="1622" t="str">
        <x:v>AB-PROJECT-2024</x:v>
      </x:c>
      <x:c r="B6" s="1667" t="n">
        <x:f>'AB_OS_Fiscal_Diagnostic'!B22</x:f>
        <x:v>16.298923381</x:v>
      </x:c>
      <x:c r="C6" s="1622" t="str">
        <x:v>Calendar 2024</x:v>
      </x:c>
      <x:c r="D6" s="1622" t="str">
        <x:v>Approved Alberta oil-sands royalty projects in the published project table</x:v>
      </x:c>
      <x:c r="E6" s="1622" t="str">
        <x:v>Royalty-calculation accounts</x:v>
      </x:c>
      <x:c r="F6" s="1622" t="str">
        <x:v>Alberta oil-sands project data</x:v>
      </x:c>
      <x:c r="G6" s="1622" t="str">
        <x:v>https://www.alberta.ca/royalty-oil-sands-project-data.aspx</x:v>
      </x:c>
      <x:c r="H6" s="1622" t="str">
        <x:v>Not comparable to ordinary financial or national-accounts data</x:v>
      </x:c>
      <x:c r="I6" s="1622" t="str">
        <x:v>Observed oil-sands fiscal diagnostic</x:v>
      </x:c>
      <x:c r="J6" s="1635" t="str">
        <x:v>PASS</x:v>
      </x:c>
    </x:row>
    <x:row r="7">
      <x:c r="A7" s="1622" t="str">
        <x:v>CGFS-AB-OILGAS-2024</x:v>
      </x:c>
      <x:c r="B7" s="1667" t="n">
        <x:f>'CGFS_Rent_Components'!D14</x:f>
        <x:v>21.808</x:v>
      </x:c>
      <x:c r="C7" s="1622" t="str">
        <x:v>Calendar 2024</x:v>
      </x:c>
      <x:c r="D7" s="1622" t="str">
        <x:v>Alberta oil-and-gas rent under CGFS; broader than oil-sands project royalties</x:v>
      </x:c>
      <x:c r="E7" s="1622" t="str">
        <x:v>Government finance statistics</x:v>
      </x:c>
      <x:c r="F7" s="1622" t="str">
        <x:v>CGFS evidence extractor</x:v>
      </x:c>
      <x:c r="G7" s="1622" t="str">
        <x:v>https://www150.statcan.gc.ca/n1/tbl/csv/10100016-eng.zip</x:v>
      </x:c>
      <x:c r="H7" s="1622" t="str">
        <x:v>Broader commodity and institutional scope</x:v>
      </x:c>
      <x:c r="I7" s="1622" t="str">
        <x:v>Upper-scope government-rent control</x:v>
      </x:c>
      <x:c r="J7" s="1635" t="str">
        <x:v>PASS</x:v>
      </x:c>
    </x:row>
    <x:row r="8">
      <x:c r="A8" s="1622" t="str">
        <x:v>AB-PA-BITUMEN-2023-24</x:v>
      </x:c>
      <x:c r="B8" s="1668" t="n">
        <x:v>14.518</x:v>
      </x:c>
      <x:c r="C8" s="1622" t="str">
        <x:v>Fiscal year 2023-04-01 to 2024-03-31</x:v>
      </x:c>
      <x:c r="D8" s="1622" t="str">
        <x:v>Government of Alberta bitumen royalty revenue</x:v>
      </x:c>
      <x:c r="E8" s="1622" t="str">
        <x:v>Provincial fiscal accounts</x:v>
      </x:c>
      <x:c r="F8" s="1622" t="str">
        <x:v>Government of Alberta final results</x:v>
      </x:c>
      <x:c r="G8" s="1622" t="str">
        <x:v>https://www.alberta.ca/government-and-ministry-annual-reports</x:v>
      </x:c>
      <x:c r="H8" s="1622" t="str">
        <x:v>Fiscal year; not calendar year</x:v>
      </x:c>
      <x:c r="I8" s="1622" t="str">
        <x:v>Adjacent-period public-account control</x:v>
      </x:c>
      <x:c r="J8" s="1635" t="str">
        <x:v>PASS</x:v>
      </x:c>
    </x:row>
    <x:row r="9">
      <x:c r="A9" s="1623" t="str">
        <x:v>AB-PA-BITUMEN-2024-25</x:v>
      </x:c>
      <x:c r="B9" s="1669" t="n">
        <x:v>17.167</x:v>
      </x:c>
      <x:c r="C9" s="1623" t="str">
        <x:v>Fiscal year 2024-04-01 to 2025-03-31</x:v>
      </x:c>
      <x:c r="D9" s="1623" t="str">
        <x:v>Government of Alberta bitumen royalty revenue</x:v>
      </x:c>
      <x:c r="E9" s="1623" t="str">
        <x:v>Provincial fiscal accounts</x:v>
      </x:c>
      <x:c r="F9" s="1623" t="str">
        <x:v>Government of Alberta final results</x:v>
      </x:c>
      <x:c r="G9" s="1623" t="str">
        <x:v>https://www.alberta.ca/revenue</x:v>
      </x:c>
      <x:c r="H9" s="1623" t="str">
        <x:v>Fiscal year; not calendar year</x:v>
      </x:c>
      <x:c r="I9" s="1623" t="str">
        <x:v>Adjacent-period public-account control</x:v>
      </x:c>
      <x:c r="J9" s="1671" t="str">
        <x:v>PASS</x:v>
      </x:c>
    </x:row>
    <x:row r="12">
      <x:c r="A12" s="1656" t="str">
        <x:v>Scope and period bridge</x:v>
      </x:c>
      <x:c r="B12" s="1656"/>
      <x:c r="C12" s="1656"/>
      <x:c r="D12" s="1656"/>
      <x:c r="E12" s="1656"/>
      <x:c r="F12" s="1656"/>
      <x:c r="G12" s="1656"/>
      <x:c r="H12" s="1656"/>
      <x:c r="I12" s="1656"/>
      <x:c r="J12" s="1656"/>
    </x:row>
    <x:row r="13">
      <x:c r="A13" s="1614" t="str">
        <x:v>Test</x:v>
      </x:c>
      <x:c r="B13" s="1615" t="str">
        <x:v>Formula / amount</x:v>
      </x:c>
      <x:c r="C13" s="1615" t="str">
        <x:v>Result</x:v>
      </x:c>
      <x:c r="D13" s="1615" t="str">
        <x:v>Unit / ratio</x:v>
      </x:c>
      <x:c r="E13" s="1615" t="str">
        <x:v>Interpretation</x:v>
      </x:c>
      <x:c r="F13" s="1615" t="str">
        <x:v>Pass condition</x:v>
      </x:c>
      <x:c r="G13" s="1615" t="str">
        <x:v>Status</x:v>
      </x:c>
      <x:c r="H13" s="1615" t="str">
        <x:v>Publication authority</x:v>
      </x:c>
      <x:c r="I13" s="1615" t="str">
        <x:v>Model consequence</x:v>
      </x:c>
      <x:c r="J13" s="1616" t="str">
        <x:v>Notes</x:v>
      </x:c>
    </x:row>
    <x:row r="14">
      <x:c r="A14" s="1622" t="str">
        <x:v>Project-table royalty payable</x:v>
      </x:c>
      <x:c r="B14" s="1665" t="n">
        <x:f>B6</x:f>
        <x:v>16.298923381</x:v>
      </x:c>
      <x:c r="C14" s="1665" t="n">
        <x:f>B14</x:f>
        <x:v>16.298923381</x:v>
      </x:c>
      <x:c r="D14" s="1622" t="str">
        <x:v>$B</x:v>
      </x:c>
      <x:c r="E14" s="1622" t="str">
        <x:v>Calendar-year oil-sands project total</x:v>
      </x:c>
      <x:c r="F14" s="1622" t="str">
        <x:v>Observed table total</x:v>
      </x:c>
      <x:c r="G14" s="1635" t="str">
        <x:v>PASS</x:v>
      </x:c>
      <x:c r="H14" s="1622" t="str">
        <x:v>No</x:v>
      </x:c>
      <x:c r="I14" s="1622" t="str">
        <x:v>Fiscal diagnostic only</x:v>
      </x:c>
      <x:c r="J14" s="1622" t="str">
        <x:v>Linked to AB_OS_Fiscal_Diagnostic</x:v>
      </x:c>
    </x:row>
    <x:row r="15">
      <x:c r="A15" s="1622" t="str">
        <x:v>CGFS Alberta oil-and-gas rent</x:v>
      </x:c>
      <x:c r="B15" s="1665" t="n">
        <x:f>B7</x:f>
        <x:v>21.808</x:v>
      </x:c>
      <x:c r="C15" s="1665" t="n">
        <x:f>B15</x:f>
        <x:v>21.808</x:v>
      </x:c>
      <x:c r="D15" s="1622" t="str">
        <x:v>$B</x:v>
      </x:c>
      <x:c r="E15" s="1622" t="str">
        <x:v>Broader calendar-year oil-and-gas boundary</x:v>
      </x:c>
      <x:c r="F15" s="1622" t="str">
        <x:v>Observed CGFS component</x:v>
      </x:c>
      <x:c r="G15" s="1635" t="str">
        <x:v>PASS</x:v>
      </x:c>
      <x:c r="H15" s="1622" t="str">
        <x:v>No</x:v>
      </x:c>
      <x:c r="I15" s="1622" t="str">
        <x:v>Broader receipt control</x:v>
      </x:c>
      <x:c r="J15" s="1622" t="str">
        <x:v>Linked to CGFS_Rent_Components</x:v>
      </x:c>
    </x:row>
    <x:row r="16">
      <x:c r="A16" s="1622" t="str">
        <x:v>Broader-scope amount above project table</x:v>
      </x:c>
      <x:c r="B16" s="1665" t="n">
        <x:f>B15-B14</x:f>
        <x:v>5.509076618999998</x:v>
      </x:c>
      <x:c r="C16" s="1665" t="n">
        <x:f>B16</x:f>
        <x:v>5.509076618999998</x:v>
      </x:c>
      <x:c r="D16" s="1622" t="str">
        <x:v>$B</x:v>
      </x:c>
      <x:c r="E16" s="1622" t="str">
        <x:v>CGFS less oil-sands project table; includes boundary and classification differences</x:v>
      </x:c>
      <x:c r="F16" s="1622" t="str">
        <x:v>Non-negative and disclosed</x:v>
      </x:c>
      <x:c r="G16" s="1635" t="str">
        <x:v>PASS</x:v>
      </x:c>
      <x:c r="H16" s="1622" t="str">
        <x:v>No</x:v>
      </x:c>
      <x:c r="I16" s="1622" t="str">
        <x:v>Explains direction, not exact components</x:v>
      </x:c>
      <x:c r="J16" s="1622" t="str">
        <x:v>Cannot be assigned wholly to conventional oil/gas without a direct bridge</x:v>
      </x:c>
    </x:row>
    <x:row r="17">
      <x:c r="A17" s="1622" t="str">
        <x:v>Project table as share of CGFS oil-and-gas rent</x:v>
      </x:c>
      <x:c r="B17" s="1672" t="n">
        <x:f>B14/B15</x:f>
        <x:v>0.7473827669203963</x:v>
      </x:c>
      <x:c r="C17" s="1672" t="n">
        <x:f>B17</x:f>
        <x:v>0.7473827669203963</x:v>
      </x:c>
      <x:c r="D17" s="1622" t="str">
        <x:v>%</x:v>
      </x:c>
      <x:c r="E17" s="1622" t="str">
        <x:v>Descriptive scope ratio only</x:v>
      </x:c>
      <x:c r="F17" s="1622" t="str">
        <x:v>Between 0% and 100%</x:v>
      </x:c>
      <x:c r="G17" s="1635" t="str">
        <x:v>PASS</x:v>
      </x:c>
      <x:c r="H17" s="1622" t="str">
        <x:v>No</x:v>
      </x:c>
      <x:c r="I17" s="1622" t="str">
        <x:v>Do not call a capture rate</x:v>
      </x:c>
      <x:c r="J17" s="1622" t="str">
        <x:v>Denominator is government rent, not economic rent</x:v>
      </x:c>
    </x:row>
    <x:row r="18">
      <x:c r="A18" s="1622" t="str">
        <x:v>Illustrative calendar-2024 fiscal-year blend</x:v>
      </x:c>
      <x:c r="B18" s="1665" t="n">
        <x:f>Model_Parameters!$B$14*B8+Model_Parameters!$B$15*B9</x:f>
        <x:v>16.50475</x:v>
      </x:c>
      <x:c r="C18" s="1665" t="n">
        <x:f>B18</x:f>
        <x:v>16.50475</x:v>
      </x:c>
      <x:c r="D18" s="1622" t="str">
        <x:v>$B</x:v>
      </x:c>
      <x:c r="E18" s="1622" t="str">
        <x:v>25% of FY2023/24 plus 75% of FY2024/25</x:v>
      </x:c>
      <x:c r="F18" s="1622" t="str">
        <x:v>Timing diagnostic only</x:v>
      </x:c>
      <x:c r="G18" s="1633" t="str">
        <x:v>CALCULATED</x:v>
      </x:c>
      <x:c r="H18" s="1622" t="str">
        <x:v>No</x:v>
      </x:c>
      <x:c r="I18" s="1622" t="str">
        <x:v>Not an official calendar-year value</x:v>
      </x:c>
      <x:c r="J18" s="1622" t="str">
        <x:v>Assumes uniform quarterly accrual</x:v>
      </x:c>
    </x:row>
    <x:row r="19">
      <x:c r="A19" s="1622" t="str">
        <x:v>Project table less illustrative fiscal blend</x:v>
      </x:c>
      <x:c r="B19" s="1665" t="n">
        <x:f>B14-B18</x:f>
        <x:v>-0.20582661899999977</x:v>
      </x:c>
      <x:c r="C19" s="1665" t="n">
        <x:f>B19</x:f>
        <x:v>-0.20582661899999977</x:v>
      </x:c>
      <x:c r="D19" s="1622" t="str">
        <x:v>$B</x:v>
      </x:c>
      <x:c r="E19" s="1622" t="str">
        <x:v>Difference after simple period alignment</x:v>
      </x:c>
      <x:c r="F19" s="1622" t="str">
        <x:v>Disclose magnitude</x:v>
      </x:c>
      <x:c r="G19" s="1633" t="str">
        <x:v>CALCULATED</x:v>
      </x:c>
      <x:c r="H19" s="1622" t="str">
        <x:v>No</x:v>
      </x:c>
      <x:c r="I19" s="1622" t="str">
        <x:v>Timing/scope residual</x:v>
      </x:c>
      <x:c r="J19" s="1622" t="str">
        <x:v>Does not prove exact reconciliation</x:v>
      </x:c>
    </x:row>
    <x:row r="20">
      <x:c r="A20" s="1622" t="str">
        <x:v>Project table difference vs illustrative blend</x:v>
      </x:c>
      <x:c r="B20" s="1672" t="n">
        <x:f>B19/B18</x:f>
        <x:v>-0.012470750480922143</x:v>
      </x:c>
      <x:c r="C20" s="1672" t="n">
        <x:f>B20</x:f>
        <x:v>-0.012470750480922143</x:v>
      </x:c>
      <x:c r="D20" s="1622" t="str">
        <x:v>%</x:v>
      </x:c>
      <x:c r="E20" s="1622" t="str">
        <x:v>Residual relative to illustrative blend</x:v>
      </x:c>
      <x:c r="F20" s="1622" t="str">
        <x:v>Descriptive only</x:v>
      </x:c>
      <x:c r="G20" s="1633" t="str">
        <x:v>CALCULATED</x:v>
      </x:c>
      <x:c r="H20" s="1622" t="str">
        <x:v>No</x:v>
      </x:c>
      <x:c r="I20" s="1622" t="str">
        <x:v>Timing diagnostic</x:v>
      </x:c>
      <x:c r="J20" s="1622" t="str">
        <x:v>Not a statistical tolerance test</x:v>
      </x:c>
    </x:row>
    <x:row r="21">
      <x:c r="A21" s="1623" t="str">
        <x:v>FY2024/25 total resource revenue: reported vs cash</x:v>
      </x:c>
      <x:c r="B21" s="1669" t="n">
        <x:v>0.6</x:v>
      </x:c>
      <x:c r="C21" s="1669" t="n">
        <x:v>0.6</x:v>
      </x:c>
      <x:c r="D21" s="1623" t="str">
        <x:v>$B</x:v>
      </x:c>
      <x:c r="E21" s="1623" t="str">
        <x:v>Government notes reported NRR was $0.6B below cash received</x:v>
      </x:c>
      <x:c r="F21" s="1623" t="str">
        <x:v>Difference disclosed</x:v>
      </x:c>
      <x:c r="G21" s="1671" t="str">
        <x:v>PASS</x:v>
      </x:c>
      <x:c r="H21" s="1623" t="str">
        <x:v>No</x:v>
      </x:c>
      <x:c r="I21" s="1623" t="str">
        <x:v>Prevents accrual/cash mixing</x:v>
      </x:c>
      <x:c r="J21" s="1623" t="str">
        <x:v>Applies to total non-renewable resource revenue, not bitumen alone</x:v>
      </x:c>
    </x:row>
    <x:row r="24">
      <x:c r="A24" s="1656" t="str">
        <x:v>Reconciliation rulings</x:v>
      </x:c>
      <x:c r="B24" s="1656"/>
      <x:c r="C24" s="1656"/>
      <x:c r="D24" s="1656"/>
      <x:c r="E24" s="1656"/>
      <x:c r="F24" s="1656"/>
      <x:c r="G24" s="1656"/>
      <x:c r="H24" s="1656"/>
      <x:c r="I24" s="1656"/>
      <x:c r="J24" s="1656"/>
    </x:row>
    <x:row r="25">
      <x:c r="A25" s="1614" t="str">
        <x:v>Ruling ID</x:v>
      </x:c>
      <x:c r="B25" s="1615" t="str">
        <x:v>Question</x:v>
      </x:c>
      <x:c r="C25" s="1615" t="str">
        <x:v>Answer</x:v>
      </x:c>
      <x:c r="D25" s="1615" t="str">
        <x:v>Status</x:v>
      </x:c>
      <x:c r="E25" s="1615" t="str">
        <x:v>Reason</x:v>
      </x:c>
      <x:c r="F25" s="1615" t="str">
        <x:v>What is reconciled</x:v>
      </x:c>
      <x:c r="G25" s="1615" t="str">
        <x:v>What remains unresolved</x:v>
      </x:c>
      <x:c r="H25" s="1615" t="str">
        <x:v>Publication rule</x:v>
      </x:c>
      <x:c r="I25" s="1615" t="str">
        <x:v>Source boundary</x:v>
      </x:c>
      <x:c r="J25" s="1616" t="str">
        <x:v>Terminal effect</x:v>
      </x:c>
    </x:row>
    <x:row r="26">
      <x:c r="A26" s="1622" t="str">
        <x:v>ROY-01</x:v>
      </x:c>
      <x:c r="B26" s="1622" t="str">
        <x:v>Does $16.299B contradict the $21.808B CGFS oil-and-gas amount?</x:v>
      </x:c>
      <x:c r="C26" s="1622" t="str">
        <x:v>No</x:v>
      </x:c>
      <x:c r="D26" s="1633" t="str">
        <x:v>PASS WITH SCOPE DIFFERENCE</x:v>
      </x:c>
      <x:c r="E26" s="1622" t="str">
        <x:v>The project table is oil-sands-project royalty payable; CGFS covers Alberta oil-and-gas rent more broadly.</x:v>
      </x:c>
      <x:c r="F26" s="1622" t="str">
        <x:v>Direction and broad scope</x:v>
      </x:c>
      <x:c r="G26" s="1622" t="str">
        <x:v>Exact conventional oil/gas and other category components</x:v>
      </x:c>
      <x:c r="H26" s="1622" t="str">
        <x:v>Do not subtract the difference into a commodity rent row</x:v>
      </x:c>
      <x:c r="I26" s="1622" t="str">
        <x:v>Calendar 2024 vs calendar 2024, different scope</x:v>
      </x:c>
      <x:c r="J26" s="1622" t="str">
        <x:v>No economic-rent unlock</x:v>
      </x:c>
    </x:row>
    <x:row r="27">
      <x:c r="A27" s="1622" t="str">
        <x:v>ROY-02</x:v>
      </x:c>
      <x:c r="B27" s="1622" t="str">
        <x:v>Does $16.299B contradict Alberta’s fiscal-year bitumen royalties?</x:v>
      </x:c>
      <x:c r="C27" s="1622" t="str">
        <x:v>No</x:v>
      </x:c>
      <x:c r="D27" s="1633" t="str">
        <x:v>PASS WITH PERIOD DIFFERENCE</x:v>
      </x:c>
      <x:c r="E27" s="1622" t="str">
        <x:v>The project table is calendar 2024; public accounts are April–March fiscal years.</x:v>
      </x:c>
      <x:c r="F27" s="1622" t="str">
        <x:v>The project total falls between adjacent fiscal-year reported bitumen values</x:v>
      </x:c>
      <x:c r="G27" s="1622" t="str">
        <x:v>Exact monthly accruals, audit adjustments and project/public-account scope bridge</x:v>
      </x:c>
      <x:c r="H27" s="1622" t="str">
        <x:v>Use the pro-rata blend only as an illustrative timing diagnostic</x:v>
      </x:c>
      <x:c r="I27" s="1622" t="str">
        <x:v>Calendar year vs two adjacent fiscal years</x:v>
      </x:c>
      <x:c r="J27" s="1622" t="str">
        <x:v>No economic-rent unlock</x:v>
      </x:c>
    </x:row>
    <x:row r="28">
      <x:c r="A28" s="1623" t="str">
        <x:v>ROY-03</x:v>
      </x:c>
      <x:c r="B28" s="1623" t="str">
        <x:v>Can any displayed ratio be called the public rent-capture percentage?</x:v>
      </x:c>
      <x:c r="C28" s="1623" t="str">
        <x:v>No</x:v>
      </x:c>
      <x:c r="D28" s="1639" t="str">
        <x:v>LOCKED</x:v>
      </x:c>
      <x:c r="E28" s="1623" t="str">
        <x:v>No verified commodity economic-rent denominator exists.</x:v>
      </x:c>
      <x:c r="F28" s="1623" t="str">
        <x:v>Government receipt boundaries only</x:v>
      </x:c>
      <x:c r="G28" s="1623" t="str">
        <x:v>Economic-rent denominator</x:v>
      </x:c>
      <x:c r="H28" s="1623" t="str">
        <x:v>Publish no capture percentage</x:v>
      </x:c>
      <x:c r="I28" s="1623" t="str">
        <x:v>Receipt-side evidence only</x:v>
      </x:c>
      <x:c r="J28" s="1623" t="str">
        <x:v>National capture rate remains locked</x:v>
      </x:c>
    </x:row>
    <x:row r="31">
      <x:c r="A31" s="1656" t="str">
        <x:v>Terminal ruling</x:v>
      </x:c>
      <x:c r="B31" s="1656"/>
      <x:c r="C31" s="1656"/>
      <x:c r="D31" s="1656"/>
      <x:c r="E31" s="1656"/>
      <x:c r="F31" s="1656"/>
      <x:c r="G31" s="1656"/>
      <x:c r="H31" s="1656"/>
      <x:c r="I31" s="1656"/>
      <x:c r="J31" s="1656"/>
    </x:row>
    <x:row r="32">
      <x:c r="A32" s="1664" t="str">
        <x:v>The Alberta royalty evidence now reconciles as three different boundaries rather than three competing totals: (1) calendar-year oil-sands project royalty payable, (2) calendar-year CGFS oil-and-gas rent, and (3) fiscal-year public-account bitumen royalty revenue. The project-table total is a strong observed fiscal diagnostic. It does not supply produced capital, CFC, normal return or economic rent, and no ratio on this sheet is authorized as a public rent-capture rate.</x:v>
      </x:c>
      <x:c r="B32" s="1664"/>
      <x:c r="C32" s="1664"/>
      <x:c r="D32" s="1664"/>
      <x:c r="E32" s="1664"/>
      <x:c r="F32" s="1664"/>
      <x:c r="G32" s="1664"/>
      <x:c r="H32" s="1664"/>
      <x:c r="I32" s="1664"/>
      <x:c r="J32" s="1664"/>
    </x:row>
    <x:row r="33">
      <x:c r="A33" s="1664"/>
      <x:c r="B33" s="1664"/>
      <x:c r="C33" s="1664"/>
      <x:c r="D33" s="1664"/>
      <x:c r="E33" s="1664"/>
      <x:c r="F33" s="1664"/>
      <x:c r="G33" s="1664"/>
      <x:c r="H33" s="1664"/>
      <x:c r="I33" s="1664"/>
      <x:c r="J33" s="1664"/>
    </x:row>
    <x:row r="34">
      <x:c r="A34" s="1664"/>
      <x:c r="B34" s="1664"/>
      <x:c r="C34" s="1664"/>
      <x:c r="D34" s="1664"/>
      <x:c r="E34" s="1664"/>
      <x:c r="F34" s="1664"/>
      <x:c r="G34" s="1664"/>
      <x:c r="H34" s="1664"/>
      <x:c r="I34" s="1664"/>
      <x:c r="J34" s="1664"/>
    </x:row>
  </x:sheetData>
  <x:mergeCells>
    <x:mergeCell ref="A1:J1"/>
    <x:mergeCell ref="A2:J2"/>
    <x:mergeCell ref="A4:J4"/>
    <x:mergeCell ref="A12:J12"/>
    <x:mergeCell ref="A24:J24"/>
    <x:mergeCell ref="A31:J31"/>
    <x:mergeCell ref="A32:J34"/>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31" hidden="0" customWidth="1"/>
    <x:col min="3" max="3" width="15" hidden="0" customWidth="1"/>
    <x:col min="4" max="4" width="17" hidden="0" customWidth="1"/>
    <x:col min="5" max="5" width="14" hidden="0" customWidth="1"/>
    <x:col min="6" max="6" width="20" hidden="0" customWidth="1"/>
    <x:col min="7" max="7" width="20" hidden="0" customWidth="1"/>
    <x:col min="8" max="8" width="20" hidden="0" customWidth="1"/>
    <x:col min="9" max="9" width="14" hidden="0" customWidth="1"/>
    <x:col min="10" max="10" width="18" hidden="0" customWidth="1"/>
    <x:col min="11" max="11" width="30" hidden="0" customWidth="1"/>
    <x:col min="12" max="12" width="34" hidden="0" customWidth="1"/>
    <x:col min="13" max="13" width="45" hidden="0" customWidth="1"/>
  </x:cols>
  <x:sheetData>
    <x:row r="1" ht="28" customHeight="1">
      <x:c r="A1" s="1726" t="str">
        <x:v>Canadian Potash Producer Capital Evidence — 2024</x:v>
      </x:c>
      <x:c r="B1" s="1726"/>
      <x:c r="C1" s="1726"/>
      <x:c r="D1" s="1726"/>
      <x:c r="E1" s="1726"/>
      <x:c r="F1" s="1726"/>
      <x:c r="G1" s="1726"/>
      <x:c r="H1" s="1726"/>
      <x:c r="I1" s="1726"/>
      <x:c r="J1" s="1726"/>
      <x:c r="K1" s="1726"/>
      <x:c r="L1" s="1726"/>
      <x:c r="M1" s="1726"/>
    </x:row>
    <x:row r="2" ht="44" customHeight="1">
      <x:c r="A2" s="1730" t="str">
        <x:v>Bottom-up producer disclosures are used only to triangulate depreciation, producer coverage and project-stage boundaries. They do not replace Statistics Canada net produced-capital stock or consumption-of-fixed-capital estimates.</x:v>
      </x:c>
      <x:c r="B2" s="1730"/>
      <x:c r="C2" s="1730"/>
      <x:c r="D2" s="1730"/>
      <x:c r="E2" s="1730"/>
      <x:c r="F2" s="1730"/>
      <x:c r="G2" s="1730"/>
      <x:c r="H2" s="1730"/>
      <x:c r="I2" s="1730"/>
      <x:c r="J2" s="1730"/>
      <x:c r="K2" s="1730"/>
      <x:c r="L2" s="1730"/>
      <x:c r="M2" s="1730"/>
    </x:row>
    <x:row r="4">
      <x:c r="A4" s="1733" t="str">
        <x:v>Mechanical coverage result</x:v>
      </x:c>
      <x:c r="B4" s="1733"/>
      <x:c r="C4" s="1733"/>
      <x:c r="D4" s="1733"/>
      <x:c r="E4" s="1733"/>
      <x:c r="F4" s="1733"/>
      <x:c r="G4" s="1733"/>
      <x:c r="H4" s="1733"/>
      <x:c r="I4" s="1733"/>
      <x:c r="J4" s="1733"/>
      <x:c r="K4" s="1733"/>
      <x:c r="L4" s="1733"/>
      <x:c r="M4" s="1733"/>
    </x:row>
    <x:row r="5">
      <x:c r="A5" s="1745" t="str">
        <x:v>Control</x:v>
      </x:c>
      <x:c r="B5" s="1746" t="str">
        <x:v>Result</x:v>
      </x:c>
      <x:c r="C5" s="1746" t="str">
        <x:v>Status</x:v>
      </x:c>
      <x:c r="D5" s="1747" t="str">
        <x:v>Model consequence</x:v>
      </x:c>
    </x:row>
    <x:row r="6">
      <x:c r="A6" s="1622" t="str">
        <x:v>Operating Canadian producer universe</x:v>
      </x:c>
      <x:c r="B6" s="1622" t="str">
        <x:v>Nutrien, Mosaic and K+S; all operating mines are in Saskatchewan</x:v>
      </x:c>
      <x:c r="C6" s="1752" t="str">
        <x:v>PASS</x:v>
      </x:c>
      <x:c r="D6" s="1622" t="str">
        <x:v>Producer map is complete at company level</x:v>
      </x:c>
    </x:row>
    <x:row r="7">
      <x:c r="A7" s="1622" t="str">
        <x:v>BHP Jansen production in 2024</x:v>
      </x:c>
      <x:c r="B7" s="1622" t="str">
        <x:v>None — construction project</x:v>
      </x:c>
      <x:c r="C7" s="1752" t="str">
        <x:v>PASS</x:v>
      </x:c>
      <x:c r="D7" s="1622" t="str">
        <x:v>Exclude Jansen from 2024 productive capital</x:v>
      </x:c>
    </x:row>
    <x:row r="8">
      <x:c r="A8" s="1622" t="str">
        <x:v>Canada-only producer depreciation coverage</x:v>
      </x:c>
      <x:c r="B8" s="1622" t="str">
        <x:v>Nutrien observation only; Mosaic mixed Canada–U.S.; K+S unavailable</x:v>
      </x:c>
      <x:c r="C8" s="1754" t="str">
        <x:v>PARTIAL</x:v>
      </x:c>
      <x:c r="D8" s="1622" t="str">
        <x:v>No national CFC point estimate</x:v>
      </x:c>
    </x:row>
    <x:row r="9">
      <x:c r="A9" s="1622" t="str">
        <x:v>Canada-only net produced-capital stock</x:v>
      </x:c>
      <x:c r="B9" s="1622" t="str">
        <x:v>Not disclosed across producers</x:v>
      </x:c>
      <x:c r="C9" s="1757" t="str">
        <x:v>FAIL</x:v>
      </x:c>
      <x:c r="D9" s="1622" t="str">
        <x:v>Potash PIM and normal return remain locked</x:v>
      </x:c>
    </x:row>
    <x:row r="10">
      <x:c r="A10" s="1750" t="str">
        <x:v>Commodity economic-rent authority</x:v>
      </x:c>
      <x:c r="B10" s="1750" t="str">
        <x:v>No</x:v>
      </x:c>
      <x:c r="C10" s="1758" t="str">
        <x:v>LOCKED</x:v>
      </x:c>
      <x:c r="D10" s="1750" t="str">
        <x:v>No published potash rent or capture percentage</x:v>
      </x:c>
    </x:row>
    <x:row r="12">
      <x:c r="A12" s="1733" t="str">
        <x:v>Producer operating and depreciation disclosures</x:v>
      </x:c>
      <x:c r="B12" s="1733"/>
      <x:c r="C12" s="1733"/>
      <x:c r="D12" s="1733"/>
      <x:c r="E12" s="1733"/>
      <x:c r="F12" s="1733"/>
      <x:c r="G12" s="1733"/>
      <x:c r="H12" s="1733"/>
      <x:c r="I12" s="1733"/>
      <x:c r="J12" s="1733"/>
      <x:c r="K12" s="1733"/>
      <x:c r="L12" s="1733"/>
      <x:c r="M12" s="1733"/>
    </x:row>
    <x:row r="13">
      <x:c r="A13" s="1745" t="str">
        <x:v>Producer / boundary</x:v>
      </x:c>
      <x:c r="B13" s="1746" t="str">
        <x:v>Canadian operating assets</x:v>
      </x:c>
      <x:c r="C13" s="1746" t="str">
        <x:v>2024 production (Mt)</x:v>
      </x:c>
      <x:c r="D13" s="1746" t="str">
        <x:v>Revenue / net sales</x:v>
      </x:c>
      <x:c r="E13" s="1746" t="str">
        <x:v>COGS</x:v>
      </x:c>
      <x:c r="F13" s="1746" t="str">
        <x:v>Adjusted EBITDA / EBITDA</x:v>
      </x:c>
      <x:c r="G13" s="1746" t="str">
        <x:v>D&amp;A observation</x:v>
      </x:c>
      <x:c r="H13" s="1746" t="str">
        <x:v>Canadian resource taxes</x:v>
      </x:c>
      <x:c r="I13" s="1746" t="str">
        <x:v>Royalties</x:v>
      </x:c>
      <x:c r="J13" s="1746" t="str">
        <x:v>Currency / unit</x:v>
      </x:c>
      <x:c r="K13" s="1746" t="str">
        <x:v>Boundary quality</x:v>
      </x:c>
      <x:c r="L13" s="1746" t="str">
        <x:v>Permitted model use</x:v>
      </x:c>
      <x:c r="M13" s="1747" t="str">
        <x:v>Source URL</x:v>
      </x:c>
    </x:row>
    <x:row r="14">
      <x:c r="A14" s="1626" t="str">
        <x:v>Nutrien Potash segment</x:v>
      </x:c>
      <x:c r="B14" s="1626" t="str">
        <x:v>Six mines, all in Saskatchewan</x:v>
      </x:c>
      <x:c r="C14" s="1760" t="n">
        <x:v>14.205</x:v>
      </x:c>
      <x:c r="D14" s="1627"/>
      <x:c r="E14" s="1627" t="n">
        <x:v>1448</x:v>
      </x:c>
      <x:c r="F14" s="1627" t="n">
        <x:v>1848</x:v>
      </x:c>
      <x:c r="G14" s="1627" t="n">
        <x:v>581</x:v>
      </x:c>
      <x:c r="H14" s="1627"/>
      <x:c r="I14" s="1627" t="n">
        <x:v>79</x:v>
      </x:c>
      <x:c r="J14" s="1626" t="str">
        <x:v>US$M; production Mt</x:v>
      </x:c>
      <x:c r="K14" s="1626" t="str">
        <x:v>Strong Canadian operating boundary; segment accounting is not national accounts</x:v>
      </x:c>
      <x:c r="L14" s="1626" t="str">
        <x:v>Partial CFC triangulation only</x:v>
      </x:c>
      <x:c r="M14" s="1626" t="str">
        <x:v>https://www.nutrien.com/news/press-releases/nutrien-reports-fourth-quarter-and-full-year-2024-results-1717</x:v>
      </x:c>
    </x:row>
    <x:row r="15">
      <x:c r="A15" s="1626" t="str">
        <x:v>Mosaic Potash segment</x:v>
      </x:c>
      <x:c r="B15" s="1626" t="str">
        <x:v>Three Canadian mines plus one U.S. mine</x:v>
      </x:c>
      <x:c r="C15" s="1760" t="n">
        <x:v>8.8</x:v>
      </x:c>
      <x:c r="D15" s="1627" t="n">
        <x:v>2400</x:v>
      </x:c>
      <x:c r="E15" s="1627"/>
      <x:c r="F15" s="1627" t="n">
        <x:v>944</x:v>
      </x:c>
      <x:c r="G15" s="1627"/>
      <x:c r="H15" s="1627" t="n">
        <x:v>232.2</x:v>
      </x:c>
      <x:c r="I15" s="1627" t="n">
        <x:v>40.5</x:v>
      </x:c>
      <x:c r="J15" s="1626" t="str">
        <x:v>US$M; production Mt</x:v>
      </x:c>
      <x:c r="K15" s="1626" t="str">
        <x:v>Mixed Canada–U.S. segment; Canadian taxes identified but capital/depreciation not separated</x:v>
      </x:c>
      <x:c r="L15" s="1626" t="str">
        <x:v>Operating and fiscal triangulation only</x:v>
      </x:c>
      <x:c r="M15" s="1626" t="str">
        <x:v>https://www.sec.gov/Archives/edgar/data/1285785/000161803425000003/mos-20241231.htm</x:v>
      </x:c>
    </x:row>
    <x:row r="16">
      <x:c r="A16" s="1626" t="str">
        <x:v>K+S Group / Bethune</x:v>
      </x:c>
      <x:c r="B16" s="1626" t="str">
        <x:v>Bethune is the Canadian operating site; group also contains non-Canadian operations</x:v>
      </x:c>
      <x:c r="C16" s="1760"/>
      <x:c r="D16" s="1627" t="n">
        <x:v>3700</x:v>
      </x:c>
      <x:c r="E16" s="1627"/>
      <x:c r="F16" s="1627" t="n">
        <x:v>557.7</x:v>
      </x:c>
      <x:c r="G16" s="1627"/>
      <x:c r="H16" s="1627"/>
      <x:c r="I16" s="1627"/>
      <x:c r="J16" s="1626" t="str">
        <x:v>€M; K+S Group</x:v>
      </x:c>
      <x:c r="K16" s="1626" t="str">
        <x:v>Group-level 2024 metrics; no Bethune-only stock or D&amp;A disclosed in the verified source</x:v>
      </x:c>
      <x:c r="L16" s="1626" t="str">
        <x:v>Company viability and ramp-up context only</x:v>
      </x:c>
      <x:c r="M16" s="1626" t="str">
        <x:v>https://www.kpluss.com/en-us/newsroom/press-releases/ks-on-track-despite-low-potash-prices/</x:v>
      </x:c>
    </x:row>
    <x:row r="17">
      <x:c r="A17" s="1759" t="str">
        <x:v>BHP Jansen</x:v>
      </x:c>
      <x:c r="B17" s="1759" t="str">
        <x:v>No operating mine in 2024; Stage 1 and Stage 2 under construction</x:v>
      </x:c>
      <x:c r="C17" s="1761" t="n">
        <x:v>0</x:v>
      </x:c>
      <x:c r="D17" s="1762"/>
      <x:c r="E17" s="1762"/>
      <x:c r="F17" s="1762"/>
      <x:c r="G17" s="1762"/>
      <x:c r="H17" s="1762"/>
      <x:c r="I17" s="1762"/>
      <x:c r="J17" s="1759" t="str">
        <x:v>Project status</x:v>
      </x:c>
      <x:c r="K17" s="1759" t="str">
        <x:v>Construction-in-progress, not an incumbent producing asset</x:v>
      </x:c>
      <x:c r="L17" s="1759" t="str">
        <x:v>CWIP exclusion control</x:v>
      </x:c>
      <x:c r="M17" s="1759" t="str">
        <x:v>https://www.bhp.com/canada</x:v>
      </x:c>
    </x:row>
    <x:row r="20">
      <x:c r="A20" s="1733" t="str">
        <x:v>Capital-account usability test</x:v>
      </x:c>
      <x:c r="B20" s="1733"/>
      <x:c r="C20" s="1733"/>
      <x:c r="D20" s="1733"/>
      <x:c r="E20" s="1733"/>
      <x:c r="F20" s="1733"/>
      <x:c r="G20" s="1733"/>
      <x:c r="H20" s="1733"/>
      <x:c r="I20" s="1733"/>
      <x:c r="J20" s="1733"/>
      <x:c r="K20" s="1733"/>
      <x:c r="L20" s="1733"/>
      <x:c r="M20" s="1733"/>
    </x:row>
    <x:row r="21">
      <x:c r="A21" s="1745" t="str">
        <x:v>Evidence ID</x:v>
      </x:c>
      <x:c r="B21" s="1746" t="str">
        <x:v>Producer</x:v>
      </x:c>
      <x:c r="C21" s="1746" t="str">
        <x:v>Observed item</x:v>
      </x:c>
      <x:c r="D21" s="1746" t="str">
        <x:v>Observed value</x:v>
      </x:c>
      <x:c r="E21" s="1746" t="str">
        <x:v>Period</x:v>
      </x:c>
      <x:c r="F21" s="1746" t="str">
        <x:v>Company boundary</x:v>
      </x:c>
      <x:c r="G21" s="1746" t="str">
        <x:v>Canada-only?</x:v>
      </x:c>
      <x:c r="H21" s="1746" t="str">
        <x:v>Comparable to national-account CFC?</x:v>
      </x:c>
      <x:c r="I21" s="1746" t="str">
        <x:v>Status</x:v>
      </x:c>
      <x:c r="J21" s="1746" t="str">
        <x:v>Missing element</x:v>
      </x:c>
      <x:c r="K21" s="1746" t="str">
        <x:v>Model action</x:v>
      </x:c>
      <x:c r="L21" s="1746" t="str">
        <x:v>Source note</x:v>
      </x:c>
      <x:c r="M21" s="1747" t="str">
        <x:v>Source URL</x:v>
      </x:c>
    </x:row>
    <x:row r="22">
      <x:c r="A22" s="1626" t="str">
        <x:v>PROD-CFC-01</x:v>
      </x:c>
      <x:c r="B22" s="1626" t="str">
        <x:v>Nutrien</x:v>
      </x:c>
      <x:c r="C22" s="1626" t="str">
        <x:v>Depreciation and amortization in Potash COPM</x:v>
      </x:c>
      <x:c r="D22" s="1627" t="n">
        <x:v>581</x:v>
      </x:c>
      <x:c r="E22" s="1626" t="str">
        <x:v>2024</x:v>
      </x:c>
      <x:c r="F22" s="1626" t="str">
        <x:v>Potash segment</x:v>
      </x:c>
      <x:c r="G22" s="1626" t="str">
        <x:v>Substantially Canadian operating mines</x:v>
      </x:c>
      <x:c r="H22" s="1626" t="str">
        <x:v>No — company cost measure</x:v>
      </x:c>
      <x:c r="I22" s="1754" t="str">
        <x:v>PARTIAL</x:v>
      </x:c>
      <x:c r="J22" s="1626" t="str">
        <x:v>National-account valuation, complete producer coverage and stock reconciliation</x:v>
      </x:c>
      <x:c r="K22" s="1626" t="str">
        <x:v>Retain as an independent magnitude check; do not substitute for CFC</x:v>
      </x:c>
      <x:c r="L22" s="1626" t="str">
        <x:v>Six Saskatchewan mines; D&amp;A is embedded in company cost-of-product-manufactured reporting</x:v>
      </x:c>
      <x:c r="M22" s="1626" t="str">
        <x:v>https://www.nutrien.com/news/press-releases/nutrien-reports-fourth-quarter-and-full-year-2024-results-1717</x:v>
      </x:c>
    </x:row>
    <x:row r="23">
      <x:c r="A23" s="1626" t="str">
        <x:v>PROD-CFC-02</x:v>
      </x:c>
      <x:c r="B23" s="1626" t="str">
        <x:v>Mosaic</x:v>
      </x:c>
      <x:c r="C23" s="1626" t="str">
        <x:v>Potash segment D&amp;A</x:v>
      </x:c>
      <x:c r="D23" s="1627"/>
      <x:c r="E23" s="1626" t="str">
        <x:v>2024</x:v>
      </x:c>
      <x:c r="F23" s="1626" t="str">
        <x:v>Three Canadian mines plus one U.S. mine</x:v>
      </x:c>
      <x:c r="G23" s="1626" t="str">
        <x:v>No</x:v>
      </x:c>
      <x:c r="H23" s="1626" t="str">
        <x:v>No</x:v>
      </x:c>
      <x:c r="I23" s="1757" t="str">
        <x:v>MISSING</x:v>
      </x:c>
      <x:c r="J23" s="1626" t="str">
        <x:v>Canada-only depreciation and asset carrying values</x:v>
      </x:c>
      <x:c r="K23" s="1626" t="str">
        <x:v>Do not infer from EBITDA or operating earnings</x:v>
      </x:c>
      <x:c r="L23" s="1626" t="str">
        <x:v>Segment totals mix Canadian and U.S. assets</x:v>
      </x:c>
      <x:c r="M23" s="1626" t="str">
        <x:v>https://www.sec.gov/Archives/edgar/data/1285785/000161803425000003/mos-20241231.htm</x:v>
      </x:c>
    </x:row>
    <x:row r="24">
      <x:c r="A24" s="1626" t="str">
        <x:v>PROD-CFC-03</x:v>
      </x:c>
      <x:c r="B24" s="1626" t="str">
        <x:v>K+S</x:v>
      </x:c>
      <x:c r="C24" s="1626" t="str">
        <x:v>Bethune-specific 2024 D&amp;A / carrying value</x:v>
      </x:c>
      <x:c r="D24" s="1627"/>
      <x:c r="E24" s="1626" t="str">
        <x:v>2024</x:v>
      </x:c>
      <x:c r="F24" s="1626" t="str">
        <x:v>K+S Group / Potash CGU</x:v>
      </x:c>
      <x:c r="G24" s="1626" t="str">
        <x:v>No verified current split</x:v>
      </x:c>
      <x:c r="H24" s="1626" t="str">
        <x:v>No</x:v>
      </x:c>
      <x:c r="I24" s="1757" t="str">
        <x:v>MISSING</x:v>
      </x:c>
      <x:c r="J24" s="1626" t="str">
        <x:v>Bethune-only current carrying value, D&amp;A and commissioning additions</x:v>
      </x:c>
      <x:c r="K24" s="1626" t="str">
        <x:v>Retain historical capital benchmarks separately</x:v>
      </x:c>
      <x:c r="L24" s="1626" t="str">
        <x:v>2024 source reports group performance and Bethune ramp-up, not site accounts</x:v>
      </x:c>
      <x:c r="M24" s="1626" t="str">
        <x:v>https://www.kpluss.com/en-us/newsroom/press-releases/ks-on-track-despite-low-potash-prices/</x:v>
      </x:c>
    </x:row>
    <x:row r="25">
      <x:c r="A25" s="1626" t="str">
        <x:v>PROD-STOCK-01</x:v>
      </x:c>
      <x:c r="B25" s="1626" t="str">
        <x:v>K+S</x:v>
      </x:c>
      <x:c r="C25" s="1626" t="str">
        <x:v>Historical Potash CGU net assets</x:v>
      </x:c>
      <x:c r="D25" s="1627" t="n">
        <x:v>5428.3</x:v>
      </x:c>
      <x:c r="E25" s="1626" t="str">
        <x:v>Historic disclosure</x:v>
      </x:c>
      <x:c r="F25" s="1626" t="str">
        <x:v>Potash CGU, mainly Bethune fixed assets</x:v>
      </x:c>
      <x:c r="G25" s="1626" t="str">
        <x:v>Not purely Canada-only</x:v>
      </x:c>
      <x:c r="H25" s="1626" t="str">
        <x:v>No</x:v>
      </x:c>
      <x:c r="I25" s="1754" t="str">
        <x:v>HISTORICAL ONLY</x:v>
      </x:c>
      <x:c r="J25" s="1626" t="str">
        <x:v>Current-year valuation, exact asset boundary and national-account bridge</x:v>
      </x:c>
      <x:c r="K25" s="1626" t="str">
        <x:v>Use as a historical magnitude benchmark only</x:v>
      </x:c>
      <x:c r="L25" s="1626" t="str">
        <x:v>Company stated the Potash CGU net assets mainly consisted of Bethune tangible fixed assets</x:v>
      </x:c>
      <x:c r="M25" s="1626" t="str">
        <x:v>https://www.kpluss.com/en-us/newsroom/press-releases/other-final-frep-findings-do-not-result-in-adjustments-to-valuations-00001/</x:v>
      </x:c>
    </x:row>
    <x:row r="26">
      <x:c r="A26" s="1759" t="str">
        <x:v>PROD-STOCK-02</x:v>
      </x:c>
      <x:c r="B26" s="1759" t="str">
        <x:v>All producers</x:v>
      </x:c>
      <x:c r="C26" s="1759" t="str">
        <x:v>Canada-only 2024 net produced-capital stock</x:v>
      </x:c>
      <x:c r="D26" s="1762"/>
      <x:c r="E26" s="1759" t="str">
        <x:v>2024</x:v>
      </x:c>
      <x:c r="F26" s="1759" t="str">
        <x:v>NAICS 212396 compatible</x:v>
      </x:c>
      <x:c r="G26" s="1759" t="str">
        <x:v>Required</x:v>
      </x:c>
      <x:c r="H26" s="1759" t="str">
        <x:v>Required</x:v>
      </x:c>
      <x:c r="I26" s="1758" t="str">
        <x:v>MISSING</x:v>
      </x:c>
      <x:c r="J26" s="1759" t="str">
        <x:v>Complete producer/site asset values with consistent valuation and retirement treatment</x:v>
      </x:c>
      <x:c r="K26" s="1759" t="str">
        <x:v>Keep PIM, normal return and rent locked</x:v>
      </x:c>
      <x:c r="L26" s="1759" t="str">
        <x:v>No verified producer disclosure closes the national stock boundary</x:v>
      </x:c>
      <x:c r="M26" s="1759" t="str">
        <x:v>https://www150.statcan.gc.ca/t1/tbl1/en/tv.action?pid=3610009601</x:v>
      </x:c>
    </x:row>
    <x:row r="29">
      <x:c r="A29" s="1733" t="str">
        <x:v>Terminal producer-evidence ruling</x:v>
      </x:c>
      <x:c r="B29" s="1733"/>
      <x:c r="C29" s="1733"/>
      <x:c r="D29" s="1733"/>
      <x:c r="E29" s="1733"/>
      <x:c r="F29" s="1733"/>
      <x:c r="G29" s="1733"/>
      <x:c r="H29" s="1733"/>
      <x:c r="I29" s="1733"/>
      <x:c r="J29" s="1733"/>
      <x:c r="K29" s="1733"/>
      <x:c r="L29" s="1733"/>
      <x:c r="M29" s="1733"/>
    </x:row>
    <x:row r="30">
      <x:c r="A30" s="1769" t="str">
        <x:v>Corporate disclosures materially improve triangulation but do not close the capital account. Nutrien supplies a large Potash-segment D&amp;A observation, Mosaic supplies a mixed Canada–U.S. segment with Canadian resource taxes, and K+S supplies only group-level current results plus historical Bethune-heavy asset benchmarks. No consistent Canada-only 2024 net stock and CFC series exists across all producers. Producer evidence therefore remains a validation layer, not a replacement capital account.</x:v>
      </x:c>
      <x:c r="B30" s="1769"/>
      <x:c r="C30" s="1769"/>
      <x:c r="D30" s="1769"/>
      <x:c r="E30" s="1769"/>
      <x:c r="F30" s="1769"/>
      <x:c r="G30" s="1769"/>
      <x:c r="H30" s="1769"/>
      <x:c r="I30" s="1769"/>
      <x:c r="J30" s="1769"/>
      <x:c r="K30" s="1769"/>
      <x:c r="L30" s="1769"/>
      <x:c r="M30" s="1769"/>
    </x:row>
    <x:row r="31">
      <x:c r="A31" s="1769"/>
      <x:c r="B31" s="1769"/>
      <x:c r="C31" s="1769"/>
      <x:c r="D31" s="1769"/>
      <x:c r="E31" s="1769"/>
      <x:c r="F31" s="1769"/>
      <x:c r="G31" s="1769"/>
      <x:c r="H31" s="1769"/>
      <x:c r="I31" s="1769"/>
      <x:c r="J31" s="1769"/>
      <x:c r="K31" s="1769"/>
      <x:c r="L31" s="1769"/>
      <x:c r="M31" s="1769"/>
    </x:row>
    <x:row r="32">
      <x:c r="A32" s="1769"/>
      <x:c r="B32" s="1769"/>
      <x:c r="C32" s="1769"/>
      <x:c r="D32" s="1769"/>
      <x:c r="E32" s="1769"/>
      <x:c r="F32" s="1769"/>
      <x:c r="G32" s="1769"/>
      <x:c r="H32" s="1769"/>
      <x:c r="I32" s="1769"/>
      <x:c r="J32" s="1769"/>
      <x:c r="K32" s="1769"/>
      <x:c r="L32" s="1769"/>
      <x:c r="M32" s="1769"/>
    </x:row>
  </x:sheetData>
  <x:mergeCells>
    <x:mergeCell ref="A1:M1"/>
    <x:mergeCell ref="A2:M2"/>
    <x:mergeCell ref="A4:M4"/>
    <x:mergeCell ref="A12:M12"/>
    <x:mergeCell ref="A20:M20"/>
    <x:mergeCell ref="A29:M29"/>
    <x:mergeCell ref="A30:M32"/>
  </x:mergeCells>
  <x:pageMargins left="0.7" right="0.7" top="0.75" bottom="0.75" header="0.3" footer="0.3"/>
</x:worksheet>
</file>

<file path=xl/worksheets/sheet54.xml><?xml version="1.0" encoding="utf-8"?>
<x:worksheet xmlns:x="http://schemas.openxmlformats.org/spreadsheetml/2006/main">
  <x:sheetFormatPr defaultRowHeight="15"/>
  <x:cols>
    <x:col min="1" max="1" width="25" hidden="0" customWidth="1"/>
    <x:col min="2" max="2" width="14" hidden="0" customWidth="1"/>
    <x:col min="3" max="3" width="29" hidden="0" customWidth="1"/>
    <x:col min="4" max="4" width="31" hidden="0" customWidth="1"/>
    <x:col min="5" max="5" width="27" hidden="0" customWidth="1"/>
    <x:col min="6" max="6" width="20" hidden="0" customWidth="1"/>
    <x:col min="7" max="7" width="21" hidden="0" customWidth="1"/>
    <x:col min="8" max="8" width="35" hidden="0" customWidth="1"/>
    <x:col min="9" max="9" width="31" hidden="0" customWidth="1"/>
    <x:col min="10" max="10" width="17" hidden="0" customWidth="1"/>
    <x:col min="11" max="11" width="44" hidden="0" customWidth="1"/>
    <x:col min="12" max="12" width="36" hidden="0" customWidth="1"/>
  </x:cols>
  <x:sheetData>
    <x:row r="1" ht="28" customHeight="1">
      <x:c r="A1" s="1726" t="str">
        <x:v>Potash Construction-in-Progress and Productive-Capital Bridge — 2024</x:v>
      </x:c>
      <x:c r="B1" s="1726"/>
      <x:c r="C1" s="1726"/>
      <x:c r="D1" s="1726"/>
      <x:c r="E1" s="1726"/>
      <x:c r="F1" s="1726"/>
      <x:c r="G1" s="1726"/>
      <x:c r="H1" s="1726"/>
      <x:c r="I1" s="1726"/>
      <x:c r="J1" s="1726"/>
      <x:c r="K1" s="1726"/>
      <x:c r="L1" s="1726"/>
    </x:row>
    <x:row r="2" ht="44" customHeight="1">
      <x:c r="A2" s="1730" t="str">
        <x:v>Project records distinguish assets producing during 2024 from capital still under construction. This prevents non-producing Jansen investment from being charged against 2024 incumbent rent while preserving the unresolved commissioning boundary for K3 and Bethune ramp-up.</x:v>
      </x:c>
      <x:c r="B2" s="1730"/>
      <x:c r="C2" s="1730"/>
      <x:c r="D2" s="1730"/>
      <x:c r="E2" s="1730"/>
      <x:c r="F2" s="1730"/>
      <x:c r="G2" s="1730"/>
      <x:c r="H2" s="1730"/>
      <x:c r="I2" s="1730"/>
      <x:c r="J2" s="1730"/>
      <x:c r="K2" s="1730"/>
      <x:c r="L2" s="1730"/>
    </x:row>
    <x:row r="4">
      <x:c r="A4" s="1733" t="str">
        <x:v>Project-stage evidence</x:v>
      </x:c>
      <x:c r="B4" s="1733"/>
      <x:c r="C4" s="1733"/>
      <x:c r="D4" s="1733"/>
      <x:c r="E4" s="1733"/>
      <x:c r="F4" s="1733"/>
      <x:c r="G4" s="1733"/>
      <x:c r="H4" s="1733"/>
      <x:c r="I4" s="1733"/>
      <x:c r="J4" s="1733"/>
      <x:c r="K4" s="1733"/>
      <x:c r="L4" s="1733"/>
    </x:row>
    <x:row r="5">
      <x:c r="A5" s="1745" t="str">
        <x:v>Project / asset</x:v>
      </x:c>
      <x:c r="B5" s="1746" t="str">
        <x:v>Owner</x:v>
      </x:c>
      <x:c r="C5" s="1746" t="str">
        <x:v>2024 stage</x:v>
      </x:c>
      <x:c r="D5" s="1746" t="str">
        <x:v>Investment evidence</x:v>
      </x:c>
      <x:c r="E5" s="1746" t="str">
        <x:v>Capacity / production evidence</x:v>
      </x:c>
      <x:c r="F5" s="1746" t="str">
        <x:v>Producing during 2024?</x:v>
      </x:c>
      <x:c r="G5" s="1746" t="str">
        <x:v>Year-end status</x:v>
      </x:c>
      <x:c r="H5" s="1746" t="str">
        <x:v>Correct 2024 capital treatment</x:v>
      </x:c>
      <x:c r="I5" s="1746" t="str">
        <x:v>Remaining timing issue</x:v>
      </x:c>
      <x:c r="J5" s="1746" t="str">
        <x:v>Status</x:v>
      </x:c>
      <x:c r="K5" s="1746" t="str">
        <x:v>Source URL</x:v>
      </x:c>
      <x:c r="L5" s="1747" t="str">
        <x:v>Model consequence</x:v>
      </x:c>
    </x:row>
    <x:row r="6">
      <x:c r="A6" s="1626" t="str">
        <x:v>Esterhazy K3 expansion</x:v>
      </x:c>
      <x:c r="B6" s="1626" t="str">
        <x:v>Mosaic</x:v>
      </x:c>
      <x:c r="C6" s="1626" t="str">
        <x:v>Completion and full ramp-up reported in/for 2024</x:v>
      </x:c>
      <x:c r="D6" s="1626" t="str">
        <x:v>Nearly C$3B over approximately a decade</x:v>
      </x:c>
      <x:c r="E6" s="1626" t="str">
        <x:v>Verified capacity 7.8 Mt; Mosaic reports full ramp-up</x:v>
      </x:c>
      <x:c r="F6" s="1626" t="str">
        <x:v>Yes, but exact in-service timing within 2024 is not established here</x:v>
      </x:c>
      <x:c r="G6" s="1626" t="str">
        <x:v>Productive by year-end</x:v>
      </x:c>
      <x:c r="H6" s="1626" t="str">
        <x:v>Transfer commissioned cohorts from CWIP to productive stock on verified in-service dates</x:v>
      </x:c>
      <x:c r="I6" s="1626" t="str">
        <x:v>Exact commissioning dates and annual additions by asset</x:v>
      </x:c>
      <x:c r="J6" s="1754" t="str">
        <x:v>PARTIAL PASS</x:v>
      </x:c>
      <x:c r="K6" s="1626" t="str">
        <x:v>https://mineraldeposits.saskatchewan.ca/Home/Viewdetails/5748</x:v>
      </x:c>
      <x:c r="L6" s="1626" t="str">
        <x:v>Material 2024 stock-boundary event; cannot use the full C$3B as a one-year addition</x:v>
      </x:c>
    </x:row>
    <x:row r="7">
      <x:c r="A7" s="1626" t="str">
        <x:v>Jansen Stage 1 and Stage 2</x:v>
      </x:c>
      <x:c r="B7" s="1626" t="str">
        <x:v>BHP</x:v>
      </x:c>
      <x:c r="C7" s="1626" t="str">
        <x:v>Construction throughout 2024; no potash production</x:v>
      </x:c>
      <x:c r="D7" s="1626" t="str">
        <x:v>Large multi-stage project; current Stage 1 estimate US$8.4B</x:v>
      </x:c>
      <x:c r="E7" s="1626" t="str">
        <x:v>Stage 1 designed for about 4.15 Mtpa; current first production mid-2027</x:v>
      </x:c>
      <x:c r="F7" s="1626" t="str">
        <x:v>No</x:v>
      </x:c>
      <x:c r="G7" s="1626" t="str">
        <x:v>Construction-in-progress</x:v>
      </x:c>
      <x:c r="H7" s="1626" t="str">
        <x:v>Exclude from 2024 productive stock and normal-return base; retain as CWIP</x:v>
      </x:c>
      <x:c r="I7" s="1626" t="str">
        <x:v>Annual CWIP additions and eventual commissioning dates</x:v>
      </x:c>
      <x:c r="J7" s="1752" t="str">
        <x:v>PASS — EXCLUDE</x:v>
      </x:c>
      <x:c r="K7" s="1626" t="str">
        <x:v>https://www.bhp.com/es/news/media-centre/releases/2026/01/jansen-update</x:v>
      </x:c>
      <x:c r="L7" s="1626" t="str">
        <x:v>Prevents non-producing project capital from reducing 2024 incumbent rent</x:v>
      </x:c>
    </x:row>
    <x:row r="8">
      <x:c r="A8" s="1626" t="str">
        <x:v>Bethune ramp-up</x:v>
      </x:c>
      <x:c r="B8" s="1626" t="str">
        <x:v>K+S</x:v>
      </x:c>
      <x:c r="C8" s="1626" t="str">
        <x:v>Operating mine with continuing ramp-up investment</x:v>
      </x:c>
      <x:c r="D8" s="1626" t="str">
        <x:v>Original approved capex budget C$4.1B (about €3B); later company valuation benchmarks are not 2024 stock</x:v>
      </x:c>
      <x:c r="E8" s="1626" t="str">
        <x:v>Operating since 2017; ramp-up remained active in 2024</x:v>
      </x:c>
      <x:c r="F8" s="1626" t="str">
        <x:v>Yes</x:v>
      </x:c>
      <x:c r="G8" s="1626" t="str">
        <x:v>Mixed productive asset and expansion/ramp-up work</x:v>
      </x:c>
      <x:c r="H8" s="1626" t="str">
        <x:v>Separate producing cohorts from expansion CWIP where project records permit</x:v>
      </x:c>
      <x:c r="I8" s="1626" t="str">
        <x:v>2024 Bethune-specific capital additions, D&amp;A and in-service dates</x:v>
      </x:c>
      <x:c r="J8" s="1754" t="str">
        <x:v>PARTIAL</x:v>
      </x:c>
      <x:c r="K8" s="1626" t="str">
        <x:v>https://www.kpluss.com/en-us/newsroom/press-releases/ks-on-track-despite-low-potash-prices/</x:v>
      </x:c>
      <x:c r="L8" s="1626" t="str">
        <x:v>Site is productive, but current expansion spending cannot all be charged as productive capital</x:v>
      </x:c>
    </x:row>
    <x:row r="9">
      <x:c r="A9" s="1759" t="str">
        <x:v>Nutrien Saskatchewan mine network</x:v>
      </x:c>
      <x:c r="B9" s="1759" t="str">
        <x:v>Nutrien</x:v>
      </x:c>
      <x:c r="C9" s="1759" t="str">
        <x:v>Six operating mines with ongoing sustaining and expansion investment</x:v>
      </x:c>
      <x:c r="D9" s="1759" t="str">
        <x:v>No mine-by-mine 2024 capital stock recovered</x:v>
      </x:c>
      <x:c r="E9" s="1759" t="str">
        <x:v>14.205 Mt Potash-segment production in 2024</x:v>
      </x:c>
      <x:c r="F9" s="1759" t="str">
        <x:v>Yes</x:v>
      </x:c>
      <x:c r="G9" s="1759" t="str">
        <x:v>Productive network</x:v>
      </x:c>
      <x:c r="H9" s="1759" t="str">
        <x:v>Use only verified commissioned assets; keep project-level CWIP separate</x:v>
      </x:c>
      <x:c r="I9" s="1759" t="str">
        <x:v>Mine/project capital additions, retirements and commissioning dates</x:v>
      </x:c>
      <x:c r="J9" s="1772" t="str">
        <x:v>PARTIAL</x:v>
      </x:c>
      <x:c r="K9" s="1759" t="str">
        <x:v>https://www.nutrien.com/about/our-business/potash</x:v>
      </x:c>
      <x:c r="L9" s="1759" t="str">
        <x:v>Operating boundary is clear; asset-level stock boundary remains unavailable</x:v>
      </x:c>
    </x:row>
    <x:row r="12">
      <x:c r="A12" s="1733" t="str">
        <x:v>Mechanical CWIP gate</x:v>
      </x:c>
      <x:c r="B12" s="1733"/>
      <x:c r="C12" s="1733"/>
      <x:c r="D12" s="1733"/>
      <x:c r="E12" s="1733"/>
      <x:c r="F12" s="1733"/>
      <x:c r="G12" s="1733"/>
      <x:c r="H12" s="1733"/>
      <x:c r="I12" s="1733"/>
      <x:c r="J12" s="1733"/>
      <x:c r="K12" s="1733"/>
      <x:c r="L12" s="1733"/>
    </x:row>
    <x:row r="13">
      <x:c r="A13" s="1745" t="str">
        <x:v>Gate ID</x:v>
      </x:c>
      <x:c r="B13" s="1746" t="str">
        <x:v>Required test</x:v>
      </x:c>
      <x:c r="C13" s="1746" t="str">
        <x:v>Current evidence</x:v>
      </x:c>
      <x:c r="D13" s="1746" t="str">
        <x:v>Status</x:v>
      </x:c>
      <x:c r="E13" s="1746" t="str">
        <x:v>Authorized treatment</x:v>
      </x:c>
      <x:c r="F13" s="1746" t="str">
        <x:v>Forbidden treatment</x:v>
      </x:c>
      <x:c r="G13" s="1746" t="str">
        <x:v>Next evidence</x:v>
      </x:c>
      <x:c r="H13" s="1747" t="str">
        <x:v>Terminal effect</x:v>
      </x:c>
    </x:row>
    <x:row r="14">
      <x:c r="A14" s="1626" t="str">
        <x:v>CWIP-01</x:v>
      </x:c>
      <x:c r="B14" s="1626" t="str">
        <x:v>Non-producing Jansen excluded from 2024 productive capital</x:v>
      </x:c>
      <x:c r="C14" s="1626" t="str">
        <x:v>No 2024 production; construction status documented</x:v>
      </x:c>
      <x:c r="D14" s="1752" t="str">
        <x:v>PASS</x:v>
      </x:c>
      <x:c r="E14" s="1626" t="str">
        <x:v>Keep Jansen in CWIP / not-yet-productive capital</x:v>
      </x:c>
      <x:c r="F14" s="1626" t="str">
        <x:v>Charging a normal return on Jansen against 2024 incumbent potash rent</x:v>
      </x:c>
      <x:c r="G14" s="1626" t="str">
        <x:v>Annual project CWIP and commissioning records</x:v>
      </x:c>
      <x:c r="H14" s="1626" t="str">
        <x:v>Improves boundary but does not unlock PIM</x:v>
      </x:c>
    </x:row>
    <x:row r="15">
      <x:c r="A15" s="1626" t="str">
        <x:v>CWIP-02</x:v>
      </x:c>
      <x:c r="B15" s="1626" t="str">
        <x:v>K3 productive-capital entry dated correctly</x:v>
      </x:c>
      <x:c r="C15" s="1626" t="str">
        <x:v>Completed and productive by year-end; exact in-service dates not extracted</x:v>
      </x:c>
      <x:c r="D15" s="1754" t="str">
        <x:v>PARTIAL</x:v>
      </x:c>
      <x:c r="E15" s="1626" t="str">
        <x:v>Use cohort commissioning dates once observed</x:v>
      </x:c>
      <x:c r="F15" s="1626" t="str">
        <x:v>Adding the entire cumulative C$3B to 2024 productive stock</x:v>
      </x:c>
      <x:c r="G15" s="1626" t="str">
        <x:v>Commissioning and asset-addition schedule</x:v>
      </x:c>
      <x:c r="H15" s="1626" t="str">
        <x:v>PIM remains locked</x:v>
      </x:c>
    </x:row>
    <x:row r="16">
      <x:c r="A16" s="1626" t="str">
        <x:v>CWIP-03</x:v>
      </x:c>
      <x:c r="B16" s="1626" t="str">
        <x:v>Bethune productive and ramp-up assets separated</x:v>
      </x:c>
      <x:c r="C16" s="1626" t="str">
        <x:v>Operating and ramp-up status verified; spending split unavailable</x:v>
      </x:c>
      <x:c r="D16" s="1754" t="str">
        <x:v>PARTIAL</x:v>
      </x:c>
      <x:c r="E16" s="1626" t="str">
        <x:v>Separate operating cohorts from unfinished expansion</x:v>
      </x:c>
      <x:c r="F16" s="1626" t="str">
        <x:v>Treating all ramp-up investment as immediately productive</x:v>
      </x:c>
      <x:c r="G16" s="1626" t="str">
        <x:v>Bethune project/site capital detail</x:v>
      </x:c>
      <x:c r="H16" s="1626" t="str">
        <x:v>PIM remains locked</x:v>
      </x:c>
    </x:row>
    <x:row r="17">
      <x:c r="A17" s="1759" t="str">
        <x:v>CWIP-04</x:v>
      </x:c>
      <x:c r="B17" s="1759" t="str">
        <x:v>National producing stock reconciles to official control</x:v>
      </x:c>
      <x:c r="C17" s="1759" t="str">
        <x:v>No detailed official potash stock or producer-complete carrying-value bridge</x:v>
      </x:c>
      <x:c r="D17" s="1758" t="str">
        <x:v>FAIL</x:v>
      </x:c>
      <x:c r="E17" s="1759" t="str">
        <x:v>None until direct stock or validated PIM exists</x:v>
      </x:c>
      <x:c r="F17" s="1759" t="str">
        <x:v>Bottom-up summation of incompatible book values</x:v>
      </x:c>
      <x:c r="G17" s="1759" t="str">
        <x:v>Compatible net stock/CFC control</x:v>
      </x:c>
      <x:c r="H17" s="1759" t="str">
        <x:v>Normal return and rent remain locked</x:v>
      </x:c>
    </x:row>
    <x:row r="20">
      <x:c r="A20" s="1733" t="str">
        <x:v>Terminal project-stage ruling</x:v>
      </x:c>
      <x:c r="B20" s="1733"/>
      <x:c r="C20" s="1733"/>
      <x:c r="D20" s="1733"/>
      <x:c r="E20" s="1733"/>
      <x:c r="F20" s="1733"/>
      <x:c r="G20" s="1733"/>
      <x:c r="H20" s="1733"/>
      <x:c r="I20" s="1733"/>
      <x:c r="J20" s="1733"/>
      <x:c r="K20" s="1733"/>
      <x:c r="L20" s="1733"/>
    </x:row>
    <x:row r="21">
      <x:c r="A21" s="1769" t="str">
        <x:v>The project evidence closes one important conceptual error: construction spending is not automatically productive capital. Jansen must be excluded from the 2024 normal-return base; K3 must enter only as commissioned cohorts; Bethune ramp-up must be split between operating and unfinished assets. This materially improves a future PIM design, but it does not establish the opening stock, full annual investment-by-asset series, retirements, CFC or national reconciliation.</x:v>
      </x:c>
      <x:c r="B21" s="1769"/>
      <x:c r="C21" s="1769"/>
      <x:c r="D21" s="1769"/>
      <x:c r="E21" s="1769"/>
      <x:c r="F21" s="1769"/>
      <x:c r="G21" s="1769"/>
      <x:c r="H21" s="1769"/>
      <x:c r="I21" s="1769"/>
      <x:c r="J21" s="1769"/>
      <x:c r="K21" s="1769"/>
      <x:c r="L21" s="1769"/>
    </x:row>
    <x:row r="22">
      <x:c r="A22" s="1769"/>
      <x:c r="B22" s="1769"/>
      <x:c r="C22" s="1769"/>
      <x:c r="D22" s="1769"/>
      <x:c r="E22" s="1769"/>
      <x:c r="F22" s="1769"/>
      <x:c r="G22" s="1769"/>
      <x:c r="H22" s="1769"/>
      <x:c r="I22" s="1769"/>
      <x:c r="J22" s="1769"/>
      <x:c r="K22" s="1769"/>
      <x:c r="L22" s="1769"/>
    </x:row>
    <x:row r="23">
      <x:c r="A23" s="1769"/>
      <x:c r="B23" s="1769"/>
      <x:c r="C23" s="1769"/>
      <x:c r="D23" s="1769"/>
      <x:c r="E23" s="1769"/>
      <x:c r="F23" s="1769"/>
      <x:c r="G23" s="1769"/>
      <x:c r="H23" s="1769"/>
      <x:c r="I23" s="1769"/>
      <x:c r="J23" s="1769"/>
      <x:c r="K23" s="1769"/>
      <x:c r="L23" s="1769"/>
    </x:row>
  </x:sheetData>
  <x:mergeCells>
    <x:mergeCell ref="A1:L1"/>
    <x:mergeCell ref="A2:L2"/>
    <x:mergeCell ref="A4:L4"/>
    <x:mergeCell ref="A12:L12"/>
    <x:mergeCell ref="A20:L20"/>
    <x:mergeCell ref="A21:L23"/>
  </x:mergeCells>
  <x:pageMargins left="0.7" right="0.7" top="0.75" bottom="0.75" header="0.3" footer="0.3"/>
</x:worksheet>
</file>

<file path=xl/worksheets/sheet55.xml><?xml version="1.0" encoding="utf-8"?>
<x:worksheet xmlns:x="http://schemas.openxmlformats.org/spreadsheetml/2006/main">
  <x:sheetFormatPr defaultRowHeight="15"/>
  <x:cols>
    <x:col min="1" max="1" width="36" hidden="0" customWidth="1"/>
    <x:col min="2" max="2" width="18" hidden="0" customWidth="1"/>
    <x:col min="3" max="3" width="26" hidden="0" customWidth="1"/>
    <x:col min="4" max="4" width="30" hidden="0" customWidth="1"/>
    <x:col min="5" max="5" width="42" hidden="0" customWidth="1"/>
    <x:col min="6" max="6" width="40" hidden="0" customWidth="1"/>
    <x:col min="7" max="7" width="20" hidden="0" customWidth="1"/>
    <x:col min="8" max="8" width="26" hidden="0" customWidth="1"/>
  </x:cols>
  <x:sheetData>
    <x:row r="1">
      <x:c r="A1" s="1828" t="str">
        <x:v>Canadian Rent Model — Evidence and Publication Gate</x:v>
      </x:c>
      <x:c r="B1" s="1828"/>
      <x:c r="C1" s="1828"/>
      <x:c r="D1" s="1828"/>
      <x:c r="E1" s="1828"/>
      <x:c r="F1" s="1828"/>
    </x:row>
    <x:row r="2">
      <x:c r="A2" s="1831" t="str">
        <x:v>Only observed controls and mechanically calculated evidence-status measures appear here. Scenario outputs are excluded.</x:v>
      </x:c>
      <x:c r="B2" s="1831"/>
      <x:c r="C2" s="1831"/>
      <x:c r="D2" s="1831"/>
      <x:c r="E2" s="1831"/>
      <x:c r="F2" s="1831"/>
    </x:row>
    <x:row r="4">
      <x:c r="A4" s="1833" t="str">
        <x:v>Observed and mechanically verified controls</x:v>
      </x:c>
      <x:c r="B4" s="1833"/>
      <x:c r="C4" s="1833"/>
      <x:c r="D4" s="1833"/>
      <x:c r="E4" s="1833"/>
      <x:c r="F4" s="1833"/>
    </x:row>
    <x:row r="5">
      <x:c r="A5" s="1838" t="str">
        <x:v>Metric</x:v>
      </x:c>
      <x:c r="B5" s="1838" t="str">
        <x:v>Value</x:v>
      </x:c>
      <x:c r="C5" s="1838" t="str">
        <x:v>Evidence class</x:v>
      </x:c>
      <x:c r="D5" s="1838" t="str">
        <x:v>Publication status</x:v>
      </x:c>
      <x:c r="E5" s="1838" t="str">
        <x:v>Lineage / source</x:v>
      </x:c>
      <x:c r="F5" s="1838" t="str">
        <x:v>Interpretation</x:v>
      </x:c>
      <x:c r="G5" s="1900" t="str">
        <x:v>Lineage ID</x:v>
      </x:c>
      <x:c r="H5" s="1900" t="str">
        <x:v>Direct-source status</x:v>
      </x:c>
    </x:row>
    <x:row r="6">
      <x:c r="A6" s="1840" t="str">
        <x:v>CGFS jurisdictions balanced</x:v>
      </x:c>
      <x:c r="B6" s="1840" t="n">
        <x:f>COUNTA(CGFS_Rent_Components!K5:K18)</x:f>
        <x:v>14</x:v>
      </x:c>
      <x:c r="C6" s="1840" t="str">
        <x:v>CALCULATED FROM OBSERVED</x:v>
      </x:c>
      <x:c r="D6" s="1840" t="str">
        <x:v>PUBLISHABLE CONTROL</x:v>
      </x:c>
      <x:c r="E6" s="1840" t="str">
        <x:v>CGFS_Rent_Components component balance</x:v>
      </x:c>
      <x:c r="F6" s="1840" t="str">
        <x:v>Federal plus 13 provinces/territories</x:v>
      </x:c>
      <x:c r="G6" s="26" t="str">
        <x:v>LIN-002</x:v>
      </x:c>
      <x:c r="H6" s="26" t="str">
        <x:v>DERIVED FROM DIRECT</x:v>
      </x:c>
    </x:row>
    <x:row r="7">
      <x:c r="A7" s="1840" t="str">
        <x:v>2024 standardized CGFS rent total ($B)</x:v>
      </x:c>
      <x:c r="B7" s="1841" t="n">
        <x:f>SUM(CGFS_Rent_Components!C5:C18)</x:f>
        <x:v>30.074</x:v>
      </x:c>
      <x:c r="C7" s="1840" t="str">
        <x:v>CALCULATED FROM OBSERVED</x:v>
      </x:c>
      <x:c r="D7" s="1840" t="str">
        <x:v>PUBLISHABLE WITH PRELIMINARY STATUS</x:v>
      </x:c>
      <x:c r="E7" s="1840" t="str">
        <x:v>CGFS_Rent_Components!C5:C18</x:v>
      </x:c>
      <x:c r="F7" s="1840" t="str">
        <x:v>Government-finance rent; not economic rent</x:v>
      </x:c>
      <x:c r="G7" s="26" t="str">
        <x:v>LIN-003</x:v>
      </x:c>
      <x:c r="H7" s="26" t="str">
        <x:v>DERIVED FROM DIRECT</x:v>
      </x:c>
    </x:row>
    <x:row r="8">
      <x:c r="A8" s="1840" t="str">
        <x:v>Observed public resource-revenue lower bound ($B)</x:v>
      </x:c>
      <x:c r="B8" s="1841" t="n">
        <x:f>Royalty_Capture!G21</x:f>
        <x:v>29.127059697000004</x:v>
      </x:c>
      <x:c r="C8" s="1840" t="str">
        <x:v>CALCULATED FROM OBSERVED / PARTIAL</x:v>
      </x:c>
      <x:c r="D8" s="1840" t="str">
        <x:v>PUBLISHABLE AS LOWER BOUND ONLY</x:v>
      </x:c>
      <x:c r="E8" s="1840" t="str">
        <x:v>Royalty_Capture!G21</x:v>
      </x:c>
      <x:c r="F8" s="1840" t="str">
        <x:v>Incomplete public-account boundary</x:v>
      </x:c>
      <x:c r="G8" s="26" t="str">
        <x:v>LIN-012</x:v>
      </x:c>
      <x:c r="H8" s="26" t="str">
        <x:v>MULTI-SOURCE / PARTIAL</x:v>
      </x:c>
    </x:row>
    <x:row r="9">
      <x:c r="A9" s="1840" t="str">
        <x:v>CGFS component observations imported</x:v>
      </x:c>
      <x:c r="B9" s="1840" t="n">
        <x:v>82</x:v>
      </x:c>
      <x:c r="C9" s="1840" t="str">
        <x:v>OBSERVED RECEIPT</x:v>
      </x:c>
      <x:c r="D9" s="1840" t="str">
        <x:v>PUBLISHABLE CONTROL</x:v>
      </x:c>
      <x:c r="E9" s="1840" t="str">
        <x:v>rent_evidence_receipt.json</x:v>
      </x:c>
      <x:c r="F9" s="1840" t="str">
        <x:v>All expected rent-component observations received</x:v>
      </x:c>
      <x:c r="G9" s="26" t="str">
        <x:v>LIN-019</x:v>
      </x:c>
      <x:c r="H9" s="26" t="str">
        <x:v>DIRECT RECEIPT</x:v>
      </x:c>
    </x:row>
    <x:row r="10">
      <x:c r="A10" s="1840" t="str">
        <x:v>Detailed labour benchmarks</x:v>
      </x:c>
      <x:c r="B10" s="1840" t="n">
        <x:f>COUNTA(Labour_Benchmark_2024!A5:A14)</x:f>
        <x:v>10</x:v>
      </x:c>
      <x:c r="C10" s="1840" t="str">
        <x:v>CALCULATED FROM OBSERVED</x:v>
      </x:c>
      <x:c r="D10" s="1840" t="str">
        <x:v>PUBLISHABLE CONTROL</x:v>
      </x:c>
      <x:c r="E10" s="1840" t="str">
        <x:v>Labour_Benchmark_2024!A5:A14</x:v>
      </x:c>
      <x:c r="F10" s="1840" t="str">
        <x:v>Ten corrected official compensation rows</x:v>
      </x:c>
      <x:c r="G10" s="26" t="str">
        <x:v>LIN-020</x:v>
      </x:c>
      <x:c r="H10" s="26" t="str">
        <x:v>DIRECT</x:v>
      </x:c>
    </x:row>
    <x:row r="11">
      <x:c r="A11" s="1839" t="str">
        <x:v>Commodity economic-rent rows complete</x:v>
      </x:c>
      <x:c r="B11" s="1839" t="n">
        <x:f>COUNT(Commodity_Rent_Bridge!J5:J15)</x:f>
        <x:v>0</x:v>
      </x:c>
      <x:c r="C11" s="1839" t="str">
        <x:v>CALCULATED STATUS</x:v>
      </x:c>
      <x:c r="D11" s="1839" t="str">
        <x:v>LOCKED</x:v>
      </x:c>
      <x:c r="E11" s="1839" t="str">
        <x:v>Commodity_Rent_Bridge!J5:J15</x:v>
      </x:c>
      <x:c r="F11" s="1839" t="str">
        <x:v>No completed commodity rent rows</x:v>
      </x:c>
      <x:c r="G11" s="26" t="str">
        <x:v>LIN-019</x:v>
      </x:c>
      <x:c r="H11" s="26" t="str">
        <x:v>CALCULATED STATUS</x:v>
      </x:c>
    </x:row>
    <x:row r="12">
      <x:c r="A12" s="1839" t="str">
        <x:v>National rent-capture percentage</x:v>
      </x:c>
      <x:c r="B12" s="1839"/>
      <x:c r="C12" s="1839" t="str">
        <x:v>MISSING DENOMINATOR</x:v>
      </x:c>
      <x:c r="D12" s="1839" t="str">
        <x:v>NOT AUTHORIZED</x:v>
      </x:c>
      <x:c r="E12" s="1839" t="str">
        <x:v>Commodity economic-rent denominator absent</x:v>
      </x:c>
      <x:c r="F12" s="1839" t="str">
        <x:v>No percentage emitted</x:v>
      </x:c>
      <x:c r="G12" s="26" t="str">
        <x:v>LIN-012</x:v>
      </x:c>
      <x:c r="H12" s="26" t="str">
        <x:v>DENOMINATOR MISSING</x:v>
      </x:c>
    </x:row>
    <x:row r="13">
      <x:c r="A13" s="1839" t="str">
        <x:v>Potash PIM authorization</x:v>
      </x:c>
      <x:c r="B13" s="1839" t="str">
        <x:f>Potash_PIM_Evidence_Gate!B8</x:f>
        <x:v>LOCKED</x:v>
      </x:c>
      <x:c r="C13" s="1839" t="str">
        <x:v>INFERRED FROM EVIDENCE GATE</x:v>
      </x:c>
      <x:c r="D13" s="1839" t="str">
        <x:v>LOCKED</x:v>
      </x:c>
      <x:c r="E13" s="1839" t="str">
        <x:v>Potash_PIM_Evidence_Gate!B8</x:v>
      </x:c>
      <x:c r="F13" s="1839" t="str">
        <x:v>Opening stock and compatible CFC remain missing</x:v>
      </x:c>
      <x:c r="G13" s="26" t="str">
        <x:v>Potash_PIM_Evidence_Gate</x:v>
      </x:c>
      <x:c r="H13" s="26" t="str">
        <x:v>LOCKED</x:v>
      </x:c>
    </x:row>
    <x:row r="16">
      <x:c r="A16" s="1833" t="str">
        <x:v>What the evidence does not authorize</x:v>
      </x:c>
      <x:c r="B16" s="1833"/>
      <x:c r="C16" s="1833"/>
      <x:c r="D16" s="1833"/>
      <x:c r="E16" s="1833"/>
      <x:c r="F16" s="1833"/>
    </x:row>
    <x:row r="17">
      <x:c r="A17" s="1838" t="str">
        <x:v>Prohibited claim</x:v>
      </x:c>
      <x:c r="B17" s="1838" t="str">
        <x:v>Reason</x:v>
      </x:c>
      <x:c r="C17" s="1838" t="str">
        <x:v>Current gate</x:v>
      </x:c>
      <x:c r="D17" s="1838" t="str">
        <x:v>Required evidence</x:v>
      </x:c>
      <x:c r="E17" s="1838" t="str">
        <x:v>Model action</x:v>
      </x:c>
      <x:c r="F17" s="1838" t="str">
        <x:v>Status</x:v>
      </x:c>
    </x:row>
    <x:row r="18">
      <x:c r="A18" s="1839" t="str">
        <x:v>Measured Canadian commodity economic rent</x:v>
      </x:c>
      <x:c r="B18" s="1839" t="str">
        <x:v>Capital, CFC and compatible commodity boundaries incomplete</x:v>
      </x:c>
      <x:c r="C18" s="1839" t="str">
        <x:v>Zero completed rows</x:v>
      </x:c>
      <x:c r="D18" s="1839" t="str">
        <x:v>Commodity-complete capital and cost accounts</x:v>
      </x:c>
      <x:c r="E18" s="1839" t="str">
        <x:v>Emit no point estimate</x:v>
      </x:c>
      <x:c r="F18" s="1839" t="str">
        <x:v>LOCKED</x:v>
      </x:c>
    </x:row>
    <x:row r="19">
      <x:c r="A19" s="1839" t="str">
        <x:v>National public rent-capture rate</x:v>
      </x:c>
      <x:c r="B19" s="1839" t="str">
        <x:v>Economic-rent denominator absent</x:v>
      </x:c>
      <x:c r="C19" s="1839" t="str">
        <x:v>No denominator</x:v>
      </x:c>
      <x:c r="D19" s="1839" t="str">
        <x:v>Verified national commodity-rent total</x:v>
      </x:c>
      <x:c r="E19" s="1839" t="str">
        <x:v>Emit no percentage</x:v>
      </x:c>
      <x:c r="F19" s="1839" t="str">
        <x:v>LOCKED</x:v>
      </x:c>
    </x:row>
    <x:row r="20">
      <x:c r="A20" s="1839" t="str">
        <x:v>Forecast public-wealth outcome</x:v>
      </x:c>
      <x:c r="B20" s="1839" t="str">
        <x:v>SWF outputs are policy scenarios</x:v>
      </x:c>
      <x:c r="C20" s="1839" t="str">
        <x:v>Assumption-dependent</x:v>
      </x:c>
      <x:c r="D20" s="1839" t="str">
        <x:v>Verified deposits and policy enactment</x:v>
      </x:c>
      <x:c r="E20" s="1839" t="str">
        <x:v>Label scenario only</x:v>
      </x:c>
      <x:c r="F20" s="1839" t="str">
        <x:v>NOT EVIDENCE</x:v>
      </x:c>
    </x:row>
  </x:sheetData>
  <x:mergeCells>
    <x:mergeCell ref="A1:F1"/>
    <x:mergeCell ref="A2:F2"/>
    <x:mergeCell ref="A4:F4"/>
    <x:mergeCell ref="A16:F16"/>
  </x:mergeCells>
  <x:pageMargins left="0.7" right="0.7" top="0.75" bottom="0.75" header="0.3" footer="0.3"/>
</x:worksheet>
</file>

<file path=xl/worksheets/sheet56.xml><?xml version="1.0" encoding="utf-8"?>
<x:worksheet xmlns:x="http://schemas.openxmlformats.org/spreadsheetml/2006/main">
  <x:sheetFormatPr defaultRowHeight="15"/>
  <x:cols>
    <x:col min="1" max="1" width="15" hidden="0" customWidth="1"/>
    <x:col min="2" max="2" width="30" hidden="0" customWidth="1"/>
    <x:col min="3" max="3" width="43" hidden="0" customWidth="1"/>
    <x:col min="4" max="4" width="50" hidden="0" customWidth="1"/>
    <x:col min="5" max="5" width="24" hidden="0" customWidth="1"/>
    <x:col min="6" max="6" width="42" hidden="0" customWidth="1"/>
    <x:col min="7" max="7" width="28" hidden="0" customWidth="1"/>
    <x:col min="8" max="8" width="14" hidden="0" customWidth="1"/>
  </x:cols>
  <x:sheetData>
    <x:row r="1">
      <x:c r="A1" s="1827" t="str">
        <x:v>Evidence-Governance Remediation — v0.22</x:v>
      </x:c>
      <x:c r="B1" s="1827"/>
      <x:c r="C1" s="1827"/>
      <x:c r="D1" s="1827"/>
      <x:c r="E1" s="1827"/>
      <x:c r="F1" s="1827"/>
      <x:c r="G1" s="1827"/>
      <x:c r="H1" s="1827"/>
    </x:row>
    <x:row r="2">
      <x:c r="A2" s="1843" t="str">
        <x:v>Corrections applied after the v0.21 audit. The audit itself contained one false positive: Assumptions!B26 was already formula-driven and required no repair.</x:v>
      </x:c>
      <x:c r="B2" s="1843"/>
      <x:c r="C2" s="1843"/>
      <x:c r="D2" s="1843"/>
      <x:c r="E2" s="1843"/>
      <x:c r="F2" s="1843"/>
      <x:c r="G2" s="1843"/>
      <x:c r="H2" s="1843"/>
    </x:row>
    <x:row r="4">
      <x:c r="A4" s="1838" t="str">
        <x:v>Remediation ID</x:v>
      </x:c>
      <x:c r="B4" s="1838" t="str">
        <x:v>Affected range</x:v>
      </x:c>
      <x:c r="C4" s="1838" t="str">
        <x:v>Prior problem</x:v>
      </x:c>
      <x:c r="D4" s="1838" t="str">
        <x:v>Correction</x:v>
      </x:c>
      <x:c r="E4" s="1838" t="str">
        <x:v>Evidence class</x:v>
      </x:c>
      <x:c r="F4" s="1838" t="str">
        <x:v>Publication consequence</x:v>
      </x:c>
      <x:c r="G4" s="1838" t="str">
        <x:v>Verification</x:v>
      </x:c>
      <x:c r="H4" s="1838" t="str">
        <x:v>Status</x:v>
      </x:c>
    </x:row>
    <x:row r="5">
      <x:c r="A5" s="26" t="str">
        <x:v>REM-01</x:v>
      </x:c>
      <x:c r="B5" s="26" t="str">
        <x:v>Commodity_Rent_Bridge!E5:P16</x:v>
      </x:c>
      <x:c r="C5" s="26" t="str">
        <x:v>Missing evidence displayed and calculated as zero</x:v>
      </x:c>
      <x:c r="D5" s="26" t="str">
        <x:v>Missing inputs cleared; formulas return blank until all required values exist</x:v>
      </x:c>
      <x:c r="E5" s="26" t="str">
        <x:v>MISSING / CALCULATED</x:v>
      </x:c>
      <x:c r="F5" s="26" t="str">
        <x:v>Prevents false zero rent and residual claims</x:v>
      </x:c>
      <x:c r="G5" s="26" t="str">
        <x:v>COUNT-gated formulas</x:v>
      </x:c>
      <x:c r="H5" s="1840" t="str">
        <x:v>PASS</x:v>
      </x:c>
    </x:row>
    <x:row r="6">
      <x:c r="A6" s="26" t="str">
        <x:v>REM-02</x:v>
      </x:c>
      <x:c r="B6" s="26" t="str">
        <x:v>Royalty_Capture!C5:G19</x:v>
      </x:c>
      <x:c r="C6" s="26" t="str">
        <x:v>Unknown jurisdiction inputs displayed as zero</x:v>
      </x:c>
      <x:c r="D6" s="26" t="str">
        <x:v>Data-needed rows cleared; row totals blank when no observed component exists</x:v>
      </x:c>
      <x:c r="E6" s="26" t="str">
        <x:v>OBSERVED / MISSING</x:v>
      </x:c>
      <x:c r="F6" s="26" t="str">
        <x:v>Public receipts remain an incomplete lower bound</x:v>
      </x:c>
      <x:c r="G6" s="26" t="str">
        <x:v>COUNT-gated totals</x:v>
      </x:c>
      <x:c r="H6" s="1840" t="str">
        <x:v>PASS</x:v>
      </x:c>
    </x:row>
    <x:row r="7">
      <x:c r="A7" s="26" t="str">
        <x:v>REM-03</x:v>
      </x:c>
      <x:c r="B7" s="26" t="str">
        <x:v>Land_Property!C10:F23</x:v>
      </x:c>
      <x:c r="C7" s="26" t="str">
        <x:v>Unreported tax categories displayed as zero</x:v>
      </x:c>
      <x:c r="D7" s="26" t="str">
        <x:v>Unavailable components cleared; totals retain only observed lower-bound components</x:v>
      </x:c>
      <x:c r="E7" s="26" t="str">
        <x:v>OBSERVED / MISSING</x:v>
      </x:c>
      <x:c r="F7" s="26" t="str">
        <x:v>Prevents false completeness</x:v>
      </x:c>
      <x:c r="G7" s="26" t="str">
        <x:v>COUNT-gated totals</x:v>
      </x:c>
      <x:c r="H7" s="1840" t="str">
        <x:v>PASS</x:v>
      </x:c>
    </x:row>
    <x:row r="8">
      <x:c r="A8" s="26" t="str">
        <x:v>REM-04</x:v>
      </x:c>
      <x:c r="B8" s="26" t="str">
        <x:v>Infrastructure_Gains!E6:K8</x:v>
      </x:c>
      <x:c r="C8" s="26" t="str">
        <x:v>Financing cases appeared as measured zero uplift</x:v>
      </x:c>
      <x:c r="D8" s="26" t="str">
        <x:v>Unavailable uplift fields cleared and data-required formulas return blank</x:v>
      </x:c>
      <x:c r="E8" s="26" t="str">
        <x:v>OBSERVED / ASSUMED / MISSING</x:v>
      </x:c>
      <x:c r="F8" s="26" t="str">
        <x:v>Observed financing cases no longer imply zero causal gain</x:v>
      </x:c>
      <x:c r="G8" s="26" t="str">
        <x:v>Formula guards</x:v>
      </x:c>
      <x:c r="H8" s="1840" t="str">
        <x:v>PASS</x:v>
      </x:c>
    </x:row>
    <x:row r="9">
      <x:c r="A9" s="26" t="str">
        <x:v>REM-05</x:v>
      </x:c>
      <x:c r="B9" s="26" t="str">
        <x:v>Resource_Rent / SWF_Scenario / Dashboard</x:v>
      </x:c>
      <x:c r="C9" s="26" t="str">
        <x:v>Scenario outputs visually mixed with observed evidence</x:v>
      </x:c>
      <x:c r="D9" s="26" t="str">
        <x:v>Titles and warnings strengthened; new evidence-only dashboard created</x:v>
      </x:c>
      <x:c r="E9" s="26" t="str">
        <x:v>ASSUMED / CALCULATED</x:v>
      </x:c>
      <x:c r="F9" s="26" t="str">
        <x:v>Scenario outputs cannot be mistaken for empirical findings</x:v>
      </x:c>
      <x:c r="G9" s="26" t="str">
        <x:v>Visible classification</x:v>
      </x:c>
      <x:c r="H9" s="1840" t="str">
        <x:v>PASS</x:v>
      </x:c>
    </x:row>
    <x:row r="10">
      <x:c r="A10" s="26" t="str">
        <x:v>REM-06</x:v>
      </x:c>
      <x:c r="B10" s="26" t="str">
        <x:v>Assumptions!B27</x:v>
      </x:c>
      <x:c r="C10" s="26" t="str">
        <x:v>Rejected CAPEX allocator remained neutrally labelled</x:v>
      </x:c>
      <x:c r="D10" s="26" t="str">
        <x:v>Relabelled as rejected sensitivity only</x:v>
      </x:c>
      <x:c r="E10" s="26" t="str">
        <x:v>ASSUMED / REJECTED</x:v>
      </x:c>
      <x:c r="F10" s="26" t="str">
        <x:v>No commodity capital authorization</x:v>
      </x:c>
      <x:c r="G10" s="26" t="str">
        <x:v>Publication lock retained</x:v>
      </x:c>
      <x:c r="H10" s="1840" t="str">
        <x:v>PASS</x:v>
      </x:c>
    </x:row>
    <x:row r="11">
      <x:c r="A11" s="26" t="str">
        <x:v>REM-07</x:v>
      </x:c>
      <x:c r="B11" s="26" t="str">
        <x:v>Assumptions!B26</x:v>
      </x:c>
      <x:c r="C11" s="26" t="str">
        <x:v>v0.21 audit reported a hardcoded real rate</x:v>
      </x:c>
      <x:c r="D11" s="26" t="str">
        <x:v>Audit finding corrected: cell already contains =B24-B25</x:v>
      </x:c>
      <x:c r="E11" s="26" t="str">
        <x:v>CALCULATED</x:v>
      </x:c>
      <x:c r="F11" s="26" t="str">
        <x:v>Prevents a false criticism of the workbook</x:v>
      </x:c>
      <x:c r="G11" s="26" t="str">
        <x:v>Formula inspected directly</x:v>
      </x:c>
      <x:c r="H11" s="1840" t="str">
        <x:v>CORRECTED</x:v>
      </x:c>
    </x:row>
  </x:sheetData>
  <x:mergeCells>
    <x:mergeCell ref="A1:H1"/>
    <x:mergeCell ref="A2:H2"/>
  </x:mergeCells>
  <x:pageMargins left="0.7" right="0.7" top="0.75" bottom="0.75" header="0.3" footer="0.3"/>
</x:worksheet>
</file>

<file path=xl/worksheets/sheet57.xml><?xml version="1.0" encoding="utf-8"?>
<x:worksheet xmlns:x="http://schemas.openxmlformats.org/spreadsheetml/2006/main">
  <x:sheetFormatPr defaultRowHeight="15"/>
  <x:cols>
    <x:col min="1" max="1" width="15" hidden="0" customWidth="1"/>
    <x:col min="2" max="2" width="17" hidden="0" customWidth="1"/>
    <x:col min="3" max="3" width="20" hidden="0" customWidth="1"/>
    <x:col min="4" max="4" width="29" hidden="0" customWidth="1"/>
    <x:col min="5" max="5" width="16" hidden="0" customWidth="1"/>
    <x:col min="6" max="6" width="35" hidden="0" customWidth="1"/>
    <x:col min="7" max="7" width="28" hidden="0" customWidth="1"/>
    <x:col min="8" max="8" width="34" hidden="0" customWidth="1"/>
    <x:col min="9" max="9" width="25" hidden="0" customWidth="1"/>
  </x:cols>
  <x:sheetData>
    <x:row r="1" ht="28" customHeight="1">
      <x:c r="A1" s="1891" t="str">
        <x:v>Central Model Parameters and Technical Conventions</x:v>
      </x:c>
      <x:c r="B1" s="1891"/>
      <x:c r="C1" s="1891"/>
      <x:c r="D1" s="1891"/>
      <x:c r="E1" s="1891"/>
      <x:c r="F1" s="1891"/>
      <x:c r="G1" s="1891"/>
      <x:c r="H1" s="1891"/>
      <x:c r="I1" s="1891"/>
    </x:row>
    <x:row r="2" ht="44" customHeight="1">
      <x:c r="A2" s="1895" t="str">
        <x:v>Material assumptions, validation thresholds and legal-screen parameters are centralized here. Unit conversions and mathematical identities are documented separately and are not policy assumptions.</x:v>
      </x:c>
      <x:c r="B2" s="1895"/>
      <x:c r="C2" s="1895"/>
      <x:c r="D2" s="1895"/>
      <x:c r="E2" s="1895"/>
      <x:c r="F2" s="1895"/>
      <x:c r="G2" s="1895"/>
      <x:c r="H2" s="1895"/>
      <x:c r="I2" s="1895"/>
    </x:row>
    <x:row r="4">
      <x:c r="A4" s="1900" t="str">
        <x:v>Parameter ID</x:v>
      </x:c>
      <x:c r="B4" s="1900" t="str">
        <x:v>Value</x:v>
      </x:c>
      <x:c r="C4" s="1900" t="str">
        <x:v>Units</x:v>
      </x:c>
      <x:c r="D4" s="1900" t="str">
        <x:v>Class</x:v>
      </x:c>
      <x:c r="E4" s="1900" t="str">
        <x:v>Editable?</x:v>
      </x:c>
      <x:c r="F4" s="1900" t="str">
        <x:v>Purpose</x:v>
      </x:c>
      <x:c r="G4" s="1900" t="str">
        <x:v>Source / rationale</x:v>
      </x:c>
      <x:c r="H4" s="1900" t="str">
        <x:v>Status</x:v>
      </x:c>
      <x:c r="I4" s="1900" t="str">
        <x:v>Affected formulas</x:v>
      </x:c>
    </x:row>
    <x:row r="5">
      <x:c r="A5" s="1904" t="str">
        <x:v>P-001</x:v>
      </x:c>
      <x:c r="B5" s="1905" t="n">
        <x:v>1800</x:v>
      </x:c>
      <x:c r="C5" s="1904" t="str">
        <x:v>HHI points</x:v>
      </x:c>
      <x:c r="D5" s="1904" t="str">
        <x:v>OBSERVED LEGAL THRESHOLD</x:v>
      </x:c>
      <x:c r="E5" s="1904" t="str">
        <x:v>No</x:v>
      </x:c>
      <x:c r="F5" s="1904" t="str">
        <x:v>Canadian merger structural-presumption HHI level</x:v>
      </x:c>
      <x:c r="G5" s="1904" t="str">
        <x:v>Competition Act / Competition Bureau proposed guidelines: https://competition-bureau.canada.ca/en/how-we-foster-competition/consultations/proposed-merger-enforcement-guidelines</x:v>
      </x:c>
      <x:c r="H5" s="1904" t="str">
        <x:v>CURRENT CANADIAN THRESHOLD</x:v>
      </x:c>
      <x:c r="I5" s="1904" t="str">
        <x:v>Sector_Tests; Concentration</x:v>
      </x:c>
    </x:row>
    <x:row r="6">
      <x:c r="A6" s="1904" t="str">
        <x:v>P-002</x:v>
      </x:c>
      <x:c r="B6" s="1905" t="n">
        <x:v>100</x:v>
      </x:c>
      <x:c r="C6" s="1904" t="str">
        <x:v>HHI points</x:v>
      </x:c>
      <x:c r="D6" s="1904" t="str">
        <x:v>OBSERVED LEGAL THRESHOLD</x:v>
      </x:c>
      <x:c r="E6" s="1904" t="str">
        <x:v>No</x:v>
      </x:c>
      <x:c r="F6" s="1904" t="str">
        <x:v>Required increase in HHI for Canadian merger structural presumption</x:v>
      </x:c>
      <x:c r="G6" s="1904" t="str">
        <x:v>Competition Act / Competition Bureau proposed guidelines: https://competition-bureau.canada.ca/en/how-we-foster-competition/consultations/proposed-merger-enforcement-guidelines</x:v>
      </x:c>
      <x:c r="H6" s="1904" t="str">
        <x:v>DOCUMENTED; NOT COMPUTED BY CURRENT SCREENS</x:v>
      </x:c>
      <x:c r="I6" s="1904" t="str">
        <x:v>Future merger-delta tests</x:v>
      </x:c>
    </x:row>
    <x:row r="7">
      <x:c r="A7" s="1906" t="str">
        <x:v>P-003</x:v>
      </x:c>
      <x:c r="B7" s="1907" t="n">
        <x:v>1000</x:v>
      </x:c>
      <x:c r="C7" s="1906" t="str">
        <x:v>dollars</x:v>
      </x:c>
      <x:c r="D7" s="1906" t="str">
        <x:v>INTERNAL VALIDATION THRESHOLD</x:v>
      </x:c>
      <x:c r="E7" s="1906" t="str">
        <x:v>Reviewer approval</x:v>
      </x:c>
      <x:c r="F7" s="1906" t="str">
        <x:v>Alberta project-table arithmetic reconciliation tolerance</x:v>
      </x:c>
      <x:c r="G7" s="1906" t="str">
        <x:v>Internal audit tolerance; does not change source royalty payable</x:v>
      </x:c>
      <x:c r="H7" s="1906" t="str">
        <x:v>CENTRALIZED</x:v>
      </x:c>
      <x:c r="I7" s="1906" t="str">
        <x:v>AB_OS_Project_Data_2024</x:v>
      </x:c>
    </x:row>
    <x:row r="8">
      <x:c r="A8" s="1906" t="str">
        <x:v>P-004</x:v>
      </x:c>
      <x:c r="B8" s="1907" t="n">
        <x:v>0.01</x:v>
      </x:c>
      <x:c r="C8" s="1906" t="str">
        <x:v>ratio</x:v>
      </x:c>
      <x:c r="D8" s="1906" t="str">
        <x:v>INTERNAL VALIDATION THRESHOLD</x:v>
      </x:c>
      <x:c r="E8" s="1906" t="str">
        <x:v>Reviewer approval</x:v>
      </x:c>
      <x:c r="F8" s="1906" t="str">
        <x:v>Relative labour-control review threshold</x:v>
      </x:c>
      <x:c r="G8" s="1906" t="str">
        <x:v>Internal diagnostic threshold; not a statistical confidence interval</x:v>
      </x:c>
      <x:c r="H8" s="1906" t="str">
        <x:v>CENTRALIZED</x:v>
      </x:c>
      <x:c r="I8" s="1906" t="str">
        <x:v>Oil_Sands_Bridge_2024; Potash_Bridge_2024</x:v>
      </x:c>
    </x:row>
    <x:row r="9">
      <x:c r="A9" s="1906" t="str">
        <x:v>P-005</x:v>
      </x:c>
      <x:c r="B9" s="1907" t="n">
        <x:v>0.000001</x:v>
      </x:c>
      <x:c r="C9" s="1906" t="str">
        <x:v>$B</x:v>
      </x:c>
      <x:c r="D9" s="1906" t="str">
        <x:v>INTERNAL VALIDATION THRESHOLD</x:v>
      </x:c>
      <x:c r="E9" s="1906" t="str">
        <x:v>Reviewer approval</x:v>
      </x:c>
      <x:c r="F9" s="1906" t="str">
        <x:v>Production-identity reconciliation tolerance</x:v>
      </x:c>
      <x:c r="G9" s="1906" t="str">
        <x:v>Equivalent to $1,000; internal exactness gate</x:v>
      </x:c>
      <x:c r="H9" s="1906" t="str">
        <x:v>CENTRALIZED</x:v>
      </x:c>
      <x:c r="I9" s="1906" t="str">
        <x:v>Oil_Sands_Bridge_2024; Potash_Bridge_2024</x:v>
      </x:c>
    </x:row>
    <x:row r="10">
      <x:c r="A10" s="1906" t="str">
        <x:v>P-006</x:v>
      </x:c>
      <x:c r="B10" s="1907" t="n">
        <x:v>1.5</x:v>
      </x:c>
      <x:c r="C10" s="1906" t="str">
        <x:v>x</x:v>
      </x:c>
      <x:c r="D10" s="1906" t="str">
        <x:v>INTERNAL DIAGNOSTIC THRESHOLD</x:v>
      </x:c>
      <x:c r="E10" s="1906" t="str">
        <x:v>Reviewer approval</x:v>
      </x:c>
      <x:c r="F10" s="1906" t="str">
        <x:v>Capital-proxy high-distortion upper ratio</x:v>
      </x:c>
      <x:c r="G10" s="1906" t="str">
        <x:v>Falsification threshold; rejected proxy remains diagnostic only</x:v>
      </x:c>
      <x:c r="H10" s="1906" t="str">
        <x:v>CENTRALIZED</x:v>
      </x:c>
      <x:c r="I10" s="1906" t="str">
        <x:v>Capital_Proxy_Stress_Test</x:v>
      </x:c>
    </x:row>
    <x:row r="11">
      <x:c r="A11" s="1906" t="str">
        <x:v>P-007</x:v>
      </x:c>
      <x:c r="B11" s="1907" t="n">
        <x:v>0.67</x:v>
      </x:c>
      <x:c r="C11" s="1906" t="str">
        <x:v>x</x:v>
      </x:c>
      <x:c r="D11" s="1906" t="str">
        <x:v>INTERNAL DIAGNOSTIC THRESHOLD</x:v>
      </x:c>
      <x:c r="E11" s="1906" t="str">
        <x:v>Reviewer approval</x:v>
      </x:c>
      <x:c r="F11" s="1906" t="str">
        <x:v>Capital-proxy high-distortion lower ratio</x:v>
      </x:c>
      <x:c r="G11" s="1906" t="str">
        <x:v>Falsification threshold; rejected proxy remains diagnostic only</x:v>
      </x:c>
      <x:c r="H11" s="1906" t="str">
        <x:v>CENTRALIZED</x:v>
      </x:c>
      <x:c r="I11" s="1906" t="str">
        <x:v>Capital_Proxy_Stress_Test</x:v>
      </x:c>
    </x:row>
    <x:row r="12">
      <x:c r="A12" s="1906" t="str">
        <x:v>P-008</x:v>
      </x:c>
      <x:c r="B12" s="1907" t="n">
        <x:v>1.25</x:v>
      </x:c>
      <x:c r="C12" s="1906" t="str">
        <x:v>x</x:v>
      </x:c>
      <x:c r="D12" s="1906" t="str">
        <x:v>INTERNAL DIAGNOSTIC THRESHOLD</x:v>
      </x:c>
      <x:c r="E12" s="1906" t="str">
        <x:v>Reviewer approval</x:v>
      </x:c>
      <x:c r="F12" s="1906" t="str">
        <x:v>Capital-proxy material-distortion upper ratio</x:v>
      </x:c>
      <x:c r="G12" s="1906" t="str">
        <x:v>Falsification threshold; rejected proxy remains diagnostic only</x:v>
      </x:c>
      <x:c r="H12" s="1906" t="str">
        <x:v>CENTRALIZED</x:v>
      </x:c>
      <x:c r="I12" s="1906" t="str">
        <x:v>Capital_Proxy_Stress_Test</x:v>
      </x:c>
    </x:row>
    <x:row r="13">
      <x:c r="A13" s="1906" t="str">
        <x:v>P-009</x:v>
      </x:c>
      <x:c r="B13" s="1907" t="n">
        <x:v>0.8</x:v>
      </x:c>
      <x:c r="C13" s="1906" t="str">
        <x:v>x</x:v>
      </x:c>
      <x:c r="D13" s="1906" t="str">
        <x:v>INTERNAL DIAGNOSTIC THRESHOLD</x:v>
      </x:c>
      <x:c r="E13" s="1906" t="str">
        <x:v>Reviewer approval</x:v>
      </x:c>
      <x:c r="F13" s="1906" t="str">
        <x:v>Capital-proxy material-distortion lower ratio</x:v>
      </x:c>
      <x:c r="G13" s="1906" t="str">
        <x:v>Falsification threshold; rejected proxy remains diagnostic only</x:v>
      </x:c>
      <x:c r="H13" s="1906" t="str">
        <x:v>CENTRALIZED</x:v>
      </x:c>
      <x:c r="I13" s="1906" t="str">
        <x:v>Capital_Proxy_Stress_Test</x:v>
      </x:c>
    </x:row>
    <x:row r="14">
      <x:c r="A14" s="1906" t="str">
        <x:v>P-010</x:v>
      </x:c>
      <x:c r="B14" s="1907" t="n">
        <x:v>0.25</x:v>
      </x:c>
      <x:c r="C14" s="1906" t="str">
        <x:v>share</x:v>
      </x:c>
      <x:c r="D14" s="1906" t="str">
        <x:v>ILLUSTRATIVE TIMING ASSUMPTION</x:v>
      </x:c>
      <x:c r="E14" s="1906" t="str">
        <x:v>Yes</x:v>
      </x:c>
      <x:c r="F14" s="1906" t="str">
        <x:v>Prior fiscal-year weight in calendar-2024 bridge</x:v>
      </x:c>
      <x:c r="G14" s="1906" t="str">
        <x:v>Uniform quarterly-accrual illustration; not an official conversion</x:v>
      </x:c>
      <x:c r="H14" s="1906" t="str">
        <x:v>CENTRALIZED / SCENARIO ONLY</x:v>
      </x:c>
      <x:c r="I14" s="1906" t="str">
        <x:v>AB_Royalty_Reconciliation</x:v>
      </x:c>
    </x:row>
    <x:row r="15">
      <x:c r="A15" s="1906" t="str">
        <x:v>P-011</x:v>
      </x:c>
      <x:c r="B15" s="1907" t="n">
        <x:v>0.75</x:v>
      </x:c>
      <x:c r="C15" s="1906" t="str">
        <x:v>share</x:v>
      </x:c>
      <x:c r="D15" s="1906" t="str">
        <x:v>ILLUSTRATIVE TIMING ASSUMPTION</x:v>
      </x:c>
      <x:c r="E15" s="1906" t="str">
        <x:v>Yes</x:v>
      </x:c>
      <x:c r="F15" s="1906" t="str">
        <x:v>Current fiscal-year weight in calendar-2024 bridge</x:v>
      </x:c>
      <x:c r="G15" s="1906" t="str">
        <x:v>Uniform quarterly-accrual illustration; not an official conversion</x:v>
      </x:c>
      <x:c r="H15" s="1906" t="str">
        <x:v>CENTRALIZED / SCENARIO ONLY</x:v>
      </x:c>
      <x:c r="I15" s="1906" t="str">
        <x:v>AB_Royalty_Reconciliation</x:v>
      </x:c>
    </x:row>
    <x:row r="16">
      <x:c r="A16" s="1906" t="str">
        <x:v>P-012</x:v>
      </x:c>
      <x:c r="B16" s="1907" t="n">
        <x:v>0.5</x:v>
      </x:c>
      <x:c r="C16" s="1906" t="str">
        <x:v>share of annual deposits</x:v>
      </x:c>
      <x:c r="D16" s="1906" t="str">
        <x:v>SCENARIO TIMING ASSUMPTION</x:v>
      </x:c>
      <x:c r="E16" s="1906" t="str">
        <x:v>Yes</x:v>
      </x:c>
      <x:c r="F16" s="1906" t="str">
        <x:v>Mid-year deposit timing factor in fund-return calculation</x:v>
      </x:c>
      <x:c r="G16" s="1906" t="str">
        <x:v>Deposits assumed to arrive evenly through the year</x:v>
      </x:c>
      <x:c r="H16" s="1906" t="str">
        <x:v>CENTRALIZED / SCENARIO ONLY</x:v>
      </x:c>
      <x:c r="I16" s="1906" t="str">
        <x:v>SWF_Scenario</x:v>
      </x:c>
    </x:row>
    <x:row r="17">
      <x:c r="A17" s="1906" t="str">
        <x:v>P-013</x:v>
      </x:c>
      <x:c r="B17" s="1907" t="n">
        <x:v>2026</x:v>
      </x:c>
      <x:c r="C17" s="1906" t="str">
        <x:v>year</x:v>
      </x:c>
      <x:c r="D17" s="1906" t="str">
        <x:v>ILLUSTRATIVE SCENARIO INPUT</x:v>
      </x:c>
      <x:c r="E17" s="1906" t="str">
        <x:v>Yes</x:v>
      </x:c>
      <x:c r="F17" s="1906" t="str">
        <x:v>Illustrative transit-corridor project year</x:v>
      </x:c>
      <x:c r="G17" s="1906" t="str">
        <x:v>Example only; replace with a defined project dataset</x:v>
      </x:c>
      <x:c r="H17" s="1906" t="str">
        <x:v>CENTRALIZED / NOT EVIDENCE</x:v>
      </x:c>
      <x:c r="I17" s="1906" t="str">
        <x:v>Infrastructure_Gains</x:v>
      </x:c>
    </x:row>
    <x:row r="18">
      <x:c r="A18" s="1906" t="str">
        <x:v>P-014</x:v>
      </x:c>
      <x:c r="B18" s="1907" t="n">
        <x:v>5</x:v>
      </x:c>
      <x:c r="C18" s="1906" t="str">
        <x:v>$B</x:v>
      </x:c>
      <x:c r="D18" s="1906" t="str">
        <x:v>ILLUSTRATIVE SCENARIO INPUT</x:v>
      </x:c>
      <x:c r="E18" s="1906" t="str">
        <x:v>Yes</x:v>
      </x:c>
      <x:c r="F18" s="1906" t="str">
        <x:v>Illustrative public project cost</x:v>
      </x:c>
      <x:c r="G18" s="1906" t="str">
        <x:v>Example only; replace with project evidence</x:v>
      </x:c>
      <x:c r="H18" s="1906" t="str">
        <x:v>CENTRALIZED / NOT EVIDENCE</x:v>
      </x:c>
      <x:c r="I18" s="1906" t="str">
        <x:v>Infrastructure_Gains</x:v>
      </x:c>
    </x:row>
    <x:row r="19">
      <x:c r="A19" s="1906" t="str">
        <x:v>P-015</x:v>
      </x:c>
      <x:c r="B19" s="1907" t="n">
        <x:v>50</x:v>
      </x:c>
      <x:c r="C19" s="1906" t="str">
        <x:v>$B</x:v>
      </x:c>
      <x:c r="D19" s="1906" t="str">
        <x:v>ILLUSTRATIVE SCENARIO INPUT</x:v>
      </x:c>
      <x:c r="E19" s="1906" t="str">
        <x:v>Yes</x:v>
      </x:c>
      <x:c r="F19" s="1906" t="str">
        <x:v>Illustrative affected pre-project land value</x:v>
      </x:c>
      <x:c r="G19" s="1906" t="str">
        <x:v>Example only; replace with assessed-value evidence</x:v>
      </x:c>
      <x:c r="H19" s="1906" t="str">
        <x:v>CENTRALIZED / NOT EVIDENCE</x:v>
      </x:c>
      <x:c r="I19" s="1906" t="str">
        <x:v>Infrastructure_Gains</x:v>
      </x:c>
    </x:row>
    <x:row r="20">
      <x:c r="A20" s="1906" t="str">
        <x:v>P-016</x:v>
      </x:c>
      <x:c r="B20" s="1907" t="n">
        <x:v>0.05</x:v>
      </x:c>
      <x:c r="C20" s="1906" t="str">
        <x:v>rate</x:v>
      </x:c>
      <x:c r="D20" s="1906" t="str">
        <x:v>ILLUSTRATIVE SCENARIO INPUT</x:v>
      </x:c>
      <x:c r="E20" s="1906" t="str">
        <x:v>Yes</x:v>
      </x:c>
      <x:c r="F20" s="1906" t="str">
        <x:v>Illustrative control-area appreciation</x:v>
      </x:c>
      <x:c r="G20" s="1906" t="str">
        <x:v>Example only; requires causal control design</x:v>
      </x:c>
      <x:c r="H20" s="1906" t="str">
        <x:v>CENTRALIZED / NOT EVIDENCE</x:v>
      </x:c>
      <x:c r="I20" s="1906" t="str">
        <x:v>Infrastructure_Gains</x:v>
      </x:c>
    </x:row>
    <x:row r="21">
      <x:c r="A21" s="1906" t="str">
        <x:v>P-017</x:v>
      </x:c>
      <x:c r="B21" s="1907" t="n">
        <x:v>0.15</x:v>
      </x:c>
      <x:c r="C21" s="1906" t="str">
        <x:v>rate</x:v>
      </x:c>
      <x:c r="D21" s="1906" t="str">
        <x:v>ILLUSTRATIVE SCENARIO INPUT</x:v>
      </x:c>
      <x:c r="E21" s="1906" t="str">
        <x:v>Yes</x:v>
      </x:c>
      <x:c r="F21" s="1906" t="str">
        <x:v>Illustrative project-area appreciation</x:v>
      </x:c>
      <x:c r="G21" s="1906" t="str">
        <x:v>Example only; requires causal control design</x:v>
      </x:c>
      <x:c r="H21" s="1906" t="str">
        <x:v>CENTRALIZED / NOT EVIDENCE</x:v>
      </x:c>
      <x:c r="I21" s="1906" t="str">
        <x:v>Infrastructure_Gains</x:v>
      </x:c>
    </x:row>
    <x:row r="24">
      <x:c r="A24" s="1909" t="str">
        <x:v>Documented constants that remain literal</x:v>
      </x:c>
      <x:c r="B24" s="1909"/>
      <x:c r="C24" s="1909"/>
      <x:c r="D24" s="1909"/>
      <x:c r="E24" s="1909"/>
      <x:c r="F24" s="1909"/>
      <x:c r="G24" s="1909"/>
      <x:c r="H24" s="1909"/>
      <x:c r="I24" s="1909"/>
    </x:row>
    <x:row r="25">
      <x:c r="A25" s="1900" t="str">
        <x:v>Constant</x:v>
      </x:c>
      <x:c r="B25" s="1900" t="str">
        <x:v>Value</x:v>
      </x:c>
      <x:c r="C25" s="1900" t="str">
        <x:v>Category</x:v>
      </x:c>
      <x:c r="D25" s="1900" t="str">
        <x:v>Reason retained</x:v>
      </x:c>
      <x:c r="E25" s="1900" t="str">
        <x:v>Assumption?</x:v>
      </x:c>
      <x:c r="F25" s="1900" t="str">
        <x:v>Source</x:v>
      </x:c>
      <x:c r="G25" s="1900" t="str">
        <x:v>Review result</x:v>
      </x:c>
      <x:c r="H25" s="1900" t="str">
        <x:v>Affected formulas</x:v>
      </x:c>
      <x:c r="I25" s="1900" t="str">
        <x:v>Action</x:v>
      </x:c>
    </x:row>
    <x:row r="26">
      <x:c r="A26" s="26" t="str">
        <x:v>Percentage divisor</x:v>
      </x:c>
      <x:c r="B26" s="26" t="n">
        <x:v>100</x:v>
      </x:c>
      <x:c r="C26" s="26" t="str">
        <x:v>UNIT CONVERSION</x:v>
      </x:c>
      <x:c r="D26" s="26" t="str">
        <x:v>Converts percentage points to decimal rate</x:v>
      </x:c>
      <x:c r="E26" s="26" t="str">
        <x:v>No</x:v>
      </x:c>
      <x:c r="F26" s="26" t="str">
        <x:v>Arithmetic convention</x:v>
      </x:c>
      <x:c r="G26" s="26" t="str">
        <x:v>VALID</x:v>
      </x:c>
      <x:c r="H26" s="26" t="str">
        <x:v>AB_OS_Project_Data_2024; HHI screens</x:v>
      </x:c>
      <x:c r="I26" s="26" t="str">
        <x:v>Retain literal</x:v>
      </x:c>
    </x:row>
    <x:row r="27">
      <x:c r="A27" s="26" t="str">
        <x:v>Billions divisor</x:v>
      </x:c>
      <x:c r="B27" s="26" t="n">
        <x:v>1000000000</x:v>
      </x:c>
      <x:c r="C27" s="26" t="str">
        <x:v>UNIT CONVERSION</x:v>
      </x:c>
      <x:c r="D27" s="26" t="str">
        <x:v>Converts dollars to $B</x:v>
      </x:c>
      <x:c r="E27" s="26" t="str">
        <x:v>No</x:v>
      </x:c>
      <x:c r="F27" s="26" t="str">
        <x:v>Unit convention</x:v>
      </x:c>
      <x:c r="G27" s="26" t="str">
        <x:v>VALID</x:v>
      </x:c>
      <x:c r="H27" s="26" t="str">
        <x:v>AB_OS_Fiscal_Diagnostic</x:v>
      </x:c>
      <x:c r="I27" s="26" t="str">
        <x:v>Retain literal</x:v>
      </x:c>
    </x:row>
    <x:row r="28">
      <x:c r="A28" s="26" t="str">
        <x:v>HHI decimal-share scaling</x:v>
      </x:c>
      <x:c r="B28" s="26" t="n">
        <x:v>10000</x:v>
      </x:c>
      <x:c r="C28" s="26" t="str">
        <x:v>MATHEMATICAL CONVENTION</x:v>
      </x:c>
      <x:c r="D28" s="26" t="str">
        <x:v>Decimal shares squared require ×10,000 for standard HHI points</x:v>
      </x:c>
      <x:c r="E28" s="26" t="str">
        <x:v>No</x:v>
      </x:c>
      <x:c r="F28" s="26" t="str">
        <x:v>HHI definition</x:v>
      </x:c>
      <x:c r="G28" s="26" t="str">
        <x:v>VALID</x:v>
      </x:c>
      <x:c r="H28" s="26" t="str">
        <x:v>Concentration</x:v>
      </x:c>
      <x:c r="I28" s="26" t="str">
        <x:v>Retain literal</x:v>
      </x:c>
    </x:row>
    <x:row r="29">
      <x:c r="A29" s="26" t="str">
        <x:v>Growth-rate subtraction</x:v>
      </x:c>
      <x:c r="B29" s="26" t="n">
        <x:v>-1</x:v>
      </x:c>
      <x:c r="C29" s="26" t="str">
        <x:v>MATHEMATICAL IDENTITY</x:v>
      </x:c>
      <x:c r="D29" s="26" t="str">
        <x:v>Current / prior − 1</x:v>
      </x:c>
      <x:c r="E29" s="26" t="str">
        <x:v>No</x:v>
      </x:c>
      <x:c r="F29" s="26" t="str">
        <x:v>Arithmetic identity</x:v>
      </x:c>
      <x:c r="G29" s="26" t="str">
        <x:v>VALID</x:v>
      </x:c>
      <x:c r="H29" s="26" t="str">
        <x:v>Potash_CAPEX_Vintages</x:v>
      </x:c>
      <x:c r="I29" s="26" t="str">
        <x:v>Retain literal</x:v>
      </x:c>
    </x:row>
    <x:row r="30">
      <x:c r="A30" s="26" t="str">
        <x:v>Top-three array</x:v>
      </x:c>
      <x:c r="B30" s="26" t="str">
        <x:v>{1,2,3}</x:v>
      </x:c>
      <x:c r="C30" s="26" t="str">
        <x:v>STRUCTURAL FORMULA ARGUMENT</x:v>
      </x:c>
      <x:c r="D30" s="26" t="str">
        <x:v>Selects three largest shares</x:v>
      </x:c>
      <x:c r="E30" s="26" t="str">
        <x:v>No</x:v>
      </x:c>
      <x:c r="F30" s="26" t="str">
        <x:v>Formula definition</x:v>
      </x:c>
      <x:c r="G30" s="26" t="str">
        <x:v>VALID</x:v>
      </x:c>
      <x:c r="H30" s="26" t="str">
        <x:v>Concentration</x:v>
      </x:c>
      <x:c r="I30" s="26" t="str">
        <x:v>Retain literal</x:v>
      </x:c>
    </x:row>
  </x:sheetData>
  <x:mergeCells>
    <x:mergeCell ref="A1:I1"/>
    <x:mergeCell ref="A2:I2"/>
    <x:mergeCell ref="A24:I24"/>
  </x:mergeCell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37" hidden="0" customWidth="1"/>
    <x:col min="3" max="3" width="38" hidden="0" customWidth="1"/>
    <x:col min="4" max="4" width="30" hidden="0" customWidth="1"/>
    <x:col min="5" max="5" width="24" hidden="0" customWidth="1"/>
    <x:col min="6" max="6" width="38" hidden="0" customWidth="1"/>
    <x:col min="7" max="7" width="38" hidden="0" customWidth="1"/>
    <x:col min="8" max="8" width="46" hidden="0" customWidth="1"/>
    <x:col min="9" max="9" width="18" hidden="0" customWidth="1"/>
    <x:col min="10" max="10" width="19" hidden="0" customWidth="1"/>
    <x:col min="11" max="11" width="25" hidden="0" customWidth="1"/>
    <x:col min="12" max="12" width="38" hidden="0" customWidth="1"/>
    <x:col min="13" max="13" width="32" hidden="0" customWidth="1"/>
    <x:col min="14" max="14" width="23" hidden="0" customWidth="1"/>
    <x:col min="15" max="15" width="38" hidden="0" customWidth="1"/>
    <x:col min="16" max="16" width="38" hidden="0" customWidth="1"/>
  </x:cols>
  <x:sheetData>
    <x:row r="1" ht="28" customHeight="1">
      <x:c r="A1" s="1891" t="str">
        <x:v>Direct Source-to-Cell Lineage Register</x:v>
      </x:c>
      <x:c r="B1" s="1891"/>
      <x:c r="C1" s="1891"/>
      <x:c r="D1" s="1891"/>
      <x:c r="E1" s="1891"/>
      <x:c r="F1" s="1891"/>
      <x:c r="G1" s="1891"/>
      <x:c r="H1" s="1891"/>
      <x:c r="I1" s="1891"/>
      <x:c r="J1" s="1891"/>
      <x:c r="K1" s="1891"/>
      <x:c r="L1" s="1891"/>
      <x:c r="M1" s="1891"/>
      <x:c r="N1" s="1891"/>
      <x:c r="O1" s="1891"/>
      <x:c r="P1" s="1891"/>
    </x:row>
    <x:row r="2" ht="44" customHeight="1">
      <x:c r="A2" s="1895" t="str">
        <x:v>Each material claimed observation is linked to an exact workbook cell, source document or official table, period, unit, transformation and receipt. Cells that are labels, placeholders or judgments are reclassified rather than given artificial citations.</x:v>
      </x:c>
      <x:c r="B2" s="1895"/>
      <x:c r="C2" s="1895"/>
      <x:c r="D2" s="1895"/>
      <x:c r="E2" s="1895"/>
      <x:c r="F2" s="1895"/>
      <x:c r="G2" s="1895"/>
      <x:c r="H2" s="1895"/>
      <x:c r="I2" s="1895"/>
      <x:c r="J2" s="1895"/>
      <x:c r="K2" s="1895"/>
      <x:c r="L2" s="1895"/>
      <x:c r="M2" s="1895"/>
      <x:c r="N2" s="1895"/>
      <x:c r="O2" s="1895"/>
      <x:c r="P2" s="1895"/>
    </x:row>
    <x:row r="4">
      <x:c r="A4" s="1900" t="str">
        <x:v>Lineage ID</x:v>
      </x:c>
      <x:c r="B4" s="1900" t="str">
        <x:v>Target cell / range</x:v>
      </x:c>
      <x:c r="C4" s="1900" t="str">
        <x:v>Claim / measure</x:v>
      </x:c>
      <x:c r="D4" s="1900" t="str">
        <x:v>Value or formula</x:v>
      </x:c>
      <x:c r="E4" s="1900" t="str">
        <x:v>Evidence class</x:v>
      </x:c>
      <x:c r="F4" s="1900" t="str">
        <x:v>Direct workbook source</x:v>
      </x:c>
      <x:c r="G4" s="1900" t="str">
        <x:v>Official source / table</x:v>
      </x:c>
      <x:c r="H4" s="1900" t="str">
        <x:v>Source URL</x:v>
      </x:c>
      <x:c r="I4" s="1900" t="str">
        <x:v>Reference period</x:v>
      </x:c>
      <x:c r="J4" s="1900" t="str">
        <x:v>Units</x:v>
      </x:c>
      <x:c r="K4" s="1900" t="str">
        <x:v>Status / vintage</x:v>
      </x:c>
      <x:c r="L4" s="1900" t="str">
        <x:v>Transformation</x:v>
      </x:c>
      <x:c r="M4" s="1900" t="str">
        <x:v>Receipt / hash</x:v>
      </x:c>
      <x:c r="N4" s="1900" t="str">
        <x:v>Lineage status</x:v>
      </x:c>
      <x:c r="O4" s="1900" t="str">
        <x:v>Publication rule</x:v>
      </x:c>
      <x:c r="P4" s="1900" t="str">
        <x:v>Remediation / note</x:v>
      </x:c>
    </x:row>
    <x:row r="5">
      <x:c r="A5" s="1904" t="str">
        <x:v>LIN-001</x:v>
      </x:c>
      <x:c r="B5" s="1904" t="str">
        <x:v>CGFS_Rent_Components!C5:H18</x:v>
      </x:c>
      <x:c r="C5" s="1904" t="str">
        <x:v>Government-finance rent components by jurisdiction</x:v>
      </x:c>
      <x:c r="D5" s="1904" t="str">
        <x:v>82 imported observations</x:v>
      </x:c>
      <x:c r="E5" s="1904" t="str">
        <x:v>OBSERVED</x:v>
      </x:c>
      <x:c r="F5" s="1904" t="str">
        <x:v>CGFS_Rent_Components</x:v>
      </x:c>
      <x:c r="G5" s="1904" t="str">
        <x:v>Statistics Canada table 10-10-0016-01</x:v>
      </x:c>
      <x:c r="H5" s="1904" t="str">
        <x:v>https://www150.statcan.gc.ca/t1/tbl1/en/tv.action?pid=1010001601</x:v>
      </x:c>
      <x:c r="I5" s="1904" t="str">
        <x:v>2024</x:v>
      </x:c>
      <x:c r="J5" s="1904" t="str">
        <x:v>$B</x:v>
      </x:c>
      <x:c r="K5" s="1904" t="str">
        <x:v>Preliminary symbols preserved</x:v>
      </x:c>
      <x:c r="L5" s="1904" t="str">
        <x:v>Official values scaled to $B; component identity checked</x:v>
      </x:c>
      <x:c r="M5" s="1904" t="str">
        <x:v>532291d5e105cf943db14303dc071544d3abbdb79a3b053dbf8606e2aaecd8e4</x:v>
      </x:c>
      <x:c r="N5" s="1904" t="str">
        <x:v>DIRECT</x:v>
      </x:c>
      <x:c r="O5" s="1904" t="str">
        <x:v>Publish with preliminary and government-finance boundary</x:v>
      </x:c>
      <x:c r="P5" s="1904" t="str">
        <x:v>Not economic resource rent</x:v>
      </x:c>
    </x:row>
    <x:row r="6">
      <x:c r="A6" s="1904" t="str">
        <x:v>LIN-002</x:v>
      </x:c>
      <x:c r="B6" s="1904" t="str">
        <x:v>Evidence_Dashboard!B6</x:v>
      </x:c>
      <x:c r="C6" s="1904" t="str">
        <x:v>Balanced CGFS jurisdictions</x:v>
      </x:c>
      <x:c r="D6" s="1904" t="n">
        <x:f>COUNTA(CGFS_Rent_Components!K5:K18)</x:f>
        <x:v>14</x:v>
      </x:c>
      <x:c r="E6" s="1904" t="str">
        <x:v>CALCULATED</x:v>
      </x:c>
      <x:c r="F6" s="1904" t="str">
        <x:v>CGFS_Rent_Components!K5:K18</x:v>
      </x:c>
      <x:c r="G6" s="1904" t="str">
        <x:v>Internal balance tests over LIN-001</x:v>
      </x:c>
      <x:c r="H6" s="1904" t="str"/>
      <x:c r="I6" s="1904" t="str">
        <x:v>2024</x:v>
      </x:c>
      <x:c r="J6" s="1904" t="str">
        <x:v>count</x:v>
      </x:c>
      <x:c r="K6" s="1904" t="str">
        <x:v>14 of 14</x:v>
      </x:c>
      <x:c r="L6" s="1904" t="str">
        <x:v>Count of completed jurisdiction balance statuses</x:v>
      </x:c>
      <x:c r="M6" s="1904" t="str">
        <x:v>532291d5e105cf943db14303dc071544d3abbdb79a3b053dbf8606e2aaecd8e4</x:v>
      </x:c>
      <x:c r="N6" s="1904" t="str">
        <x:v>DERIVED FROM DIRECT</x:v>
      </x:c>
      <x:c r="O6" s="1904" t="str">
        <x:v>Publishable control</x:v>
      </x:c>
      <x:c r="P6" s="1904" t="str">
        <x:v>Not a monetary result</x:v>
      </x:c>
    </x:row>
    <x:row r="7">
      <x:c r="A7" s="1904" t="str">
        <x:v>LIN-003</x:v>
      </x:c>
      <x:c r="B7" s="1904" t="str">
        <x:v>Evidence_Dashboard!B7</x:v>
      </x:c>
      <x:c r="C7" s="1904" t="str">
        <x:v>Standardized CGFS rent total</x:v>
      </x:c>
      <x:c r="D7" s="1904" t="n">
        <x:f>SUM(CGFS_Rent_Components!C5:C18)</x:f>
        <x:v>30.074</x:v>
      </x:c>
      <x:c r="E7" s="1904" t="str">
        <x:v>CALCULATED</x:v>
      </x:c>
      <x:c r="F7" s="1904" t="str">
        <x:v>CGFS_Rent_Components!C5:C18</x:v>
      </x:c>
      <x:c r="G7" s="1904" t="str">
        <x:v>Statistics Canada table 10-10-0016-01</x:v>
      </x:c>
      <x:c r="H7" s="1904" t="str">
        <x:v>https://www150.statcan.gc.ca/t1/tbl1/en/tv.action?pid=1010001601</x:v>
      </x:c>
      <x:c r="I7" s="1904" t="str">
        <x:v>2024</x:v>
      </x:c>
      <x:c r="J7" s="1904" t="str">
        <x:v>$B</x:v>
      </x:c>
      <x:c r="K7" s="1904" t="str">
        <x:v>Preliminary</x:v>
      </x:c>
      <x:c r="L7" s="1904" t="str">
        <x:v>Sum of jurisdiction total-rent vector</x:v>
      </x:c>
      <x:c r="M7" s="1904" t="str">
        <x:v>532291d5e105cf943db14303dc071544d3abbdb79a3b053dbf8606e2aaecd8e4</x:v>
      </x:c>
      <x:c r="N7" s="1904" t="str">
        <x:v>DERIVED FROM DIRECT</x:v>
      </x:c>
      <x:c r="O7" s="1904" t="str">
        <x:v>Publish as government-finance rent only</x:v>
      </x:c>
      <x:c r="P7" s="1904" t="str">
        <x:v>Not economic rent</x:v>
      </x:c>
    </x:row>
    <x:row r="8">
      <x:c r="A8" s="1904" t="str">
        <x:v>LIN-004</x:v>
      </x:c>
      <x:c r="B8" s="1904" t="str">
        <x:v>Royalty_Capture!C6:G6</x:v>
      </x:c>
      <x:c r="C8" s="1904" t="str">
        <x:v>Newfoundland and Labrador resource-revenue components</x:v>
      </x:c>
      <x:c r="D8" s="1904" t="str">
        <x:v>Direct public-account entries</x:v>
      </x:c>
      <x:c r="E8" s="1904" t="str">
        <x:v>OBSERVED / PARTIAL</x:v>
      </x:c>
      <x:c r="F8" s="1904" t="str">
        <x:v>Royalty_Capture!I6</x:v>
      </x:c>
      <x:c r="G8" s="1904" t="str">
        <x:v>Newfoundland and Labrador Public Accounts</x:v>
      </x:c>
      <x:c r="H8" s="1904" t="str">
        <x:v>https://www.gov.nl.ca/exec/tbs/files/Cash-Statements-2025-with-signed-letter-Final.pdf</x:v>
      </x:c>
      <x:c r="I8" s="1904" t="str">
        <x:v>2024-25</x:v>
      </x:c>
      <x:c r="J8" s="1904" t="str">
        <x:v>$B</x:v>
      </x:c>
      <x:c r="K8" s="1904" t="str">
        <x:v>Verified partial</x:v>
      </x:c>
      <x:c r="L8" s="1904" t="str">
        <x:v>Direct labelled lines; exclusions disclosed</x:v>
      </x:c>
      <x:c r="M8" s="1904" t="str"/>
      <x:c r="N8" s="1904" t="str">
        <x:v>DIRECT / PARTIAL</x:v>
      </x:c>
      <x:c r="O8" s="1904" t="str">
        <x:v>Use only with fiscal-year and scope warning</x:v>
      </x:c>
      <x:c r="P8" s="1904" t="str">
        <x:v>Feeds lower bound</x:v>
      </x:c>
    </x:row>
    <x:row r="9">
      <x:c r="A9" s="1904" t="str">
        <x:v>LIN-005</x:v>
      </x:c>
      <x:c r="B9" s="1904" t="str">
        <x:v>Royalty_Capture!C9:G9</x:v>
      </x:c>
      <x:c r="C9" s="1904" t="str">
        <x:v>New Brunswick royalties and selected resource leases</x:v>
      </x:c>
      <x:c r="D9" s="1904" t="str">
        <x:v>Direct public-account entries</x:v>
      </x:c>
      <x:c r="E9" s="1904" t="str">
        <x:v>OBSERVED / PARTIAL</x:v>
      </x:c>
      <x:c r="F9" s="1904" t="str">
        <x:v>Royalty_Capture!I9</x:v>
      </x:c>
      <x:c r="G9" s="1904" t="str">
        <x:v>New Brunswick Public Accounts Volume 2</x:v>
      </x:c>
      <x:c r="H9" s="1904" t="str">
        <x:v>https://www.gnb.ca/content/dam/GNB3/org/ftb-fct/doc/2025-public-accounts-vol-2-comptes-publics-vol-2.pdf</x:v>
      </x:c>
      <x:c r="I9" s="1904" t="str">
        <x:v>2024-25</x:v>
      </x:c>
      <x:c r="J9" s="1904" t="str">
        <x:v>$B</x:v>
      </x:c>
      <x:c r="K9" s="1904" t="str">
        <x:v>Verified partial</x:v>
      </x:c>
      <x:c r="L9" s="1904" t="str">
        <x:v>Direct labelled lines; exclusions disclosed</x:v>
      </x:c>
      <x:c r="M9" s="1904" t="str"/>
      <x:c r="N9" s="1904" t="str">
        <x:v>DIRECT / PARTIAL</x:v>
      </x:c>
      <x:c r="O9" s="1904" t="str">
        <x:v>Use only with fiscal-year and scope warning</x:v>
      </x:c>
      <x:c r="P9" s="1904" t="str">
        <x:v>Feeds lower bound</x:v>
      </x:c>
    </x:row>
    <x:row r="10">
      <x:c r="A10" s="1904" t="str">
        <x:v>LIN-006</x:v>
      </x:c>
      <x:c r="B10" s="1904" t="str">
        <x:v>Royalty_Capture!C10:G10</x:v>
      </x:c>
      <x:c r="C10" s="1904" t="str">
        <x:v>Quebec mining duties and listed surface-mineral royalties</x:v>
      </x:c>
      <x:c r="D10" s="1904" t="str">
        <x:v>Direct government entries</x:v>
      </x:c>
      <x:c r="E10" s="1904" t="str">
        <x:v>OBSERVED / PARTIAL</x:v>
      </x:c>
      <x:c r="F10" s="1904" t="str">
        <x:v>Royalty_Capture!I10</x:v>
      </x:c>
      <x:c r="G10" s="1904" t="str">
        <x:v>Government of Quebec mining royalty data</x:v>
      </x:c>
      <x:c r="H10" s="1904" t="str">
        <x:v>https://www.quebec.ca/agriculture-environnement-et-ressources-naturelles/mines/donnees-cartes-minieres/quantites-valeurs-redevances</x:v>
      </x:c>
      <x:c r="I10" s="1904" t="str">
        <x:v>2024</x:v>
      </x:c>
      <x:c r="J10" s="1904" t="str">
        <x:v>$B</x:v>
      </x:c>
      <x:c r="K10" s="1904" t="str">
        <x:v>Verified; incomplete resource scope</x:v>
      </x:c>
      <x:c r="L10" s="1904" t="str">
        <x:v>Direct listed values summed</x:v>
      </x:c>
      <x:c r="M10" s="1904" t="str"/>
      <x:c r="N10" s="1904" t="str">
        <x:v>DIRECT / PARTIAL</x:v>
      </x:c>
      <x:c r="O10" s="1904" t="str">
        <x:v>Do not describe as all Quebec resource revenue</x:v>
      </x:c>
      <x:c r="P10" s="1904" t="str">
        <x:v>Feeds lower bound</x:v>
      </x:c>
    </x:row>
    <x:row r="11">
      <x:c r="A11" s="1904" t="str">
        <x:v>LIN-007</x:v>
      </x:c>
      <x:c r="B11" s="1904" t="str">
        <x:v>Royalty_Capture!C11:G11</x:v>
      </x:c>
      <x:c r="C11" s="1904" t="str">
        <x:v>Ontario royalty line</x:v>
      </x:c>
      <x:c r="D11" s="1904" t="str">
        <x:v>Direct public-account entry</x:v>
      </x:c>
      <x:c r="E11" s="1904" t="str">
        <x:v>OBSERVED / PARTIAL</x:v>
      </x:c>
      <x:c r="F11" s="1904" t="str">
        <x:v>Royalty_Capture!I11</x:v>
      </x:c>
      <x:c r="G11" s="1904" t="str">
        <x:v>Ontario Public Accounts 2024-25</x:v>
      </x:c>
      <x:c r="H11" s="1904" t="str">
        <x:v>https://www.ontario.ca/page/public-accounts-2024-25-annual-report</x:v>
      </x:c>
      <x:c r="I11" s="1904" t="str">
        <x:v>2024-25</x:v>
      </x:c>
      <x:c r="J11" s="1904" t="str">
        <x:v>$B</x:v>
      </x:c>
      <x:c r="K11" s="1904" t="str">
        <x:v>Verified partial</x:v>
      </x:c>
      <x:c r="L11" s="1904" t="str">
        <x:v>Direct royalty line</x:v>
      </x:c>
      <x:c r="M11" s="1904" t="str"/>
      <x:c r="N11" s="1904" t="str">
        <x:v>DIRECT / PARTIAL</x:v>
      </x:c>
      <x:c r="O11" s="1904" t="str">
        <x:v>Incomplete category total</x:v>
      </x:c>
      <x:c r="P11" s="1904" t="str">
        <x:v>Feeds lower bound</x:v>
      </x:c>
    </x:row>
    <x:row r="12">
      <x:c r="A12" s="1904" t="str">
        <x:v>LIN-008</x:v>
      </x:c>
      <x:c r="B12" s="1904" t="str">
        <x:v>Royalty_Capture!C13:G13</x:v>
      </x:c>
      <x:c r="C12" s="1904" t="str">
        <x:v>Saskatchewan resource revenue and surcharge</x:v>
      </x:c>
      <x:c r="D12" s="1904" t="str">
        <x:v>Direct public-account entries</x:v>
      </x:c>
      <x:c r="E12" s="1904" t="str">
        <x:v>OBSERVED</x:v>
      </x:c>
      <x:c r="F12" s="1904" t="str">
        <x:v>Royalty_Capture!I13</x:v>
      </x:c>
      <x:c r="G12" s="1904" t="str">
        <x:v>Saskatchewan Public Accounts 2024-25</x:v>
      </x:c>
      <x:c r="H12" s="1904" t="str">
        <x:v>https://www.saskatchewan.ca/-/media/news-release-backgrounders/2025/jun/2024-25-public-accounts-volume-1-4751.pdf</x:v>
      </x:c>
      <x:c r="I12" s="1904" t="str">
        <x:v>2024-25</x:v>
      </x:c>
      <x:c r="J12" s="1904" t="str">
        <x:v>$B</x:v>
      </x:c>
      <x:c r="K12" s="1904" t="str">
        <x:v>Verified</x:v>
      </x:c>
      <x:c r="L12" s="1904" t="str">
        <x:v>Sum of disclosed component lines</x:v>
      </x:c>
      <x:c r="M12" s="1904" t="str"/>
      <x:c r="N12" s="1904" t="str">
        <x:v>DIRECT</x:v>
      </x:c>
      <x:c r="O12" s="1904" t="str">
        <x:v>Publish with fiscal-year boundary</x:v>
      </x:c>
      <x:c r="P12" s="1904" t="str">
        <x:v>Includes surcharge separately</x:v>
      </x:c>
    </x:row>
    <x:row r="13">
      <x:c r="A13" s="1904" t="str">
        <x:v>LIN-009</x:v>
      </x:c>
      <x:c r="B13" s="1904" t="str">
        <x:v>Royalty_Capture!C14:G14</x:v>
      </x:c>
      <x:c r="C13" s="1904" t="str">
        <x:v>Alberta non-renewable resource revenue</x:v>
      </x:c>
      <x:c r="D13" s="1904" t="str">
        <x:v>Direct public-account total</x:v>
      </x:c>
      <x:c r="E13" s="1904" t="str">
        <x:v>OBSERVED</x:v>
      </x:c>
      <x:c r="F13" s="1904" t="str">
        <x:v>Royalty_Capture!I14</x:v>
      </x:c>
      <x:c r="G13" s="1904" t="str">
        <x:v>Government of Alberta revenue / final results</x:v>
      </x:c>
      <x:c r="H13" s="1904" t="str">
        <x:v>https://www.alberta.ca/revenue</x:v>
      </x:c>
      <x:c r="I13" s="1904" t="str">
        <x:v>2024-25</x:v>
      </x:c>
      <x:c r="J13" s="1904" t="str">
        <x:v>$B</x:v>
      </x:c>
      <x:c r="K13" s="1904" t="str">
        <x:v>Verified</x:v>
      </x:c>
      <x:c r="L13" s="1904" t="str">
        <x:v>Direct total; no component reassignment</x:v>
      </x:c>
      <x:c r="M13" s="1904" t="str"/>
      <x:c r="N13" s="1904" t="str">
        <x:v>DIRECT</x:v>
      </x:c>
      <x:c r="O13" s="1904" t="str">
        <x:v>Publish as provincial fiscal revenue, not economic rent</x:v>
      </x:c>
      <x:c r="P13" s="1904" t="str">
        <x:v>Feeds lower bound</x:v>
      </x:c>
    </x:row>
    <x:row r="14">
      <x:c r="A14" s="1904" t="str">
        <x:v>LIN-010</x:v>
      </x:c>
      <x:c r="B14" s="1904" t="str">
        <x:v>Royalty_Capture!C15:G15</x:v>
      </x:c>
      <x:c r="C14" s="1904" t="str">
        <x:v>British Columbia natural-resource revenue</x:v>
      </x:c>
      <x:c r="D14" s="1904" t="str">
        <x:v>Direct public-account total</x:v>
      </x:c>
      <x:c r="E14" s="1904" t="str">
        <x:v>OBSERVED</x:v>
      </x:c>
      <x:c r="F14" s="1904" t="str">
        <x:v>Royalty_Capture!I15</x:v>
      </x:c>
      <x:c r="G14" s="1904" t="str">
        <x:v>British Columbia Public Accounts</x:v>
      </x:c>
      <x:c r="H14" s="1904" t="str">
        <x:v>https://www2.gov.bc.ca/gov/content/governments/finances/public-accounts</x:v>
      </x:c>
      <x:c r="I14" s="1904" t="str">
        <x:v>2024-25</x:v>
      </x:c>
      <x:c r="J14" s="1904" t="str">
        <x:v>$B</x:v>
      </x:c>
      <x:c r="K14" s="1904" t="str">
        <x:v>Verified</x:v>
      </x:c>
      <x:c r="L14" s="1904" t="str">
        <x:v>Direct total</x:v>
      </x:c>
      <x:c r="M14" s="1904" t="str"/>
      <x:c r="N14" s="1904" t="str">
        <x:v>DIRECT</x:v>
      </x:c>
      <x:c r="O14" s="1904" t="str">
        <x:v>Publish with fiscal-year and category boundary</x:v>
      </x:c>
      <x:c r="P14" s="1904" t="str">
        <x:v>Feeds lower bound</x:v>
      </x:c>
    </x:row>
    <x:row r="15">
      <x:c r="A15" s="1904" t="str">
        <x:v>LIN-011</x:v>
      </x:c>
      <x:c r="B15" s="1904" t="str">
        <x:v>Royalty_Capture!C17:G17</x:v>
      </x:c>
      <x:c r="C15" s="1904" t="str">
        <x:v>Northwest Territories non-renewable resource revenue</x:v>
      </x:c>
      <x:c r="D15" s="1904" t="str">
        <x:v>Direct audited entry</x:v>
      </x:c>
      <x:c r="E15" s="1904" t="str">
        <x:v>OBSERVED</x:v>
      </x:c>
      <x:c r="F15" s="1904" t="str">
        <x:v>Royalty_Capture!I17</x:v>
      </x:c>
      <x:c r="G15" s="1904" t="str">
        <x:v>Northwest Territories Public Accounts 2024-25</x:v>
      </x:c>
      <x:c r="H15" s="1904" t="str">
        <x:v>https://www.fin.gov.nt.ca/sites/fin/files/resources/2024-2025_public_accounts_section_i_-_consolidated_financial_statements.pdf</x:v>
      </x:c>
      <x:c r="I15" s="1904" t="str">
        <x:v>2024-25</x:v>
      </x:c>
      <x:c r="J15" s="1904" t="str">
        <x:v>$B</x:v>
      </x:c>
      <x:c r="K15" s="1904" t="str">
        <x:v>Verified accrual true-up</x:v>
      </x:c>
      <x:c r="L15" s="1904" t="str">
        <x:v>Direct audited value</x:v>
      </x:c>
      <x:c r="M15" s="1904" t="str"/>
      <x:c r="N15" s="1904" t="str">
        <x:v>DIRECT</x:v>
      </x:c>
      <x:c r="O15" s="1904" t="str">
        <x:v>Explain negative accrual revision</x:v>
      </x:c>
      <x:c r="P15" s="1904" t="str">
        <x:v>Feeds lower bound</x:v>
      </x:c>
    </x:row>
    <x:row r="16">
      <x:c r="A16" s="1906" t="str">
        <x:v>LIN-012</x:v>
      </x:c>
      <x:c r="B16" s="1906" t="str">
        <x:v>Royalty_Capture!G21; Evidence_Dashboard!B8</x:v>
      </x:c>
      <x:c r="C16" s="1906" t="str">
        <x:v>Observed public resource-revenue lower bound</x:v>
      </x:c>
      <x:c r="D16" s="1906" t="n">
        <x:f>SUMIF(K5:K19,"Yes",G5:G19)</x:f>
        <x:v>0</x:v>
      </x:c>
      <x:c r="E16" s="1906" t="str">
        <x:v>CALCULATED / PARTIAL</x:v>
      </x:c>
      <x:c r="F16" s="1906" t="str">
        <x:v>LIN-004 through LIN-011</x:v>
      </x:c>
      <x:c r="G16" s="1906" t="str">
        <x:v>Multiple provincial public accounts</x:v>
      </x:c>
      <x:c r="H16" s="1906" t="str"/>
      <x:c r="I16" s="1906" t="str">
        <x:v>Mixed 2024 and 2024-25</x:v>
      </x:c>
      <x:c r="J16" s="1906" t="str">
        <x:v>$B</x:v>
      </x:c>
      <x:c r="K16" s="1906" t="str">
        <x:v>Incomplete lower bound</x:v>
      </x:c>
      <x:c r="L16" s="1906" t="str">
        <x:v>Sum of included verified/partial rows; missing governments blank</x:v>
      </x:c>
      <x:c r="M16" s="1906" t="str"/>
      <x:c r="N16" s="1906" t="str">
        <x:v>MULTI-SOURCE / PARTIAL</x:v>
      </x:c>
      <x:c r="O16" s="1906" t="str">
        <x:v>Publish only as incomplete lower bound</x:v>
      </x:c>
      <x:c r="P16" s="1906" t="str">
        <x:v>Not a capture rate</x:v>
      </x:c>
    </x:row>
    <x:row r="17">
      <x:c r="A17" s="1904" t="str">
        <x:v>LIN-013</x:v>
      </x:c>
      <x:c r="B17" s="1904" t="str">
        <x:v>Land_Property!C10; Dashboard!G15</x:v>
      </x:c>
      <x:c r="C17" s="1904" t="str">
        <x:v>Consolidated Canadian taxes on property</x:v>
      </x:c>
      <x:c r="D17" s="1904" t="str">
        <x:v>103.254</x:v>
      </x:c>
      <x:c r="E17" s="1904" t="str">
        <x:v>OBSERVED</x:v>
      </x:c>
      <x:c r="F17" s="1904" t="str">
        <x:v>Land_Property!H10; Sources!A38:H38</x:v>
      </x:c>
      <x:c r="G17" s="1904" t="str">
        <x:v>Statistics Canada table 10-10-0172-01</x:v>
      </x:c>
      <x:c r="H17" s="1904" t="str">
        <x:v>https://www150.statcan.gc.ca/t1/tbl1/en/tv.action?pid=1010017201</x:v>
      </x:c>
      <x:c r="I17" s="1904" t="str">
        <x:v>2024</x:v>
      </x:c>
      <x:c r="J17" s="1904" t="str">
        <x:v>$B</x:v>
      </x:c>
      <x:c r="K17" s="1904" t="str">
        <x:v>Preliminary</x:v>
      </x:c>
      <x:c r="L17" s="1904" t="str">
        <x:v>Direct national accounting value</x:v>
      </x:c>
      <x:c r="M17" s="1904" t="str"/>
      <x:c r="N17" s="1904" t="str">
        <x:v>DIRECT</x:v>
      </x:c>
      <x:c r="O17" s="1904" t="str">
        <x:v>Revenue anchor only; not land rent</x:v>
      </x:c>
      <x:c r="P17" s="1904" t="str">
        <x:v>Dashboard now links to source cell</x:v>
      </x:c>
    </x:row>
    <x:row r="18">
      <x:c r="A18" s="1904" t="str">
        <x:v>LIN-014</x:v>
      </x:c>
      <x:c r="B18" s="1904" t="str">
        <x:v>Closure_Security!E5; Rent_Flow_Method!D16; Dashboard!G16</x:v>
      </x:c>
      <x:c r="C18" s="1904" t="str">
        <x:v>Alberta oil and gas closure liability</x:v>
      </x:c>
      <x:c r="D18" s="1904" t="str">
        <x:v>36.6</x:v>
      </x:c>
      <x:c r="E18" s="1904" t="str">
        <x:v>OBSERVED</x:v>
      </x:c>
      <x:c r="F18" s="1904" t="str">
        <x:v>Closure_Security!L5; Sources!A40:H40</x:v>
      </x:c>
      <x:c r="G18" s="1904" t="str">
        <x:v>Alberta Energy Regulator liability management</x:v>
      </x:c>
      <x:c r="H18" s="1904" t="str">
        <x:v>https://www.aer.ca/understanding-resource-development/how-we-regulate/oil-and-gas-liability-management</x:v>
      </x:c>
      <x:c r="I18" s="1904" t="str">
        <x:v>2024-12-31</x:v>
      </x:c>
      <x:c r="J18" s="1904" t="str">
        <x:v>$B liability stock</x:v>
      </x:c>
      <x:c r="K18" s="1904" t="str">
        <x:v>Verified regulator estimate</x:v>
      </x:c>
      <x:c r="L18" s="1904" t="str">
        <x:v>Direct estimate; not cash security</x:v>
      </x:c>
      <x:c r="M18" s="1904" t="str"/>
      <x:c r="N18" s="1904" t="str">
        <x:v>DIRECT</x:v>
      </x:c>
      <x:c r="O18" s="1904" t="str">
        <x:v>Publish beside flows; never net mechanically</x:v>
      </x:c>
      <x:c r="P18" s="1904" t="str">
        <x:v>Dashboard and method link to source cell</x:v>
      </x:c>
    </x:row>
    <x:row r="19">
      <x:c r="A19" s="1904" t="str">
        <x:v>LIN-015</x:v>
      </x:c>
      <x:c r="B19" s="1904" t="str">
        <x:v>Closure_Security!E6:E7; Dashboard!G17</x:v>
      </x:c>
      <x:c r="C19" s="1904" t="str">
        <x:v>Alberta annual closure activity</x:v>
      </x:c>
      <x:c r="D19" s="1904" t="n">
        <x:f>SUM(0.900,0.119)</x:f>
        <x:v>1.0190000000000001</x:v>
      </x:c>
      <x:c r="E19" s="1904" t="str">
        <x:v>CALCULATED FROM OBSERVED</x:v>
      </x:c>
      <x:c r="F19" s="1904" t="str">
        <x:v>Closure_Security!L6:L7; Sources!A41:H41</x:v>
      </x:c>
      <x:c r="G19" s="1904" t="str">
        <x:v>Alberta Energy Regulator Liability Management Performance Report</x:v>
      </x:c>
      <x:c r="H19" s="1904" t="str">
        <x:v>https://www.aer.ca/data-and-performance-reports/industry-performance/liability-management-performance-report</x:v>
      </x:c>
      <x:c r="I19" s="1904" t="str">
        <x:v>2024</x:v>
      </x:c>
      <x:c r="J19" s="1904" t="str">
        <x:v>$B annual spending</x:v>
      </x:c>
      <x:c r="K19" s="1904" t="str">
        <x:v>Verified</x:v>
      </x:c>
      <x:c r="L19" s="1904" t="str">
        <x:v>Licensee eligible spending plus OWA spending</x:v>
      </x:c>
      <x:c r="M19" s="1904" t="str"/>
      <x:c r="N19" s="1904" t="str">
        <x:v>DERIVED FROM DIRECT</x:v>
      </x:c>
      <x:c r="O19" s="1904" t="str">
        <x:v>Publish as activity, not government expenditure</x:v>
      </x:c>
      <x:c r="P19" s="1904" t="str">
        <x:v>Legacy hardcode replaced by formula</x:v>
      </x:c>
    </x:row>
    <x:row r="20">
      <x:c r="A20" s="1904" t="str">
        <x:v>LIN-016</x:v>
      </x:c>
      <x:c r="B20" s="1904" t="str">
        <x:v>Concentration!F8; Dashboard!B17</x:v>
      </x:c>
      <x:c r="C20" s="1904" t="str">
        <x:v>Industries with HHI above 2,500 in 2018</x:v>
      </x:c>
      <x:c r="D20" s="1904" t="str">
        <x:v>27</x:v>
      </x:c>
      <x:c r="E20" s="1904" t="str">
        <x:v>OBSERVED HISTORICAL BENCHMARK</x:v>
      </x:c>
      <x:c r="F20" s="1904" t="str">
        <x:v>Concentration!H8</x:v>
      </x:c>
      <x:c r="G20" s="1904" t="str">
        <x:v>Competition Bureau, Competition in Canada from 2000 to 2020</x:v>
      </x:c>
      <x:c r="H20" s="1904" t="str">
        <x:v>https://competition-bureau.canada.ca/en/how-we-foster-competition/education-and-outreach/competition-canada-2000-2020-economy-crossroads</x:v>
      </x:c>
      <x:c r="I20" s="1904" t="str">
        <x:v>2018</x:v>
      </x:c>
      <x:c r="J20" s="1904" t="str">
        <x:v>industry count</x:v>
      </x:c>
      <x:c r="K20" s="1904" t="str">
        <x:v>Published historical benchmark</x:v>
      </x:c>
      <x:c r="L20" s="1904" t="str">
        <x:v>Direct report value</x:v>
      </x:c>
      <x:c r="M20" s="1904" t="str"/>
      <x:c r="N20" s="1904" t="str">
        <x:v>DIRECT</x:v>
      </x:c>
      <x:c r="O20" s="1904" t="str">
        <x:v>Historical descriptive statistic only</x:v>
      </x:c>
      <x:c r="P20" s="1904" t="str">
        <x:v>Not a current legal threshold</x:v>
      </x:c>
    </x:row>
    <x:row r="21">
      <x:c r="A21" s="1904" t="str">
        <x:v>LIN-017</x:v>
      </x:c>
      <x:c r="B21" s="1904" t="str">
        <x:v>Commodity_Output_Crosswalk!D10; Commodity_Input_Staging!D12</x:v>
      </x:c>
      <x:c r="C21" s="1904" t="str">
        <x:v>Metallic-minerals output control</x:v>
      </x:c>
      <x:c r="D21" s="1904" t="str">
        <x:v>47.618</x:v>
      </x:c>
      <x:c r="E21" s="1904" t="str">
        <x:v>OBSERVED</x:v>
      </x:c>
      <x:c r="F21" s="1904" t="str">
        <x:v>Commodity_Output_Crosswalk!N10</x:v>
      </x:c>
      <x:c r="G21" s="1904" t="str">
        <x:v>Statistics Canada table 36-10-0624-01</x:v>
      </x:c>
      <x:c r="H21" s="1904" t="str">
        <x:v>https://www150.statcan.gc.ca/t1/tbl1/en/tv.action?pid=3610062401</x:v>
      </x:c>
      <x:c r="I21" s="1904" t="str">
        <x:v>2024</x:v>
      </x:c>
      <x:c r="J21" s="1904" t="str">
        <x:v>$B output</x:v>
      </x:c>
      <x:c r="K21" s="1904" t="str">
        <x:v>Official NRSA control</x:v>
      </x:c>
      <x:c r="L21" s="1904" t="str">
        <x:v>Imported from full-table CSV</x:v>
      </x:c>
      <x:c r="M21" s="1904" t="str">
        <x:v>532291d5e105cf943db14303dc071544d3abbdb79a3b053dbf8606e2aaecd8e4</x:v>
      </x:c>
      <x:c r="N21" s="1904" t="str">
        <x:v>DIRECT</x:v>
      </x:c>
      <x:c r="O21" s="1904" t="str">
        <x:v>Control total only; not commodity rent</x:v>
      </x:c>
      <x:c r="P21" s="1904" t="str">
        <x:v>Staging value retains receipt lineage</x:v>
      </x:c>
    </x:row>
    <x:row r="22">
      <x:c r="A22" s="1904" t="str">
        <x:v>LIN-018</x:v>
      </x:c>
      <x:c r="B22" s="1904" t="str">
        <x:v>Commodity_Diagnostics!D5:G5</x:v>
      </x:c>
      <x:c r="C22" s="1904" t="str">
        <x:v>Oil and gas extraction financial diagnostic</x:v>
      </x:c>
      <x:c r="D22" s="1904" t="str">
        <x:v>Assets, revenue, expenses and accounting net income</x:v>
      </x:c>
      <x:c r="E22" s="1904" t="str">
        <x:v>OBSERVED</x:v>
      </x:c>
      <x:c r="F22" s="1904" t="str">
        <x:v>Commodity_Diagnostics!P5</x:v>
      </x:c>
      <x:c r="G22" s="1904" t="str">
        <x:v>Statistics Canada table 25-10-0065-01</x:v>
      </x:c>
      <x:c r="H22" s="1904" t="str">
        <x:v>https://www150.statcan.gc.ca/t1/tbl1/en/tv.action?pid=2510006501</x:v>
      </x:c>
      <x:c r="I22" s="1904" t="str">
        <x:v>2024</x:v>
      </x:c>
      <x:c r="J22" s="1904" t="str">
        <x:v>$B</x:v>
      </x:c>
      <x:c r="K22" s="1904" t="str">
        <x:v>Official accounting diagnostic</x:v>
      </x:c>
      <x:c r="L22" s="1904" t="str">
        <x:v>Direct table rows</x:v>
      </x:c>
      <x:c r="M22" s="1904" t="str">
        <x:v>532291d5e105cf943db14303dc071544d3abbdb79a3b053dbf8606e2aaecd8e4</x:v>
      </x:c>
      <x:c r="N22" s="1904" t="str">
        <x:v>DIRECT</x:v>
      </x:c>
      <x:c r="O22" s="1904" t="str">
        <x:v>Cannot be relabelled economic rent</x:v>
      </x:c>
      <x:c r="P22" s="1904" t="str">
        <x:v>Commodity placeholder rows cleared</x:v>
      </x:c>
    </x:row>
    <x:row r="23">
      <x:c r="A23" s="1904" t="str">
        <x:v>LIN-019</x:v>
      </x:c>
      <x:c r="B23" s="1904" t="str">
        <x:v>Rent_Evidence_Receipt!B7:B16; Evidence_Dashboard!B9:B11</x:v>
      </x:c>
      <x:c r="C23" s="1904" t="str">
        <x:v>Extraction counts and completion status</x:v>
      </x:c>
      <x:c r="D23" s="1904" t="str">
        <x:v>82 observations; 10 labour rows; 0 complete rent rows</x:v>
      </x:c>
      <x:c r="E23" s="1904" t="str">
        <x:v>OBSERVED RECEIPT / CALCULATED STATUS</x:v>
      </x:c>
      <x:c r="F23" s="1904" t="str">
        <x:v>Rent_Evidence_Receipt</x:v>
      </x:c>
      <x:c r="G23" s="1904" t="str">
        <x:v>Rent Evidence Extractor receipt</x:v>
      </x:c>
      <x:c r="H23" s="1904" t="str"/>
      <x:c r="I23" s="1904" t="str">
        <x:v>2024 extraction</x:v>
      </x:c>
      <x:c r="J23" s="1904" t="str">
        <x:v>counts</x:v>
      </x:c>
      <x:c r="K23" s="1904" t="str">
        <x:v>PASS_WITH_DISCLOSED_LIMITS</x:v>
      </x:c>
      <x:c r="L23" s="1904" t="str">
        <x:v>Receipt values and workbook counts</x:v>
      </x:c>
      <x:c r="M23" s="1904" t="str">
        <x:v>532291d5e105cf943db14303dc071544d3abbdb79a3b053dbf8606e2aaecd8e4</x:v>
      </x:c>
      <x:c r="N23" s="1904" t="str">
        <x:v>DIRECT RECEIPT</x:v>
      </x:c>
      <x:c r="O23" s="1904" t="str">
        <x:v>Publish as evidence coverage only</x:v>
      </x:c>
      <x:c r="P23" s="1904" t="str">
        <x:v>Not substantive economic results</x:v>
      </x:c>
    </x:row>
    <x:row r="24">
      <x:c r="A24" s="1904" t="str">
        <x:v>LIN-020</x:v>
      </x:c>
      <x:c r="B24" s="1904" t="str">
        <x:v>Labour_Benchmark_2024!D5:D14</x:v>
      </x:c>
      <x:c r="C24" s="1904" t="str">
        <x:v>Detailed labour-compensation benchmarks</x:v>
      </x:c>
      <x:c r="D24" s="1904" t="str">
        <x:v>10 official rows</x:v>
      </x:c>
      <x:c r="E24" s="1904" t="str">
        <x:v>OBSERVED</x:v>
      </x:c>
      <x:c r="F24" s="1904" t="str">
        <x:v>Labour_Benchmark_2024!K5:K14</x:v>
      </x:c>
      <x:c r="G24" s="1904" t="str">
        <x:v>Statistics Canada table 36-10-0489-04</x:v>
      </x:c>
      <x:c r="H24" s="1904" t="str">
        <x:v>https://www150.statcan.gc.ca/t1/tbl1/en/tv.action?pid=3610048904</x:v>
      </x:c>
      <x:c r="I24" s="1904" t="str">
        <x:v>2024</x:v>
      </x:c>
      <x:c r="J24" s="1904" t="str">
        <x:v>$B after unit correction</x:v>
      </x:c>
      <x:c r="K24" s="1904" t="str">
        <x:v>Official; corrected UOM scaling</x:v>
      </x:c>
      <x:c r="L24" s="1904" t="str">
        <x:v>Thousands of dollars converted to $B</x:v>
      </x:c>
      <x:c r="M24" s="1904" t="str">
        <x:v>532291d5e105cf943db14303dc071544d3abbdb79a3b053dbf8606e2aaecd8e4</x:v>
      </x:c>
      <x:c r="N24" s="1904" t="str">
        <x:v>DIRECT</x:v>
      </x:c>
      <x:c r="O24" s="1904" t="str">
        <x:v>Industry controls only; no commodity allocation</x:v>
      </x:c>
      <x:c r="P24" s="1904" t="str">
        <x:v>Evidence dashboard counts rows</x:v>
      </x:c>
    </x:row>
    <x:row r="25">
      <x:c r="A25" s="1904" t="str">
        <x:v>LIN-021</x:v>
      </x:c>
      <x:c r="B25" s="1904" t="str">
        <x:v>Oil_Sands_Bridge_2024!B13:B20</x:v>
      </x:c>
      <x:c r="C25" s="1904" t="str">
        <x:v>Oil-sands industry production-account bridge</x:v>
      </x:c>
      <x:c r="D25" s="1904" t="str">
        <x:v>Output, inputs, labour, taxes and GOS</x:v>
      </x:c>
      <x:c r="E25" s="1904" t="str">
        <x:v>OBSERVED / CALCULATED</x:v>
      </x:c>
      <x:c r="F25" s="1904" t="str">
        <x:v>Oil_Sands_Bridge_2024 source columns</x:v>
      </x:c>
      <x:c r="G25" s="1904" t="str">
        <x:v>Statistics Canada table 36-10-0001-01</x:v>
      </x:c>
      <x:c r="H25" s="1904" t="str">
        <x:v>https://www150.statcan.gc.ca/t1/tbl1/en/tv.action?pid=3610000101</x:v>
      </x:c>
      <x:c r="I25" s="1904" t="str">
        <x:v>2024</x:v>
      </x:c>
      <x:c r="J25" s="1904" t="str">
        <x:v>$B</x:v>
      </x:c>
      <x:c r="K25" s="1904" t="str">
        <x:v>Official IO industry boundary</x:v>
      </x:c>
      <x:c r="L25" s="1904" t="str">
        <x:v>Primary rows plus calculated identity</x:v>
      </x:c>
      <x:c r="M25" s="1904" t="str">
        <x:v>67d5d27c2115c208771bad4d5a142898addfd6d1fb177d0b653fd2a49992871a</x:v>
      </x:c>
      <x:c r="N25" s="1904" t="str">
        <x:v>DIRECT / DERIVED</x:v>
      </x:c>
      <x:c r="O25" s="1904" t="str">
        <x:v>Industry reconciliation only</x:v>
      </x:c>
      <x:c r="P25" s="1904" t="str">
        <x:v>Not oil-sands economic rent</x:v>
      </x:c>
    </x:row>
    <x:row r="26">
      <x:c r="A26" s="1904" t="str">
        <x:v>LIN-022</x:v>
      </x:c>
      <x:c r="B26" s="1904" t="str">
        <x:v>Potash_Bridge_2024!B13:B21</x:v>
      </x:c>
      <x:c r="C26" s="1904" t="str">
        <x:v>Potash industry production-account bridge</x:v>
      </x:c>
      <x:c r="D26" s="1904" t="str">
        <x:v>Output, inputs, labour, taxes, GMI and GOS</x:v>
      </x:c>
      <x:c r="E26" s="1904" t="str">
        <x:v>OBSERVED / CALCULATED</x:v>
      </x:c>
      <x:c r="F26" s="1904" t="str">
        <x:v>Potash_Bridge_2024 source columns</x:v>
      </x:c>
      <x:c r="G26" s="1904" t="str">
        <x:v>Statistics Canada table 36-10-0001-01</x:v>
      </x:c>
      <x:c r="H26" s="1904" t="str">
        <x:v>https://www150.statcan.gc.ca/t1/tbl1/en/tv.action?pid=3610000101</x:v>
      </x:c>
      <x:c r="I26" s="1904" t="str">
        <x:v>2024</x:v>
      </x:c>
      <x:c r="J26" s="1904" t="str">
        <x:v>$B</x:v>
      </x:c>
      <x:c r="K26" s="1904" t="str">
        <x:v>Official IO industry boundary</x:v>
      </x:c>
      <x:c r="L26" s="1904" t="str">
        <x:v>Primary rows plus calculated identity</x:v>
      </x:c>
      <x:c r="M26" s="1904" t="str">
        <x:v>0972dc5b6ee811352815814392b26c21ea0986dd1801f17018e072d022684199</x:v>
      </x:c>
      <x:c r="N26" s="1904" t="str">
        <x:v>DIRECT / DERIVED</x:v>
      </x:c>
      <x:c r="O26" s="1904" t="str">
        <x:v>Industry reconciliation only</x:v>
      </x:c>
      <x:c r="P26" s="1904" t="str">
        <x:v>Capital and commodity rent remain locked</x:v>
      </x:c>
    </x:row>
    <x:row r="27">
      <x:c r="A27" s="1904" t="str">
        <x:v>LIN-023</x:v>
      </x:c>
      <x:c r="B27" s="1904" t="str">
        <x:v>AB_OS_Project_Data_2024!A6:AF115</x:v>
      </x:c>
      <x:c r="C27" s="1904" t="str">
        <x:v>Alberta oil-sands royalty project data</x:v>
      </x:c>
      <x:c r="D27" s="1904" t="str">
        <x:v>110 normalized rows</x:v>
      </x:c>
      <x:c r="E27" s="1904" t="str">
        <x:v>OBSERVED / CALCULATED</x:v>
      </x:c>
      <x:c r="F27" s="1904" t="str">
        <x:v>AB_OS_Project_Data_2024!AC6:AC115</x:v>
      </x:c>
      <x:c r="G27" s="1904" t="str">
        <x:v>Government of Alberta oil-sands project data</x:v>
      </x:c>
      <x:c r="H27" s="1904" t="str">
        <x:v>https://www.alberta.ca/royalty-oil-sands-project-data.aspx</x:v>
      </x:c>
      <x:c r="I27" s="1904" t="str">
        <x:v>Calendar 2024</x:v>
      </x:c>
      <x:c r="J27" s="1904" t="str">
        <x:v>dollars / rates</x:v>
      </x:c>
      <x:c r="K27" s="1904" t="str">
        <x:v>Royalty-calculation accounts</x:v>
      </x:c>
      <x:c r="L27" s="1904" t="str">
        <x:v>Published project rows normalized; checks use P-003</x:v>
      </x:c>
      <x:c r="M27" s="1904" t="str"/>
      <x:c r="N27" s="1904" t="str">
        <x:v>DIRECT / DERIVED</x:v>
      </x:c>
      <x:c r="O27" s="1904" t="str">
        <x:v>Fiscal diagnostic only</x:v>
      </x:c>
      <x:c r="P27" s="1904" t="str">
        <x:v>Not national-account capital or economic rent</x:v>
      </x:c>
    </x:row>
    <x:row r="28">
      <x:c r="A28" s="1904" t="str">
        <x:v>LIN-024</x:v>
      </x:c>
      <x:c r="B28" s="1904" t="str">
        <x:v>Resource_Rent!C5:C9</x:v>
      </x:c>
      <x:c r="C28" s="1904" t="str">
        <x:v>Selected natural-resource asset values</x:v>
      </x:c>
      <x:c r="D28" s="1904" t="str">
        <x:v>Official asset values</x:v>
      </x:c>
      <x:c r="E28" s="1904" t="str">
        <x:v>OBSERVED</x:v>
      </x:c>
      <x:c r="F28" s="1904" t="str">
        <x:v>Resource_Rent!K5:K9</x:v>
      </x:c>
      <x:c r="G28" s="1904" t="str">
        <x:v>Statistics Canada table 38-10-0006-01 / Daily release</x:v>
      </x:c>
      <x:c r="H28" s="1904" t="str">
        <x:v>https://www150.statcan.gc.ca/t1/tbl1/en/tv.action?pid=3810000601</x:v>
      </x:c>
      <x:c r="I28" s="1904" t="str">
        <x:v>2023-2024</x:v>
      </x:c>
      <x:c r="J28" s="1904" t="str">
        <x:v>$B asset wealth</x:v>
      </x:c>
      <x:c r="K28" s="1904" t="str">
        <x:v>Official asset values</x:v>
      </x:c>
      <x:c r="L28" s="1904" t="str">
        <x:v>Direct values; rent yields are separate assumptions</x:v>
      </x:c>
      <x:c r="M28" s="1904" t="str"/>
      <x:c r="N28" s="1904" t="str">
        <x:v>DIRECT</x:v>
      </x:c>
      <x:c r="O28" s="1904" t="str">
        <x:v>Asset stock only; scenario rent is not observed</x:v>
      </x:c>
      <x:c r="P28" s="1904" t="str">
        <x:v>Scenario separation retained</x:v>
      </x:c>
    </x:row>
    <x:row r="29">
      <x:c r="A29" s="1910" t="str">
        <x:v>LIN-025</x:v>
      </x:c>
      <x:c r="B29" s="1910" t="str">
        <x:v>Dashboard!B57</x:v>
      </x:c>
      <x:c r="C29" s="1910" t="str">
        <x:v>Verified input coverage</x:v>
      </x:c>
      <x:c r="D29" s="1910" t="str">
        <x:v>Prior value 0.55 removed</x:v>
      </x:c>
      <x:c r="E29" s="1910" t="str">
        <x:v>RECLASSIFIED / NOT OBSERVED</x:v>
      </x:c>
      <x:c r="F29" s="1910" t="str"/>
      <x:c r="G29" s="1910" t="str">
        <x:v>No reproducible source or mechanical formula</x:v>
      </x:c>
      <x:c r="H29" s="1910" t="str"/>
      <x:c r="I29" s="1910" t="str">
        <x:v>Current</x:v>
      </x:c>
      <x:c r="J29" s="1910" t="str">
        <x:v>ratio</x:v>
      </x:c>
      <x:c r="K29" s="1910" t="str">
        <x:v>Removed</x:v>
      </x:c>
      <x:c r="L29" s="1910" t="str">
        <x:v>None</x:v>
      </x:c>
      <x:c r="M29" s="1910" t="str"/>
      <x:c r="N29" s="1910" t="str">
        <x:v>NO LINEAGE</x:v>
      </x:c>
      <x:c r="O29" s="1910" t="str">
        <x:v>Do not publish</x:v>
      </x:c>
      <x:c r="P29" s="1910" t="str">
        <x:v>Subjective coverage estimate removed</x:v>
      </x:c>
    </x:row>
    <x:row r="30">
      <x:c r="A30" s="1906" t="str">
        <x:v>LIN-026</x:v>
      </x:c>
      <x:c r="B30" s="1906" t="str">
        <x:v>Royalty_Capture!A18:A19; Commodity_Rent_Bridge!D12; Commodity_Input_Staging!C9,C12</x:v>
      </x:c>
      <x:c r="C30" s="1906" t="str">
        <x:v>Reference-year labels</x:v>
      </x:c>
      <x:c r="D30" s="1906" t="str">
        <x:v>2024</x:v>
      </x:c>
      <x:c r="E30" s="1906" t="str">
        <x:v>NON-EVIDENCE METADATA</x:v>
      </x:c>
      <x:c r="F30" s="1906" t="str"/>
      <x:c r="G30" s="1906" t="str">
        <x:v>Not a quantitative observation requiring a separate source</x:v>
      </x:c>
      <x:c r="H30" s="1906" t="str"/>
      <x:c r="I30" s="1906" t="str">
        <x:v>2024</x:v>
      </x:c>
      <x:c r="J30" s="1906" t="str">
        <x:v>year</x:v>
      </x:c>
      <x:c r="K30" s="1906" t="str">
        <x:v>Reclassified</x:v>
      </x:c>
      <x:c r="L30" s="1906" t="str">
        <x:v>Period label only</x:v>
      </x:c>
      <x:c r="M30" s="1906" t="str"/>
      <x:c r="N30" s="1906" t="str">
        <x:v>NOT APPLICABLE</x:v>
      </x:c>
      <x:c r="O30" s="1906" t="str">
        <x:v>May remain as metadata</x:v>
      </x:c>
      <x:c r="P30" s="1906" t="str">
        <x:v>Audit false positives resolved by reclassification</x:v>
      </x:c>
    </x:row>
    <x:row r="31">
      <x:c r="A31" s="1910" t="str">
        <x:v>LIN-027</x:v>
      </x:c>
      <x:c r="B31" s="1910" t="str">
        <x:v>Rent_Flow_Method!E5:E17; Commodity_Diagnostics!D6:J16; Commodity_Input_Staging missing fields</x:v>
      </x:c>
      <x:c r="C31" s="1910" t="str">
        <x:v>Prior zero placeholders</x:v>
      </x:c>
      <x:c r="D31" s="1910" t="str">
        <x:v>Removed</x:v>
      </x:c>
      <x:c r="E31" s="1910" t="str">
        <x:v>MISSING</x:v>
      </x:c>
      <x:c r="F31" s="1910" t="str"/>
      <x:c r="G31" s="1910" t="str">
        <x:v>No source because evidence is absent</x:v>
      </x:c>
      <x:c r="H31" s="1910" t="str"/>
      <x:c r="I31" s="1910" t="str">
        <x:v>Various</x:v>
      </x:c>
      <x:c r="J31" s="1910" t="str">
        <x:v>Various</x:v>
      </x:c>
      <x:c r="K31" s="1910" t="str">
        <x:v>Blank</x:v>
      </x:c>
      <x:c r="L31" s="1910" t="str">
        <x:v>Missing inputs no longer represented by zero</x:v>
      </x:c>
      <x:c r="M31" s="1910" t="str"/>
      <x:c r="N31" s="1910" t="str">
        <x:v>MISSING BY DESIGN</x:v>
      </x:c>
      <x:c r="O31" s="1910" t="str">
        <x:v>No point estimate</x:v>
      </x:c>
      <x:c r="P31" s="1910" t="str">
        <x:v>Remediated in v0.22/v0.23</x:v>
      </x:c>
    </x:row>
    <x:row r="32">
      <x:c r="A32" s="1904" t="str">
        <x:v>LIN-028</x:v>
      </x:c>
      <x:c r="B32" s="1904" t="str">
        <x:v>Land_Property!B6</x:v>
      </x:c>
      <x:c r="C32" s="1904" t="str">
        <x:v>Canada net stock of housing assets</x:v>
      </x:c>
      <x:c r="D32" s="1904" t="str">
        <x:v>4,400</x:v>
      </x:c>
      <x:c r="E32" s="1904" t="str">
        <x:v>OBSERVED</x:v>
      </x:c>
      <x:c r="F32" s="1904" t="str">
        <x:v>Land_Property!J6</x:v>
      </x:c>
      <x:c r="G32" s="1904" t="str">
        <x:v>Statistics Canada Housing Economic Account, 2025</x:v>
      </x:c>
      <x:c r="H32" s="1904" t="str">
        <x:v>https://www150.statcan.gc.ca/n1/daily-quotidien/260409/dq260409b-eng.htm</x:v>
      </x:c>
      <x:c r="I32" s="1904" t="str">
        <x:v>2025</x:v>
      </x:c>
      <x:c r="J32" s="1904" t="str">
        <x:v>$B</x:v>
      </x:c>
      <x:c r="K32" s="1904" t="str">
        <x:v>Official release; rounded to $4.4T</x:v>
      </x:c>
      <x:c r="L32" s="1904" t="str">
        <x:v>Direct published rounded value</x:v>
      </x:c>
      <x:c r="M32" s="1904" t="str"/>
      <x:c r="N32" s="1904" t="str">
        <x:v>DIRECT</x:v>
      </x:c>
      <x:c r="O32" s="1904" t="str">
        <x:v>May be used as a scenario input; not land value</x:v>
      </x:c>
      <x:c r="P32" s="1904" t="str">
        <x:v>Land shares remain assumptions</x:v>
      </x:c>
    </x:row>
  </x:sheetData>
  <x:mergeCells>
    <x:mergeCell ref="A1:P1"/>
    <x:mergeCell ref="A2:P2"/>
  </x:mergeCells>
  <x:pageMargins left="0.7" right="0.7" top="0.75" bottom="0.75" header="0.3" footer="0.3"/>
</x:worksheet>
</file>

<file path=xl/worksheets/sheet59.xml><?xml version="1.0" encoding="utf-8"?>
<x:worksheet xmlns:x="http://schemas.openxmlformats.org/spreadsheetml/2006/main">
  <x:sheetFormatPr defaultRowHeight="15"/>
  <x:cols>
    <x:col min="1" max="1" width="29" hidden="0" customWidth="1"/>
    <x:col min="2" max="2" width="10" hidden="0" customWidth="1"/>
    <x:col min="3" max="3" width="48" hidden="0" customWidth="1"/>
    <x:col min="4" max="4" width="20" hidden="0" customWidth="1"/>
    <x:col min="5" max="5" width="31" hidden="0" customWidth="1"/>
    <x:col min="6" max="6" width="13" hidden="0" customWidth="1"/>
    <x:col min="7" max="7" width="19" hidden="0" customWidth="1"/>
    <x:col min="8" max="8" width="23" hidden="0" customWidth="1"/>
    <x:col min="9" max="9" width="46" hidden="0" customWidth="1"/>
    <x:col min="10" max="10" width="28" hidden="0" customWidth="1"/>
  </x:cols>
  <x:sheetData>
    <x:row r="1" ht="28" customHeight="1">
      <x:c r="A1" s="1891" t="str">
        <x:v>Embedded Formula Constants Review</x:v>
      </x:c>
      <x:c r="B1" s="1891"/>
      <x:c r="C1" s="1891"/>
      <x:c r="D1" s="1891"/>
      <x:c r="E1" s="1891"/>
      <x:c r="F1" s="1891"/>
      <x:c r="G1" s="1891"/>
      <x:c r="H1" s="1891"/>
      <x:c r="I1" s="1891"/>
      <x:c r="J1" s="1891"/>
    </x:row>
    <x:row r="2" ht="44" customHeight="1">
      <x:c r="A2" s="1895" t="str">
        <x:v>All 653 formula cells flagged by the v0.21 audit were reviewed. Material thresholds and timing assumptions are centralized; unit conversions and mathematical identities remain literal and are documented.</x:v>
      </x:c>
      <x:c r="B2" s="1895"/>
      <x:c r="C2" s="1895"/>
      <x:c r="D2" s="1895"/>
      <x:c r="E2" s="1895"/>
      <x:c r="F2" s="1895"/>
      <x:c r="G2" s="1895"/>
      <x:c r="H2" s="1895"/>
      <x:c r="I2" s="1895"/>
      <x:c r="J2" s="1895"/>
    </x:row>
    <x:row r="4">
      <x:c r="A4" s="1900" t="str">
        <x:v>Category</x:v>
      </x:c>
      <x:c r="B4" s="1900" t="str">
        <x:v>Formula cells</x:v>
      </x:c>
      <x:c r="C4" s="1900" t="str">
        <x:v>Material assumption?</x:v>
      </x:c>
      <x:c r="D4" s="1900" t="str">
        <x:v>v0.23 action</x:v>
      </x:c>
      <x:c r="E4" s="1900" t="str">
        <x:v>Central parameter</x:v>
      </x:c>
      <x:c r="F4" s="1900" t="str">
        <x:v>Review finding</x:v>
      </x:c>
      <x:c r="G4" s="1900" t="str">
        <x:v>Risk</x:v>
      </x:c>
      <x:c r="H4" s="1900" t="str">
        <x:v>Publication effect</x:v>
      </x:c>
      <x:c r="I4" s="1900" t="str">
        <x:v>Reviewer requirement</x:v>
      </x:c>
      <x:c r="J4" s="1900" t="str">
        <x:v>Status</x:v>
      </x:c>
    </x:row>
    <x:row r="5">
      <x:c r="A5" s="1906" t="str">
        <x:v>VALIDATION THRESHOLD</x:v>
      </x:c>
      <x:c r="B5" s="1906" t="n">
        <x:v>330</x:v>
      </x:c>
      <x:c r="C5" s="1906" t="str">
        <x:v>YES</x:v>
      </x:c>
      <x:c r="D5" s="1906" t="str">
        <x:v>CENTRALIZED</x:v>
      </x:c>
      <x:c r="E5" s="1906" t="str">
        <x:v>P-003</x:v>
      </x:c>
      <x:c r="F5" s="1906" t="str">
        <x:v>Internal $1,000 reconciliation tolerance; reviewer approval required</x:v>
      </x:c>
      <x:c r="G5" s="1906" t="str">
        <x:v>MEDIUM</x:v>
      </x:c>
      <x:c r="H5" s="1906" t="str">
        <x:v>Scenario/diagnostic only</x:v>
      </x:c>
      <x:c r="I5" s="1906" t="str">
        <x:v>Approve value and rationale</x:v>
      </x:c>
      <x:c r="J5" s="1906" t="str">
        <x:v>PASS — CENTRALIZED</x:v>
      </x:c>
    </x:row>
    <x:row r="6">
      <x:c r="A6" s="1904" t="str">
        <x:v>UNIT CONVERSION</x:v>
      </x:c>
      <x:c r="B6" s="1904" t="n">
        <x:v>110</x:v>
      </x:c>
      <x:c r="C6" s="1904" t="str">
        <x:v>NO</x:v>
      </x:c>
      <x:c r="D6" s="1904" t="str">
        <x:v>RETAIN LITERAL</x:v>
      </x:c>
      <x:c r="E6" s="1904" t="str">
        <x:v>Percentage divisor</x:v>
      </x:c>
      <x:c r="F6" s="1904" t="str">
        <x:v>Divides percentage points by 100</x:v>
      </x:c>
      <x:c r="G6" s="1904" t="str">
        <x:v>LOW</x:v>
      </x:c>
      <x:c r="H6" s="1904" t="str">
        <x:v>No substantive effect beyond arithmetic/units</x:v>
      </x:c>
      <x:c r="I6" s="1904" t="str">
        <x:v>Confirm classification</x:v>
      </x:c>
      <x:c r="J6" s="1904" t="str">
        <x:v>PASS — DOCUMENTED</x:v>
      </x:c>
    </x:row>
    <x:row r="7">
      <x:c r="A7" s="1906" t="str">
        <x:v>SCENARIO TIMING ASSUMPTION</x:v>
      </x:c>
      <x:c r="B7" s="1906" t="n">
        <x:v>90</x:v>
      </x:c>
      <x:c r="C7" s="1906" t="str">
        <x:v>YES</x:v>
      </x:c>
      <x:c r="D7" s="1906" t="str">
        <x:v>CENTRALIZED</x:v>
      </x:c>
      <x:c r="E7" s="1906" t="str">
        <x:v>P-012</x:v>
      </x:c>
      <x:c r="F7" s="1906" t="str">
        <x:v>Mid-year deposit timing factor</x:v>
      </x:c>
      <x:c r="G7" s="1906" t="str">
        <x:v>MEDIUM</x:v>
      </x:c>
      <x:c r="H7" s="1906" t="str">
        <x:v>Scenario/diagnostic only</x:v>
      </x:c>
      <x:c r="I7" s="1906" t="str">
        <x:v>Approve value and rationale</x:v>
      </x:c>
      <x:c r="J7" s="1906" t="str">
        <x:v>PASS — CENTRALIZED</x:v>
      </x:c>
    </x:row>
    <x:row r="8">
      <x:c r="A8" s="1904" t="str">
        <x:v>UNIT CONVERSION</x:v>
      </x:c>
      <x:c r="B8" s="1904" t="n">
        <x:v>61</x:v>
      </x:c>
      <x:c r="C8" s="1904" t="str">
        <x:v>NO</x:v>
      </x:c>
      <x:c r="D8" s="1904" t="str">
        <x:v>RETAIN LITERAL</x:v>
      </x:c>
      <x:c r="E8" s="1904" t="str">
        <x:v>Billions divisor</x:v>
      </x:c>
      <x:c r="F8" s="1904" t="str">
        <x:v>Converts source dollars to $B</x:v>
      </x:c>
      <x:c r="G8" s="1904" t="str">
        <x:v>LOW</x:v>
      </x:c>
      <x:c r="H8" s="1904" t="str">
        <x:v>No substantive effect beyond arithmetic/units</x:v>
      </x:c>
      <x:c r="I8" s="1904" t="str">
        <x:v>Confirm classification</x:v>
      </x:c>
      <x:c r="J8" s="1904" t="str">
        <x:v>PASS — DOCUMENTED</x:v>
      </x:c>
    </x:row>
    <x:row r="9">
      <x:c r="A9" s="1904" t="str">
        <x:v>MATHEMATICAL IDENTITY</x:v>
      </x:c>
      <x:c r="B9" s="1904" t="n">
        <x:v>18</x:v>
      </x:c>
      <x:c r="C9" s="1904" t="str">
        <x:v>NO</x:v>
      </x:c>
      <x:c r="D9" s="1904" t="str">
        <x:v>RETAIN LITERAL</x:v>
      </x:c>
      <x:c r="E9" s="1904" t="str">
        <x:v>Growth formula</x:v>
      </x:c>
      <x:c r="F9" s="1904" t="str">
        <x:v>Current divided by prior, minus one</x:v>
      </x:c>
      <x:c r="G9" s="1904" t="str">
        <x:v>LOW</x:v>
      </x:c>
      <x:c r="H9" s="1904" t="str">
        <x:v>No substantive effect beyond arithmetic/units</x:v>
      </x:c>
      <x:c r="I9" s="1904" t="str">
        <x:v>Confirm classification</x:v>
      </x:c>
      <x:c r="J9" s="1904" t="str">
        <x:v>PASS — DOCUMENTED</x:v>
      </x:c>
    </x:row>
    <x:row r="10">
      <x:c r="A10" s="1910" t="str">
        <x:v>LEGACY / LEGAL THRESHOLD</x:v>
      </x:c>
      <x:c r="B10" s="1910" t="n">
        <x:v>10</x:v>
      </x:c>
      <x:c r="C10" s="1910" t="str">
        <x:v>YES</x:v>
      </x:c>
      <x:c r="D10" s="1910" t="str">
        <x:v>REPLACED</x:v>
      </x:c>
      <x:c r="E10" s="1910" t="str">
        <x:v>P-001 / P-002</x:v>
      </x:c>
      <x:c r="F10" s="1910" t="str">
        <x:v>Legacy 2,500 category retired; current Canadian 1,800 level documented; merger delta not computed</x:v>
      </x:c>
      <x:c r="G10" s="1910" t="str">
        <x:v>HIGH</x:v>
      </x:c>
      <x:c r="H10" s="1910" t="str">
        <x:v>Scenario/diagnostic only</x:v>
      </x:c>
      <x:c r="I10" s="1910" t="str">
        <x:v>Approve value and rationale</x:v>
      </x:c>
      <x:c r="J10" s="1910" t="str">
        <x:v>CORRECTED</x:v>
      </x:c>
    </x:row>
    <x:row r="11">
      <x:c r="A11" s="1904" t="str">
        <x:v>MATHEMATICAL CONVENTION</x:v>
      </x:c>
      <x:c r="B11" s="1904" t="n">
        <x:v>10</x:v>
      </x:c>
      <x:c r="C11" s="1904" t="str">
        <x:v>NO</x:v>
      </x:c>
      <x:c r="D11" s="1904" t="str">
        <x:v>RETAIN LITERAL</x:v>
      </x:c>
      <x:c r="E11" s="1904" t="str">
        <x:v>HHI lower-bound formula</x:v>
      </x:c>
      <x:c r="F11" s="1904" t="str">
        <x:v>Percentage conversion and squaring</x:v>
      </x:c>
      <x:c r="G11" s="1904" t="str">
        <x:v>LOW</x:v>
      </x:c>
      <x:c r="H11" s="1904" t="str">
        <x:v>No substantive effect beyond arithmetic/units</x:v>
      </x:c>
      <x:c r="I11" s="1904" t="str">
        <x:v>Confirm classification</x:v>
      </x:c>
      <x:c r="J11" s="1904" t="str">
        <x:v>PASS — DOCUMENTED</x:v>
      </x:c>
    </x:row>
    <x:row r="12">
      <x:c r="A12" s="1906" t="str">
        <x:v>INTERNAL DIAGNOSTIC THRESHOLD</x:v>
      </x:c>
      <x:c r="B12" s="1906" t="n">
        <x:v>7</x:v>
      </x:c>
      <x:c r="C12" s="1906" t="str">
        <x:v>YES</x:v>
      </x:c>
      <x:c r="D12" s="1906" t="str">
        <x:v>CENTRALIZED</x:v>
      </x:c>
      <x:c r="E12" s="1906" t="str">
        <x:v>P-006:P-009</x:v>
      </x:c>
      <x:c r="F12" s="1906" t="str">
        <x:v>Stress-test distortion bands; rejected proxy remains diagnostic only</x:v>
      </x:c>
      <x:c r="G12" s="1906" t="str">
        <x:v>MEDIUM</x:v>
      </x:c>
      <x:c r="H12" s="1906" t="str">
        <x:v>Scenario/diagnostic only</x:v>
      </x:c>
      <x:c r="I12" s="1906" t="str">
        <x:v>Approve value and rationale</x:v>
      </x:c>
      <x:c r="J12" s="1906" t="str">
        <x:v>PASS — CENTRALIZED</x:v>
      </x:c>
    </x:row>
    <x:row r="13">
      <x:c r="A13" s="1910" t="str">
        <x:v>LEGACY CLASSIFICATION THRESHOLD</x:v>
      </x:c>
      <x:c r="B13" s="1910" t="n">
        <x:v>4</x:v>
      </x:c>
      <x:c r="C13" s="1910" t="str">
        <x:v>YES</x:v>
      </x:c>
      <x:c r="D13" s="1910" t="str">
        <x:v>RETIRED</x:v>
      </x:c>
      <x:c r="E13" s="1910" t="str">
        <x:v>P-001 / P-002</x:v>
      </x:c>
      <x:c r="F13" s="1910" t="str">
        <x:v>Old US-style labels removed; Canadian merger-screen level shown with limitation</x:v>
      </x:c>
      <x:c r="G13" s="1910" t="str">
        <x:v>HIGH</x:v>
      </x:c>
      <x:c r="H13" s="1910" t="str">
        <x:v>Scenario/diagnostic only</x:v>
      </x:c>
      <x:c r="I13" s="1910" t="str">
        <x:v>Approve value and rationale</x:v>
      </x:c>
      <x:c r="J13" s="1910" t="str">
        <x:v>CORRECTED</x:v>
      </x:c>
    </x:row>
    <x:row r="14">
      <x:c r="A14" s="1904" t="str">
        <x:v>MATHEMATICAL CONVENTION</x:v>
      </x:c>
      <x:c r="B14" s="1904" t="n">
        <x:v>4</x:v>
      </x:c>
      <x:c r="C14" s="1904" t="str">
        <x:v>NO</x:v>
      </x:c>
      <x:c r="D14" s="1904" t="str">
        <x:v>RETAIN LITERAL</x:v>
      </x:c>
      <x:c r="E14" s="1904" t="str">
        <x:v>HHI decimal scaling</x:v>
      </x:c>
      <x:c r="F14" s="1904" t="str">
        <x:v>Decimal shares squared and scaled to standard HHI points</x:v>
      </x:c>
      <x:c r="G14" s="1904" t="str">
        <x:v>LOW</x:v>
      </x:c>
      <x:c r="H14" s="1904" t="str">
        <x:v>No substantive effect beyond arithmetic/units</x:v>
      </x:c>
      <x:c r="I14" s="1904" t="str">
        <x:v>Confirm classification</x:v>
      </x:c>
      <x:c r="J14" s="1904" t="str">
        <x:v>PASS — DOCUMENTED</x:v>
      </x:c>
    </x:row>
    <x:row r="15">
      <x:c r="A15" s="1904" t="str">
        <x:v>STRUCTURAL FORMULA ARGUMENT</x:v>
      </x:c>
      <x:c r="B15" s="1904" t="n">
        <x:v>4</x:v>
      </x:c>
      <x:c r="C15" s="1904" t="str">
        <x:v>NO</x:v>
      </x:c>
      <x:c r="D15" s="1904" t="str">
        <x:v>RETAIN LITERAL</x:v>
      </x:c>
      <x:c r="E15" s="1904" t="str">
        <x:v>Top-three selector</x:v>
      </x:c>
      <x:c r="F15" s="1904" t="str">
        <x:v>Selects the three largest shares</x:v>
      </x:c>
      <x:c r="G15" s="1904" t="str">
        <x:v>LOW</x:v>
      </x:c>
      <x:c r="H15" s="1904" t="str">
        <x:v>No substantive effect beyond arithmetic/units</x:v>
      </x:c>
      <x:c r="I15" s="1904" t="str">
        <x:v>Confirm classification</x:v>
      </x:c>
      <x:c r="J15" s="1904" t="str">
        <x:v>PASS — DOCUMENTED</x:v>
      </x:c>
    </x:row>
    <x:row r="16">
      <x:c r="A16" s="1906" t="str">
        <x:v>VALIDATION THRESHOLD</x:v>
      </x:c>
      <x:c r="B16" s="1906" t="n">
        <x:v>2</x:v>
      </x:c>
      <x:c r="C16" s="1906" t="str">
        <x:v>YES</x:v>
      </x:c>
      <x:c r="D16" s="1906" t="str">
        <x:v>CENTRALIZED</x:v>
      </x:c>
      <x:c r="E16" s="1906" t="str">
        <x:v>P-004</x:v>
      </x:c>
      <x:c r="F16" s="1906" t="str">
        <x:v>Relative labour-control review threshold</x:v>
      </x:c>
      <x:c r="G16" s="1906" t="str">
        <x:v>MEDIUM</x:v>
      </x:c>
      <x:c r="H16" s="1906" t="str">
        <x:v>Scenario/diagnostic only</x:v>
      </x:c>
      <x:c r="I16" s="1906" t="str">
        <x:v>Approve value and rationale</x:v>
      </x:c>
      <x:c r="J16" s="1906" t="str">
        <x:v>PASS — CENTRALIZED</x:v>
      </x:c>
    </x:row>
    <x:row r="17">
      <x:c r="A17" s="1906" t="str">
        <x:v>VALIDATION THRESHOLD</x:v>
      </x:c>
      <x:c r="B17" s="1906" t="n">
        <x:v>2</x:v>
      </x:c>
      <x:c r="C17" s="1906" t="str">
        <x:v>YES</x:v>
      </x:c>
      <x:c r="D17" s="1906" t="str">
        <x:v>CENTRALIZED</x:v>
      </x:c>
      <x:c r="E17" s="1906" t="str">
        <x:v>P-005</x:v>
      </x:c>
      <x:c r="F17" s="1906" t="str">
        <x:v>Production identity tolerance</x:v>
      </x:c>
      <x:c r="G17" s="1906" t="str">
        <x:v>MEDIUM</x:v>
      </x:c>
      <x:c r="H17" s="1906" t="str">
        <x:v>Scenario/diagnostic only</x:v>
      </x:c>
      <x:c r="I17" s="1906" t="str">
        <x:v>Approve value and rationale</x:v>
      </x:c>
      <x:c r="J17" s="1906" t="str">
        <x:v>PASS — CENTRALIZED</x:v>
      </x:c>
    </x:row>
    <x:row r="18">
      <x:c r="A18" s="1906" t="str">
        <x:v>ILLUSTRATIVE TIMING ASSUMPTION</x:v>
      </x:c>
      <x:c r="B18" s="1906" t="n">
        <x:v>1</x:v>
      </x:c>
      <x:c r="C18" s="1906" t="str">
        <x:v>YES</x:v>
      </x:c>
      <x:c r="D18" s="1906" t="str">
        <x:v>CENTRALIZED</x:v>
      </x:c>
      <x:c r="E18" s="1906" t="str">
        <x:v>P-010:P-011</x:v>
      </x:c>
      <x:c r="F18" s="1906" t="str">
        <x:v>Fiscal-year blend weights; not an official calendar conversion</x:v>
      </x:c>
      <x:c r="G18" s="1906" t="str">
        <x:v>MEDIUM</x:v>
      </x:c>
      <x:c r="H18" s="1906" t="str">
        <x:v>Scenario/diagnostic only</x:v>
      </x:c>
      <x:c r="I18" s="1906" t="str">
        <x:v>Approve value and rationale</x:v>
      </x:c>
      <x:c r="J18" s="1906" t="str">
        <x:v>PASS — CENTRALIZED</x:v>
      </x:c>
    </x:row>
    <x:row r="21">
      <x:c r="A21" s="1909" t="str">
        <x:v>Detailed baseline formula register</x:v>
      </x:c>
      <x:c r="B21" s="1909"/>
      <x:c r="C21" s="1909"/>
      <x:c r="D21" s="1909"/>
      <x:c r="E21" s="1909"/>
      <x:c r="F21" s="1909"/>
      <x:c r="G21" s="1909"/>
      <x:c r="H21" s="1909"/>
      <x:c r="I21" s="1909"/>
      <x:c r="J21" s="1909"/>
    </x:row>
    <x:row r="22">
      <x:c r="A22" s="1900" t="str">
        <x:v>Sheet</x:v>
      </x:c>
      <x:c r="B22" s="1900" t="str">
        <x:v>Cell</x:v>
      </x:c>
      <x:c r="C22" s="1900" t="str">
        <x:v>v0.21 baseline formula</x:v>
      </x:c>
      <x:c r="D22" s="1900" t="str">
        <x:v>Embedded constants</x:v>
      </x:c>
      <x:c r="E22" s="1900" t="str">
        <x:v>Category</x:v>
      </x:c>
      <x:c r="F22" s="1900" t="str">
        <x:v>Material?</x:v>
      </x:c>
      <x:c r="G22" s="1900" t="str">
        <x:v>v0.23 action</x:v>
      </x:c>
      <x:c r="H22" s="1900" t="str">
        <x:v>Parameter / convention</x:v>
      </x:c>
      <x:c r="I22" s="1900" t="str">
        <x:v>Review note</x:v>
      </x:c>
      <x:c r="J22" s="1900" t="str">
        <x:v>Register basis</x:v>
      </x:c>
    </x:row>
    <x:row r="23">
      <x:c r="A23" s="26" t="str">
        <x:v>Concentration</x:v>
      </x:c>
      <x:c r="B23" s="26" t="str">
        <x:v>C19</x:v>
      </x:c>
      <x:c r="C23" s="26" t="str">
        <x:v>SUM(LARGE(B13:K13,{1,2,3}))</x:v>
      </x:c>
      <x:c r="D23" s="26" t="str">
        <x:v>2, 3</x:v>
      </x:c>
      <x:c r="E23" s="26" t="str">
        <x:v>STRUCTURAL FORMULA ARGUMENT</x:v>
      </x:c>
      <x:c r="F23" s="26" t="str">
        <x:v>NO</x:v>
      </x:c>
      <x:c r="G23" s="26" t="str">
        <x:v>RETAIN LITERAL</x:v>
      </x:c>
      <x:c r="H23" s="26" t="str">
        <x:v>Top-three selector</x:v>
      </x:c>
      <x:c r="I23" s="26" t="str">
        <x:v>Selects the three largest shares</x:v>
      </x:c>
      <x:c r="J23" s="26" t="str">
        <x:v>v0.21 baseline formula; v0.23 disposition</x:v>
      </x:c>
    </x:row>
    <x:row r="24">
      <x:c r="A24" s="26" t="str">
        <x:v>Concentration</x:v>
      </x:c>
      <x:c r="B24" s="26" t="str">
        <x:v>E19</x:v>
      </x:c>
      <x:c r="C24" s="26" t="str">
        <x:v>SUMPRODUCT(B13:K13,B13:K13)*10000</x:v>
      </x:c>
      <x:c r="D24" s="26" t="str">
        <x:v>10000</x:v>
      </x:c>
      <x:c r="E24" s="26" t="str">
        <x:v>MATHEMATICAL CONVENTION</x:v>
      </x:c>
      <x:c r="F24" s="26" t="str">
        <x:v>NO</x:v>
      </x:c>
      <x:c r="G24" s="26" t="str">
        <x:v>RETAIN LITERAL</x:v>
      </x:c>
      <x:c r="H24" s="26" t="str">
        <x:v>HHI decimal scaling</x:v>
      </x:c>
      <x:c r="I24" s="26" t="str">
        <x:v>Decimal shares squared and scaled to standard HHI points</x:v>
      </x:c>
      <x:c r="J24" s="26" t="str">
        <x:v>v0.21 baseline formula; v0.23 disposition</x:v>
      </x:c>
    </x:row>
    <x:row r="25">
      <x:c r="A25" s="26" t="str">
        <x:v>Concentration</x:v>
      </x:c>
      <x:c r="B25" s="26" t="str">
        <x:v>F19</x:v>
      </x:c>
      <x:c r="C25" s="26" t="str">
        <x:v>IF(E19&lt;1500,"Unconcentrated",IF(E19&lt;2500,"Moderately concentrated","Highly concentrated"))</x:v>
      </x:c>
      <x:c r="D25" s="26" t="str">
        <x:v>1500, 2500</x:v>
      </x:c>
      <x:c r="E25" s="26" t="str">
        <x:v>LEGACY CLASSIFICATION THRESHOLD</x:v>
      </x:c>
      <x:c r="F25" s="26" t="str">
        <x:v>YES</x:v>
      </x:c>
      <x:c r="G25" s="26" t="str">
        <x:v>RETIRED</x:v>
      </x:c>
      <x:c r="H25" s="26" t="str">
        <x:v>P-001 / P-002</x:v>
      </x:c>
      <x:c r="I25" s="26" t="str">
        <x:v>Old US-style labels removed; Canadian merger-screen level shown with limitation</x:v>
      </x:c>
      <x:c r="J25" s="26" t="str">
        <x:v>v0.21 baseline formula; v0.23 disposition</x:v>
      </x:c>
    </x:row>
    <x:row r="26">
      <x:c r="A26" s="26" t="str">
        <x:v>Concentration</x:v>
      </x:c>
      <x:c r="B26" s="26" t="str">
        <x:v>C20</x:v>
      </x:c>
      <x:c r="C26" s="26" t="str">
        <x:v>SUM(LARGE(B14:K14,{1,2,3}))</x:v>
      </x:c>
      <x:c r="D26" s="26" t="str">
        <x:v>2, 3</x:v>
      </x:c>
      <x:c r="E26" s="26" t="str">
        <x:v>STRUCTURAL FORMULA ARGUMENT</x:v>
      </x:c>
      <x:c r="F26" s="26" t="str">
        <x:v>NO</x:v>
      </x:c>
      <x:c r="G26" s="26" t="str">
        <x:v>RETAIN LITERAL</x:v>
      </x:c>
      <x:c r="H26" s="26" t="str">
        <x:v>Top-three selector</x:v>
      </x:c>
      <x:c r="I26" s="26" t="str">
        <x:v>Selects the three largest shares</x:v>
      </x:c>
      <x:c r="J26" s="26" t="str">
        <x:v>v0.21 baseline formula; v0.23 disposition</x:v>
      </x:c>
    </x:row>
    <x:row r="27">
      <x:c r="A27" s="26" t="str">
        <x:v>Concentration</x:v>
      </x:c>
      <x:c r="B27" s="26" t="str">
        <x:v>E20</x:v>
      </x:c>
      <x:c r="C27" s="26" t="str">
        <x:v>SUMPRODUCT(B14:K14,B14:K14)*10000</x:v>
      </x:c>
      <x:c r="D27" s="26" t="str">
        <x:v>10000</x:v>
      </x:c>
      <x:c r="E27" s="26" t="str">
        <x:v>MATHEMATICAL CONVENTION</x:v>
      </x:c>
      <x:c r="F27" s="26" t="str">
        <x:v>NO</x:v>
      </x:c>
      <x:c r="G27" s="26" t="str">
        <x:v>RETAIN LITERAL</x:v>
      </x:c>
      <x:c r="H27" s="26" t="str">
        <x:v>HHI decimal scaling</x:v>
      </x:c>
      <x:c r="I27" s="26" t="str">
        <x:v>Decimal shares squared and scaled to standard HHI points</x:v>
      </x:c>
      <x:c r="J27" s="26" t="str">
        <x:v>v0.21 baseline formula; v0.23 disposition</x:v>
      </x:c>
    </x:row>
    <x:row r="28">
      <x:c r="A28" s="26" t="str">
        <x:v>Concentration</x:v>
      </x:c>
      <x:c r="B28" s="26" t="str">
        <x:v>F20</x:v>
      </x:c>
      <x:c r="C28" s="26" t="str">
        <x:v>IF(E20&lt;1500,"Unconcentrated",IF(E20&lt;2500,"Moderately concentrated","Highly concentrated"))</x:v>
      </x:c>
      <x:c r="D28" s="26" t="str">
        <x:v>1500, 2500</x:v>
      </x:c>
      <x:c r="E28" s="26" t="str">
        <x:v>LEGACY CLASSIFICATION THRESHOLD</x:v>
      </x:c>
      <x:c r="F28" s="26" t="str">
        <x:v>YES</x:v>
      </x:c>
      <x:c r="G28" s="26" t="str">
        <x:v>RETIRED</x:v>
      </x:c>
      <x:c r="H28" s="26" t="str">
        <x:v>P-001 / P-002</x:v>
      </x:c>
      <x:c r="I28" s="26" t="str">
        <x:v>Old US-style labels removed; Canadian merger-screen level shown with limitation</x:v>
      </x:c>
      <x:c r="J28" s="26" t="str">
        <x:v>v0.21 baseline formula; v0.23 disposition</x:v>
      </x:c>
    </x:row>
    <x:row r="29">
      <x:c r="A29" s="26" t="str">
        <x:v>Concentration</x:v>
      </x:c>
      <x:c r="B29" s="26" t="str">
        <x:v>C21</x:v>
      </x:c>
      <x:c r="C29" s="26" t="str">
        <x:v>SUM(LARGE(B15:K15,{1,2,3}))</x:v>
      </x:c>
      <x:c r="D29" s="26" t="str">
        <x:v>2, 3</x:v>
      </x:c>
      <x:c r="E29" s="26" t="str">
        <x:v>STRUCTURAL FORMULA ARGUMENT</x:v>
      </x:c>
      <x:c r="F29" s="26" t="str">
        <x:v>NO</x:v>
      </x:c>
      <x:c r="G29" s="26" t="str">
        <x:v>RETAIN LITERAL</x:v>
      </x:c>
      <x:c r="H29" s="26" t="str">
        <x:v>Top-three selector</x:v>
      </x:c>
      <x:c r="I29" s="26" t="str">
        <x:v>Selects the three largest shares</x:v>
      </x:c>
      <x:c r="J29" s="26" t="str">
        <x:v>v0.21 baseline formula; v0.23 disposition</x:v>
      </x:c>
    </x:row>
    <x:row r="30">
      <x:c r="A30" s="26" t="str">
        <x:v>Concentration</x:v>
      </x:c>
      <x:c r="B30" s="26" t="str">
        <x:v>E21</x:v>
      </x:c>
      <x:c r="C30" s="26" t="str">
        <x:v>SUMPRODUCT(B15:K15,B15:K15)*10000</x:v>
      </x:c>
      <x:c r="D30" s="26" t="str">
        <x:v>10000</x:v>
      </x:c>
      <x:c r="E30" s="26" t="str">
        <x:v>MATHEMATICAL CONVENTION</x:v>
      </x:c>
      <x:c r="F30" s="26" t="str">
        <x:v>NO</x:v>
      </x:c>
      <x:c r="G30" s="26" t="str">
        <x:v>RETAIN LITERAL</x:v>
      </x:c>
      <x:c r="H30" s="26" t="str">
        <x:v>HHI decimal scaling</x:v>
      </x:c>
      <x:c r="I30" s="26" t="str">
        <x:v>Decimal shares squared and scaled to standard HHI points</x:v>
      </x:c>
      <x:c r="J30" s="26" t="str">
        <x:v>v0.21 baseline formula; v0.23 disposition</x:v>
      </x:c>
    </x:row>
    <x:row r="31">
      <x:c r="A31" s="26" t="str">
        <x:v>Concentration</x:v>
      </x:c>
      <x:c r="B31" s="26" t="str">
        <x:v>F21</x:v>
      </x:c>
      <x:c r="C31" s="26" t="str">
        <x:v>IF(E21&lt;1500,"Unconcentrated",IF(E21&lt;2500,"Moderately concentrated","Highly concentrated"))</x:v>
      </x:c>
      <x:c r="D31" s="26" t="str">
        <x:v>1500, 2500</x:v>
      </x:c>
      <x:c r="E31" s="26" t="str">
        <x:v>LEGACY CLASSIFICATION THRESHOLD</x:v>
      </x:c>
      <x:c r="F31" s="26" t="str">
        <x:v>YES</x:v>
      </x:c>
      <x:c r="G31" s="26" t="str">
        <x:v>RETIRED</x:v>
      </x:c>
      <x:c r="H31" s="26" t="str">
        <x:v>P-001 / P-002</x:v>
      </x:c>
      <x:c r="I31" s="26" t="str">
        <x:v>Old US-style labels removed; Canadian merger-screen level shown with limitation</x:v>
      </x:c>
      <x:c r="J31" s="26" t="str">
        <x:v>v0.21 baseline formula; v0.23 disposition</x:v>
      </x:c>
    </x:row>
    <x:row r="32">
      <x:c r="A32" s="26" t="str">
        <x:v>Concentration</x:v>
      </x:c>
      <x:c r="B32" s="26" t="str">
        <x:v>C22</x:v>
      </x:c>
      <x:c r="C32" s="26" t="str">
        <x:v>SUM(LARGE(B16:K16,{1,2,3}))</x:v>
      </x:c>
      <x:c r="D32" s="26" t="str">
        <x:v>2, 3</x:v>
      </x:c>
      <x:c r="E32" s="26" t="str">
        <x:v>STRUCTURAL FORMULA ARGUMENT</x:v>
      </x:c>
      <x:c r="F32" s="26" t="str">
        <x:v>NO</x:v>
      </x:c>
      <x:c r="G32" s="26" t="str">
        <x:v>RETAIN LITERAL</x:v>
      </x:c>
      <x:c r="H32" s="26" t="str">
        <x:v>Top-three selector</x:v>
      </x:c>
      <x:c r="I32" s="26" t="str">
        <x:v>Selects the three largest shares</x:v>
      </x:c>
      <x:c r="J32" s="26" t="str">
        <x:v>v0.21 baseline formula; v0.23 disposition</x:v>
      </x:c>
    </x:row>
    <x:row r="33">
      <x:c r="A33" s="26" t="str">
        <x:v>Concentration</x:v>
      </x:c>
      <x:c r="B33" s="26" t="str">
        <x:v>E22</x:v>
      </x:c>
      <x:c r="C33" s="26" t="str">
        <x:v>SUMPRODUCT(B16:K16,B16:K16)*10000</x:v>
      </x:c>
      <x:c r="D33" s="26" t="str">
        <x:v>10000</x:v>
      </x:c>
      <x:c r="E33" s="26" t="str">
        <x:v>MATHEMATICAL CONVENTION</x:v>
      </x:c>
      <x:c r="F33" s="26" t="str">
        <x:v>NO</x:v>
      </x:c>
      <x:c r="G33" s="26" t="str">
        <x:v>RETAIN LITERAL</x:v>
      </x:c>
      <x:c r="H33" s="26" t="str">
        <x:v>HHI decimal scaling</x:v>
      </x:c>
      <x:c r="I33" s="26" t="str">
        <x:v>Decimal shares squared and scaled to standard HHI points</x:v>
      </x:c>
      <x:c r="J33" s="26" t="str">
        <x:v>v0.21 baseline formula; v0.23 disposition</x:v>
      </x:c>
    </x:row>
    <x:row r="34">
      <x:c r="A34" s="26" t="str">
        <x:v>Concentration</x:v>
      </x:c>
      <x:c r="B34" s="26" t="str">
        <x:v>F22</x:v>
      </x:c>
      <x:c r="C34" s="26" t="str">
        <x:v>IF(E22&lt;1500,"Unconcentrated",IF(E22&lt;2500,"Moderately concentrated","Highly concentrated"))</x:v>
      </x:c>
      <x:c r="D34" s="26" t="str">
        <x:v>1500, 2500</x:v>
      </x:c>
      <x:c r="E34" s="26" t="str">
        <x:v>LEGACY CLASSIFICATION THRESHOLD</x:v>
      </x:c>
      <x:c r="F34" s="26" t="str">
        <x:v>YES</x:v>
      </x:c>
      <x:c r="G34" s="26" t="str">
        <x:v>RETIRED</x:v>
      </x:c>
      <x:c r="H34" s="26" t="str">
        <x:v>P-001 / P-002</x:v>
      </x:c>
      <x:c r="I34" s="26" t="str">
        <x:v>Old US-style labels removed; Canadian merger-screen level shown with limitation</x:v>
      </x:c>
      <x:c r="J34" s="26" t="str">
        <x:v>v0.21 baseline formula; v0.23 disposition</x:v>
      </x:c>
    </x:row>
    <x:row r="35">
      <x:c r="A35" s="26" t="str">
        <x:v>SWF_Scenario</x:v>
      </x:c>
      <x:c r="B35" s="26" t="str">
        <x:v>D14</x:v>
      </x:c>
      <x:c r="C35" s="26" t="str">
        <x:v>(B14+C14/2)*Assumptions!C17</x:v>
      </x:c>
      <x:c r="D35" s="26" t="str">
        <x:v>2</x:v>
      </x:c>
      <x:c r="E35" s="26" t="str">
        <x:v>SCENARIO TIMING ASSUMPTION</x:v>
      </x:c>
      <x:c r="F35" s="26" t="str">
        <x:v>YES</x:v>
      </x:c>
      <x:c r="G35" s="26" t="str">
        <x:v>CENTRALIZED</x:v>
      </x:c>
      <x:c r="H35" s="26" t="str">
        <x:v>P-012</x:v>
      </x:c>
      <x:c r="I35" s="26" t="str">
        <x:v>Mid-year deposit timing factor</x:v>
      </x:c>
      <x:c r="J35" s="26" t="str">
        <x:v>v0.21 baseline formula; v0.23 disposition</x:v>
      </x:c>
    </x:row>
    <x:row r="36">
      <x:c r="A36" s="26" t="str">
        <x:v>SWF_Scenario</x:v>
      </x:c>
      <x:c r="B36" s="26" t="str">
        <x:v>H14</x:v>
      </x:c>
      <x:c r="C36" s="26" t="str">
        <x:v>(F14+G14/2)*Assumptions!B17</x:v>
      </x:c>
      <x:c r="D36" s="26" t="str">
        <x:v>2</x:v>
      </x:c>
      <x:c r="E36" s="26" t="str">
        <x:v>SCENARIO TIMING ASSUMPTION</x:v>
      </x:c>
      <x:c r="F36" s="26" t="str">
        <x:v>YES</x:v>
      </x:c>
      <x:c r="G36" s="26" t="str">
        <x:v>CENTRALIZED</x:v>
      </x:c>
      <x:c r="H36" s="26" t="str">
        <x:v>P-012</x:v>
      </x:c>
      <x:c r="I36" s="26" t="str">
        <x:v>Mid-year deposit timing factor</x:v>
      </x:c>
      <x:c r="J36" s="26" t="str">
        <x:v>v0.21 baseline formula; v0.23 disposition</x:v>
      </x:c>
    </x:row>
    <x:row r="37">
      <x:c r="A37" s="26" t="str">
        <x:v>SWF_Scenario</x:v>
      </x:c>
      <x:c r="B37" s="26" t="str">
        <x:v>M14</x:v>
      </x:c>
      <x:c r="C37" s="26" t="str">
        <x:v>(K14+L14/2)*Assumptions!D17</x:v>
      </x:c>
      <x:c r="D37" s="26" t="str">
        <x:v>2</x:v>
      </x:c>
      <x:c r="E37" s="26" t="str">
        <x:v>SCENARIO TIMING ASSUMPTION</x:v>
      </x:c>
      <x:c r="F37" s="26" t="str">
        <x:v>YES</x:v>
      </x:c>
      <x:c r="G37" s="26" t="str">
        <x:v>CENTRALIZED</x:v>
      </x:c>
      <x:c r="H37" s="26" t="str">
        <x:v>P-012</x:v>
      </x:c>
      <x:c r="I37" s="26" t="str">
        <x:v>Mid-year deposit timing factor</x:v>
      </x:c>
      <x:c r="J37" s="26" t="str">
        <x:v>v0.21 baseline formula; v0.23 disposition</x:v>
      </x:c>
    </x:row>
    <x:row r="38">
      <x:c r="A38" s="26" t="str">
        <x:v>SWF_Scenario</x:v>
      </x:c>
      <x:c r="B38" s="26" t="str">
        <x:v>D15</x:v>
      </x:c>
      <x:c r="C38" s="26" t="str">
        <x:v>(B15+C15/2)*Assumptions!C17</x:v>
      </x:c>
      <x:c r="D38" s="26" t="str">
        <x:v>2</x:v>
      </x:c>
      <x:c r="E38" s="26" t="str">
        <x:v>SCENARIO TIMING ASSUMPTION</x:v>
      </x:c>
      <x:c r="F38" s="26" t="str">
        <x:v>YES</x:v>
      </x:c>
      <x:c r="G38" s="26" t="str">
        <x:v>CENTRALIZED</x:v>
      </x:c>
      <x:c r="H38" s="26" t="str">
        <x:v>P-012</x:v>
      </x:c>
      <x:c r="I38" s="26" t="str">
        <x:v>Mid-year deposit timing factor</x:v>
      </x:c>
      <x:c r="J38" s="26" t="str">
        <x:v>v0.21 baseline formula; v0.23 disposition</x:v>
      </x:c>
    </x:row>
    <x:row r="39">
      <x:c r="A39" s="26" t="str">
        <x:v>SWF_Scenario</x:v>
      </x:c>
      <x:c r="B39" s="26" t="str">
        <x:v>H15</x:v>
      </x:c>
      <x:c r="C39" s="26" t="str">
        <x:v>(F15+G15/2)*Assumptions!B17</x:v>
      </x:c>
      <x:c r="D39" s="26" t="str">
        <x:v>2</x:v>
      </x:c>
      <x:c r="E39" s="26" t="str">
        <x:v>SCENARIO TIMING ASSUMPTION</x:v>
      </x:c>
      <x:c r="F39" s="26" t="str">
        <x:v>YES</x:v>
      </x:c>
      <x:c r="G39" s="26" t="str">
        <x:v>CENTRALIZED</x:v>
      </x:c>
      <x:c r="H39" s="26" t="str">
        <x:v>P-012</x:v>
      </x:c>
      <x:c r="I39" s="26" t="str">
        <x:v>Mid-year deposit timing factor</x:v>
      </x:c>
      <x:c r="J39" s="26" t="str">
        <x:v>v0.21 baseline formula; v0.23 disposition</x:v>
      </x:c>
    </x:row>
    <x:row r="40">
      <x:c r="A40" s="26" t="str">
        <x:v>SWF_Scenario</x:v>
      </x:c>
      <x:c r="B40" s="26" t="str">
        <x:v>M15</x:v>
      </x:c>
      <x:c r="C40" s="26" t="str">
        <x:v>(K15+L15/2)*Assumptions!D17</x:v>
      </x:c>
      <x:c r="D40" s="26" t="str">
        <x:v>2</x:v>
      </x:c>
      <x:c r="E40" s="26" t="str">
        <x:v>SCENARIO TIMING ASSUMPTION</x:v>
      </x:c>
      <x:c r="F40" s="26" t="str">
        <x:v>YES</x:v>
      </x:c>
      <x:c r="G40" s="26" t="str">
        <x:v>CENTRALIZED</x:v>
      </x:c>
      <x:c r="H40" s="26" t="str">
        <x:v>P-012</x:v>
      </x:c>
      <x:c r="I40" s="26" t="str">
        <x:v>Mid-year deposit timing factor</x:v>
      </x:c>
      <x:c r="J40" s="26" t="str">
        <x:v>v0.21 baseline formula; v0.23 disposition</x:v>
      </x:c>
    </x:row>
    <x:row r="41">
      <x:c r="A41" s="26" t="str">
        <x:v>SWF_Scenario</x:v>
      </x:c>
      <x:c r="B41" s="26" t="str">
        <x:v>D16</x:v>
      </x:c>
      <x:c r="C41" s="26" t="str">
        <x:v>(B16+C16/2)*Assumptions!C17</x:v>
      </x:c>
      <x:c r="D41" s="26" t="str">
        <x:v>2</x:v>
      </x:c>
      <x:c r="E41" s="26" t="str">
        <x:v>SCENARIO TIMING ASSUMPTION</x:v>
      </x:c>
      <x:c r="F41" s="26" t="str">
        <x:v>YES</x:v>
      </x:c>
      <x:c r="G41" s="26" t="str">
        <x:v>CENTRALIZED</x:v>
      </x:c>
      <x:c r="H41" s="26" t="str">
        <x:v>P-012</x:v>
      </x:c>
      <x:c r="I41" s="26" t="str">
        <x:v>Mid-year deposit timing factor</x:v>
      </x:c>
      <x:c r="J41" s="26" t="str">
        <x:v>v0.21 baseline formula; v0.23 disposition</x:v>
      </x:c>
    </x:row>
    <x:row r="42">
      <x:c r="A42" s="26" t="str">
        <x:v>SWF_Scenario</x:v>
      </x:c>
      <x:c r="B42" s="26" t="str">
        <x:v>H16</x:v>
      </x:c>
      <x:c r="C42" s="26" t="str">
        <x:v>(F16+G16/2)*Assumptions!B17</x:v>
      </x:c>
      <x:c r="D42" s="26" t="str">
        <x:v>2</x:v>
      </x:c>
      <x:c r="E42" s="26" t="str">
        <x:v>SCENARIO TIMING ASSUMPTION</x:v>
      </x:c>
      <x:c r="F42" s="26" t="str">
        <x:v>YES</x:v>
      </x:c>
      <x:c r="G42" s="26" t="str">
        <x:v>CENTRALIZED</x:v>
      </x:c>
      <x:c r="H42" s="26" t="str">
        <x:v>P-012</x:v>
      </x:c>
      <x:c r="I42" s="26" t="str">
        <x:v>Mid-year deposit timing factor</x:v>
      </x:c>
      <x:c r="J42" s="26" t="str">
        <x:v>v0.21 baseline formula; v0.23 disposition</x:v>
      </x:c>
    </x:row>
    <x:row r="43">
      <x:c r="A43" s="26" t="str">
        <x:v>SWF_Scenario</x:v>
      </x:c>
      <x:c r="B43" s="26" t="str">
        <x:v>M16</x:v>
      </x:c>
      <x:c r="C43" s="26" t="str">
        <x:v>(K16+L16/2)*Assumptions!D17</x:v>
      </x:c>
      <x:c r="D43" s="26" t="str">
        <x:v>2</x:v>
      </x:c>
      <x:c r="E43" s="26" t="str">
        <x:v>SCENARIO TIMING ASSUMPTION</x:v>
      </x:c>
      <x:c r="F43" s="26" t="str">
        <x:v>YES</x:v>
      </x:c>
      <x:c r="G43" s="26" t="str">
        <x:v>CENTRALIZED</x:v>
      </x:c>
      <x:c r="H43" s="26" t="str">
        <x:v>P-012</x:v>
      </x:c>
      <x:c r="I43" s="26" t="str">
        <x:v>Mid-year deposit timing factor</x:v>
      </x:c>
      <x:c r="J43" s="26" t="str">
        <x:v>v0.21 baseline formula; v0.23 disposition</x:v>
      </x:c>
    </x:row>
    <x:row r="44">
      <x:c r="A44" s="26" t="str">
        <x:v>SWF_Scenario</x:v>
      </x:c>
      <x:c r="B44" s="26" t="str">
        <x:v>D17</x:v>
      </x:c>
      <x:c r="C44" s="26" t="str">
        <x:v>(B17+C17/2)*Assumptions!C17</x:v>
      </x:c>
      <x:c r="D44" s="26" t="str">
        <x:v>2</x:v>
      </x:c>
      <x:c r="E44" s="26" t="str">
        <x:v>SCENARIO TIMING ASSUMPTION</x:v>
      </x:c>
      <x:c r="F44" s="26" t="str">
        <x:v>YES</x:v>
      </x:c>
      <x:c r="G44" s="26" t="str">
        <x:v>CENTRALIZED</x:v>
      </x:c>
      <x:c r="H44" s="26" t="str">
        <x:v>P-012</x:v>
      </x:c>
      <x:c r="I44" s="26" t="str">
        <x:v>Mid-year deposit timing factor</x:v>
      </x:c>
      <x:c r="J44" s="26" t="str">
        <x:v>v0.21 baseline formula; v0.23 disposition</x:v>
      </x:c>
    </x:row>
    <x:row r="45">
      <x:c r="A45" s="26" t="str">
        <x:v>SWF_Scenario</x:v>
      </x:c>
      <x:c r="B45" s="26" t="str">
        <x:v>H17</x:v>
      </x:c>
      <x:c r="C45" s="26" t="str">
        <x:v>(F17+G17/2)*Assumptions!B17</x:v>
      </x:c>
      <x:c r="D45" s="26" t="str">
        <x:v>2</x:v>
      </x:c>
      <x:c r="E45" s="26" t="str">
        <x:v>SCENARIO TIMING ASSUMPTION</x:v>
      </x:c>
      <x:c r="F45" s="26" t="str">
        <x:v>YES</x:v>
      </x:c>
      <x:c r="G45" s="26" t="str">
        <x:v>CENTRALIZED</x:v>
      </x:c>
      <x:c r="H45" s="26" t="str">
        <x:v>P-012</x:v>
      </x:c>
      <x:c r="I45" s="26" t="str">
        <x:v>Mid-year deposit timing factor</x:v>
      </x:c>
      <x:c r="J45" s="26" t="str">
        <x:v>v0.21 baseline formula; v0.23 disposition</x:v>
      </x:c>
    </x:row>
    <x:row r="46">
      <x:c r="A46" s="26" t="str">
        <x:v>SWF_Scenario</x:v>
      </x:c>
      <x:c r="B46" s="26" t="str">
        <x:v>M17</x:v>
      </x:c>
      <x:c r="C46" s="26" t="str">
        <x:v>(K17+L17/2)*Assumptions!D17</x:v>
      </x:c>
      <x:c r="D46" s="26" t="str">
        <x:v>2</x:v>
      </x:c>
      <x:c r="E46" s="26" t="str">
        <x:v>SCENARIO TIMING ASSUMPTION</x:v>
      </x:c>
      <x:c r="F46" s="26" t="str">
        <x:v>YES</x:v>
      </x:c>
      <x:c r="G46" s="26" t="str">
        <x:v>CENTRALIZED</x:v>
      </x:c>
      <x:c r="H46" s="26" t="str">
        <x:v>P-012</x:v>
      </x:c>
      <x:c r="I46" s="26" t="str">
        <x:v>Mid-year deposit timing factor</x:v>
      </x:c>
      <x:c r="J46" s="26" t="str">
        <x:v>v0.21 baseline formula; v0.23 disposition</x:v>
      </x:c>
    </x:row>
    <x:row r="47">
      <x:c r="A47" s="26" t="str">
        <x:v>SWF_Scenario</x:v>
      </x:c>
      <x:c r="B47" s="26" t="str">
        <x:v>D18</x:v>
      </x:c>
      <x:c r="C47" s="26" t="str">
        <x:v>(B18+C18/2)*Assumptions!C17</x:v>
      </x:c>
      <x:c r="D47" s="26" t="str">
        <x:v>2</x:v>
      </x:c>
      <x:c r="E47" s="26" t="str">
        <x:v>SCENARIO TIMING ASSUMPTION</x:v>
      </x:c>
      <x:c r="F47" s="26" t="str">
        <x:v>YES</x:v>
      </x:c>
      <x:c r="G47" s="26" t="str">
        <x:v>CENTRALIZED</x:v>
      </x:c>
      <x:c r="H47" s="26" t="str">
        <x:v>P-012</x:v>
      </x:c>
      <x:c r="I47" s="26" t="str">
        <x:v>Mid-year deposit timing factor</x:v>
      </x:c>
      <x:c r="J47" s="26" t="str">
        <x:v>v0.21 baseline formula; v0.23 disposition</x:v>
      </x:c>
    </x:row>
    <x:row r="48">
      <x:c r="A48" s="26" t="str">
        <x:v>SWF_Scenario</x:v>
      </x:c>
      <x:c r="B48" s="26" t="str">
        <x:v>H18</x:v>
      </x:c>
      <x:c r="C48" s="26" t="str">
        <x:v>(F18+G18/2)*Assumptions!B17</x:v>
      </x:c>
      <x:c r="D48" s="26" t="str">
        <x:v>2</x:v>
      </x:c>
      <x:c r="E48" s="26" t="str">
        <x:v>SCENARIO TIMING ASSUMPTION</x:v>
      </x:c>
      <x:c r="F48" s="26" t="str">
        <x:v>YES</x:v>
      </x:c>
      <x:c r="G48" s="26" t="str">
        <x:v>CENTRALIZED</x:v>
      </x:c>
      <x:c r="H48" s="26" t="str">
        <x:v>P-012</x:v>
      </x:c>
      <x:c r="I48" s="26" t="str">
        <x:v>Mid-year deposit timing factor</x:v>
      </x:c>
      <x:c r="J48" s="26" t="str">
        <x:v>v0.21 baseline formula; v0.23 disposition</x:v>
      </x:c>
    </x:row>
    <x:row r="49">
      <x:c r="A49" s="26" t="str">
        <x:v>SWF_Scenario</x:v>
      </x:c>
      <x:c r="B49" s="26" t="str">
        <x:v>M18</x:v>
      </x:c>
      <x:c r="C49" s="26" t="str">
        <x:v>(K18+L18/2)*Assumptions!D17</x:v>
      </x:c>
      <x:c r="D49" s="26" t="str">
        <x:v>2</x:v>
      </x:c>
      <x:c r="E49" s="26" t="str">
        <x:v>SCENARIO TIMING ASSUMPTION</x:v>
      </x:c>
      <x:c r="F49" s="26" t="str">
        <x:v>YES</x:v>
      </x:c>
      <x:c r="G49" s="26" t="str">
        <x:v>CENTRALIZED</x:v>
      </x:c>
      <x:c r="H49" s="26" t="str">
        <x:v>P-012</x:v>
      </x:c>
      <x:c r="I49" s="26" t="str">
        <x:v>Mid-year deposit timing factor</x:v>
      </x:c>
      <x:c r="J49" s="26" t="str">
        <x:v>v0.21 baseline formula; v0.23 disposition</x:v>
      </x:c>
    </x:row>
    <x:row r="50">
      <x:c r="A50" s="26" t="str">
        <x:v>SWF_Scenario</x:v>
      </x:c>
      <x:c r="B50" s="26" t="str">
        <x:v>D19</x:v>
      </x:c>
      <x:c r="C50" s="26" t="str">
        <x:v>(B19+C19/2)*Assumptions!C17</x:v>
      </x:c>
      <x:c r="D50" s="26" t="str">
        <x:v>2</x:v>
      </x:c>
      <x:c r="E50" s="26" t="str">
        <x:v>SCENARIO TIMING ASSUMPTION</x:v>
      </x:c>
      <x:c r="F50" s="26" t="str">
        <x:v>YES</x:v>
      </x:c>
      <x:c r="G50" s="26" t="str">
        <x:v>CENTRALIZED</x:v>
      </x:c>
      <x:c r="H50" s="26" t="str">
        <x:v>P-012</x:v>
      </x:c>
      <x:c r="I50" s="26" t="str">
        <x:v>Mid-year deposit timing factor</x:v>
      </x:c>
      <x:c r="J50" s="26" t="str">
        <x:v>v0.21 baseline formula; v0.23 disposition</x:v>
      </x:c>
    </x:row>
    <x:row r="51">
      <x:c r="A51" s="26" t="str">
        <x:v>SWF_Scenario</x:v>
      </x:c>
      <x:c r="B51" s="26" t="str">
        <x:v>H19</x:v>
      </x:c>
      <x:c r="C51" s="26" t="str">
        <x:v>(F19+G19/2)*Assumptions!B17</x:v>
      </x:c>
      <x:c r="D51" s="26" t="str">
        <x:v>2</x:v>
      </x:c>
      <x:c r="E51" s="26" t="str">
        <x:v>SCENARIO TIMING ASSUMPTION</x:v>
      </x:c>
      <x:c r="F51" s="26" t="str">
        <x:v>YES</x:v>
      </x:c>
      <x:c r="G51" s="26" t="str">
        <x:v>CENTRALIZED</x:v>
      </x:c>
      <x:c r="H51" s="26" t="str">
        <x:v>P-012</x:v>
      </x:c>
      <x:c r="I51" s="26" t="str">
        <x:v>Mid-year deposit timing factor</x:v>
      </x:c>
      <x:c r="J51" s="26" t="str">
        <x:v>v0.21 baseline formula; v0.23 disposition</x:v>
      </x:c>
    </x:row>
    <x:row r="52">
      <x:c r="A52" s="26" t="str">
        <x:v>SWF_Scenario</x:v>
      </x:c>
      <x:c r="B52" s="26" t="str">
        <x:v>M19</x:v>
      </x:c>
      <x:c r="C52" s="26" t="str">
        <x:v>(K19+L19/2)*Assumptions!D17</x:v>
      </x:c>
      <x:c r="D52" s="26" t="str">
        <x:v>2</x:v>
      </x:c>
      <x:c r="E52" s="26" t="str">
        <x:v>SCENARIO TIMING ASSUMPTION</x:v>
      </x:c>
      <x:c r="F52" s="26" t="str">
        <x:v>YES</x:v>
      </x:c>
      <x:c r="G52" s="26" t="str">
        <x:v>CENTRALIZED</x:v>
      </x:c>
      <x:c r="H52" s="26" t="str">
        <x:v>P-012</x:v>
      </x:c>
      <x:c r="I52" s="26" t="str">
        <x:v>Mid-year deposit timing factor</x:v>
      </x:c>
      <x:c r="J52" s="26" t="str">
        <x:v>v0.21 baseline formula; v0.23 disposition</x:v>
      </x:c>
    </x:row>
    <x:row r="53">
      <x:c r="A53" s="26" t="str">
        <x:v>SWF_Scenario</x:v>
      </x:c>
      <x:c r="B53" s="26" t="str">
        <x:v>D20</x:v>
      </x:c>
      <x:c r="C53" s="26" t="str">
        <x:v>(B20+C20/2)*Assumptions!C17</x:v>
      </x:c>
      <x:c r="D53" s="26" t="str">
        <x:v>2</x:v>
      </x:c>
      <x:c r="E53" s="26" t="str">
        <x:v>SCENARIO TIMING ASSUMPTION</x:v>
      </x:c>
      <x:c r="F53" s="26" t="str">
        <x:v>YES</x:v>
      </x:c>
      <x:c r="G53" s="26" t="str">
        <x:v>CENTRALIZED</x:v>
      </x:c>
      <x:c r="H53" s="26" t="str">
        <x:v>P-012</x:v>
      </x:c>
      <x:c r="I53" s="26" t="str">
        <x:v>Mid-year deposit timing factor</x:v>
      </x:c>
      <x:c r="J53" s="26" t="str">
        <x:v>v0.21 baseline formula; v0.23 disposition</x:v>
      </x:c>
    </x:row>
    <x:row r="54">
      <x:c r="A54" s="26" t="str">
        <x:v>SWF_Scenario</x:v>
      </x:c>
      <x:c r="B54" s="26" t="str">
        <x:v>H20</x:v>
      </x:c>
      <x:c r="C54" s="26" t="str">
        <x:v>(F20+G20/2)*Assumptions!B17</x:v>
      </x:c>
      <x:c r="D54" s="26" t="str">
        <x:v>2</x:v>
      </x:c>
      <x:c r="E54" s="26" t="str">
        <x:v>SCENARIO TIMING ASSUMPTION</x:v>
      </x:c>
      <x:c r="F54" s="26" t="str">
        <x:v>YES</x:v>
      </x:c>
      <x:c r="G54" s="26" t="str">
        <x:v>CENTRALIZED</x:v>
      </x:c>
      <x:c r="H54" s="26" t="str">
        <x:v>P-012</x:v>
      </x:c>
      <x:c r="I54" s="26" t="str">
        <x:v>Mid-year deposit timing factor</x:v>
      </x:c>
      <x:c r="J54" s="26" t="str">
        <x:v>v0.21 baseline formula; v0.23 disposition</x:v>
      </x:c>
    </x:row>
    <x:row r="55">
      <x:c r="A55" s="26" t="str">
        <x:v>SWF_Scenario</x:v>
      </x:c>
      <x:c r="B55" s="26" t="str">
        <x:v>M20</x:v>
      </x:c>
      <x:c r="C55" s="26" t="str">
        <x:v>(K20+L20/2)*Assumptions!D17</x:v>
      </x:c>
      <x:c r="D55" s="26" t="str">
        <x:v>2</x:v>
      </x:c>
      <x:c r="E55" s="26" t="str">
        <x:v>SCENARIO TIMING ASSUMPTION</x:v>
      </x:c>
      <x:c r="F55" s="26" t="str">
        <x:v>YES</x:v>
      </x:c>
      <x:c r="G55" s="26" t="str">
        <x:v>CENTRALIZED</x:v>
      </x:c>
      <x:c r="H55" s="26" t="str">
        <x:v>P-012</x:v>
      </x:c>
      <x:c r="I55" s="26" t="str">
        <x:v>Mid-year deposit timing factor</x:v>
      </x:c>
      <x:c r="J55" s="26" t="str">
        <x:v>v0.21 baseline formula; v0.23 disposition</x:v>
      </x:c>
    </x:row>
    <x:row r="56">
      <x:c r="A56" s="26" t="str">
        <x:v>SWF_Scenario</x:v>
      </x:c>
      <x:c r="B56" s="26" t="str">
        <x:v>D21</x:v>
      </x:c>
      <x:c r="C56" s="26" t="str">
        <x:v>(B21+C21/2)*Assumptions!C17</x:v>
      </x:c>
      <x:c r="D56" s="26" t="str">
        <x:v>2</x:v>
      </x:c>
      <x:c r="E56" s="26" t="str">
        <x:v>SCENARIO TIMING ASSUMPTION</x:v>
      </x:c>
      <x:c r="F56" s="26" t="str">
        <x:v>YES</x:v>
      </x:c>
      <x:c r="G56" s="26" t="str">
        <x:v>CENTRALIZED</x:v>
      </x:c>
      <x:c r="H56" s="26" t="str">
        <x:v>P-012</x:v>
      </x:c>
      <x:c r="I56" s="26" t="str">
        <x:v>Mid-year deposit timing factor</x:v>
      </x:c>
      <x:c r="J56" s="26" t="str">
        <x:v>v0.21 baseline formula; v0.23 disposition</x:v>
      </x:c>
    </x:row>
    <x:row r="57">
      <x:c r="A57" s="26" t="str">
        <x:v>SWF_Scenario</x:v>
      </x:c>
      <x:c r="B57" s="26" t="str">
        <x:v>H21</x:v>
      </x:c>
      <x:c r="C57" s="26" t="str">
        <x:v>(F21+G21/2)*Assumptions!B17</x:v>
      </x:c>
      <x:c r="D57" s="26" t="str">
        <x:v>2</x:v>
      </x:c>
      <x:c r="E57" s="26" t="str">
        <x:v>SCENARIO TIMING ASSUMPTION</x:v>
      </x:c>
      <x:c r="F57" s="26" t="str">
        <x:v>YES</x:v>
      </x:c>
      <x:c r="G57" s="26" t="str">
        <x:v>CENTRALIZED</x:v>
      </x:c>
      <x:c r="H57" s="26" t="str">
        <x:v>P-012</x:v>
      </x:c>
      <x:c r="I57" s="26" t="str">
        <x:v>Mid-year deposit timing factor</x:v>
      </x:c>
      <x:c r="J57" s="26" t="str">
        <x:v>v0.21 baseline formula; v0.23 disposition</x:v>
      </x:c>
    </x:row>
    <x:row r="58">
      <x:c r="A58" s="26" t="str">
        <x:v>SWF_Scenario</x:v>
      </x:c>
      <x:c r="B58" s="26" t="str">
        <x:v>M21</x:v>
      </x:c>
      <x:c r="C58" s="26" t="str">
        <x:v>(K21+L21/2)*Assumptions!D17</x:v>
      </x:c>
      <x:c r="D58" s="26" t="str">
        <x:v>2</x:v>
      </x:c>
      <x:c r="E58" s="26" t="str">
        <x:v>SCENARIO TIMING ASSUMPTION</x:v>
      </x:c>
      <x:c r="F58" s="26" t="str">
        <x:v>YES</x:v>
      </x:c>
      <x:c r="G58" s="26" t="str">
        <x:v>CENTRALIZED</x:v>
      </x:c>
      <x:c r="H58" s="26" t="str">
        <x:v>P-012</x:v>
      </x:c>
      <x:c r="I58" s="26" t="str">
        <x:v>Mid-year deposit timing factor</x:v>
      </x:c>
      <x:c r="J58" s="26" t="str">
        <x:v>v0.21 baseline formula; v0.23 disposition</x:v>
      </x:c>
    </x:row>
    <x:row r="59">
      <x:c r="A59" s="26" t="str">
        <x:v>SWF_Scenario</x:v>
      </x:c>
      <x:c r="B59" s="26" t="str">
        <x:v>D22</x:v>
      </x:c>
      <x:c r="C59" s="26" t="str">
        <x:v>(B22+C22/2)*Assumptions!C17</x:v>
      </x:c>
      <x:c r="D59" s="26" t="str">
        <x:v>2</x:v>
      </x:c>
      <x:c r="E59" s="26" t="str">
        <x:v>SCENARIO TIMING ASSUMPTION</x:v>
      </x:c>
      <x:c r="F59" s="26" t="str">
        <x:v>YES</x:v>
      </x:c>
      <x:c r="G59" s="26" t="str">
        <x:v>CENTRALIZED</x:v>
      </x:c>
      <x:c r="H59" s="26" t="str">
        <x:v>P-012</x:v>
      </x:c>
      <x:c r="I59" s="26" t="str">
        <x:v>Mid-year deposit timing factor</x:v>
      </x:c>
      <x:c r="J59" s="26" t="str">
        <x:v>v0.21 baseline formula; v0.23 disposition</x:v>
      </x:c>
    </x:row>
    <x:row r="60">
      <x:c r="A60" s="26" t="str">
        <x:v>SWF_Scenario</x:v>
      </x:c>
      <x:c r="B60" s="26" t="str">
        <x:v>H22</x:v>
      </x:c>
      <x:c r="C60" s="26" t="str">
        <x:v>(F22+G22/2)*Assumptions!B17</x:v>
      </x:c>
      <x:c r="D60" s="26" t="str">
        <x:v>2</x:v>
      </x:c>
      <x:c r="E60" s="26" t="str">
        <x:v>SCENARIO TIMING ASSUMPTION</x:v>
      </x:c>
      <x:c r="F60" s="26" t="str">
        <x:v>YES</x:v>
      </x:c>
      <x:c r="G60" s="26" t="str">
        <x:v>CENTRALIZED</x:v>
      </x:c>
      <x:c r="H60" s="26" t="str">
        <x:v>P-012</x:v>
      </x:c>
      <x:c r="I60" s="26" t="str">
        <x:v>Mid-year deposit timing factor</x:v>
      </x:c>
      <x:c r="J60" s="26" t="str">
        <x:v>v0.21 baseline formula; v0.23 disposition</x:v>
      </x:c>
    </x:row>
    <x:row r="61">
      <x:c r="A61" s="26" t="str">
        <x:v>SWF_Scenario</x:v>
      </x:c>
      <x:c r="B61" s="26" t="str">
        <x:v>M22</x:v>
      </x:c>
      <x:c r="C61" s="26" t="str">
        <x:v>(K22+L22/2)*Assumptions!D17</x:v>
      </x:c>
      <x:c r="D61" s="26" t="str">
        <x:v>2</x:v>
      </x:c>
      <x:c r="E61" s="26" t="str">
        <x:v>SCENARIO TIMING ASSUMPTION</x:v>
      </x:c>
      <x:c r="F61" s="26" t="str">
        <x:v>YES</x:v>
      </x:c>
      <x:c r="G61" s="26" t="str">
        <x:v>CENTRALIZED</x:v>
      </x:c>
      <x:c r="H61" s="26" t="str">
        <x:v>P-012</x:v>
      </x:c>
      <x:c r="I61" s="26" t="str">
        <x:v>Mid-year deposit timing factor</x:v>
      </x:c>
      <x:c r="J61" s="26" t="str">
        <x:v>v0.21 baseline formula; v0.23 disposition</x:v>
      </x:c>
    </x:row>
    <x:row r="62">
      <x:c r="A62" s="26" t="str">
        <x:v>SWF_Scenario</x:v>
      </x:c>
      <x:c r="B62" s="26" t="str">
        <x:v>D23</x:v>
      </x:c>
      <x:c r="C62" s="26" t="str">
        <x:v>(B23+C23/2)*Assumptions!C17</x:v>
      </x:c>
      <x:c r="D62" s="26" t="str">
        <x:v>2</x:v>
      </x:c>
      <x:c r="E62" s="26" t="str">
        <x:v>SCENARIO TIMING ASSUMPTION</x:v>
      </x:c>
      <x:c r="F62" s="26" t="str">
        <x:v>YES</x:v>
      </x:c>
      <x:c r="G62" s="26" t="str">
        <x:v>CENTRALIZED</x:v>
      </x:c>
      <x:c r="H62" s="26" t="str">
        <x:v>P-012</x:v>
      </x:c>
      <x:c r="I62" s="26" t="str">
        <x:v>Mid-year deposit timing factor</x:v>
      </x:c>
      <x:c r="J62" s="26" t="str">
        <x:v>v0.21 baseline formula; v0.23 disposition</x:v>
      </x:c>
    </x:row>
    <x:row r="63">
      <x:c r="A63" s="26" t="str">
        <x:v>SWF_Scenario</x:v>
      </x:c>
      <x:c r="B63" s="26" t="str">
        <x:v>H23</x:v>
      </x:c>
      <x:c r="C63" s="26" t="str">
        <x:v>(F23+G23/2)*Assumptions!B17</x:v>
      </x:c>
      <x:c r="D63" s="26" t="str">
        <x:v>2</x:v>
      </x:c>
      <x:c r="E63" s="26" t="str">
        <x:v>SCENARIO TIMING ASSUMPTION</x:v>
      </x:c>
      <x:c r="F63" s="26" t="str">
        <x:v>YES</x:v>
      </x:c>
      <x:c r="G63" s="26" t="str">
        <x:v>CENTRALIZED</x:v>
      </x:c>
      <x:c r="H63" s="26" t="str">
        <x:v>P-012</x:v>
      </x:c>
      <x:c r="I63" s="26" t="str">
        <x:v>Mid-year deposit timing factor</x:v>
      </x:c>
      <x:c r="J63" s="26" t="str">
        <x:v>v0.21 baseline formula; v0.23 disposition</x:v>
      </x:c>
    </x:row>
    <x:row r="64">
      <x:c r="A64" s="26" t="str">
        <x:v>SWF_Scenario</x:v>
      </x:c>
      <x:c r="B64" s="26" t="str">
        <x:v>M23</x:v>
      </x:c>
      <x:c r="C64" s="26" t="str">
        <x:v>(K23+L23/2)*Assumptions!D17</x:v>
      </x:c>
      <x:c r="D64" s="26" t="str">
        <x:v>2</x:v>
      </x:c>
      <x:c r="E64" s="26" t="str">
        <x:v>SCENARIO TIMING ASSUMPTION</x:v>
      </x:c>
      <x:c r="F64" s="26" t="str">
        <x:v>YES</x:v>
      </x:c>
      <x:c r="G64" s="26" t="str">
        <x:v>CENTRALIZED</x:v>
      </x:c>
      <x:c r="H64" s="26" t="str">
        <x:v>P-012</x:v>
      </x:c>
      <x:c r="I64" s="26" t="str">
        <x:v>Mid-year deposit timing factor</x:v>
      </x:c>
      <x:c r="J64" s="26" t="str">
        <x:v>v0.21 baseline formula; v0.23 disposition</x:v>
      </x:c>
    </x:row>
    <x:row r="65">
      <x:c r="A65" s="26" t="str">
        <x:v>SWF_Scenario</x:v>
      </x:c>
      <x:c r="B65" s="26" t="str">
        <x:v>D24</x:v>
      </x:c>
      <x:c r="C65" s="26" t="str">
        <x:v>(B24+C24/2)*Assumptions!C17</x:v>
      </x:c>
      <x:c r="D65" s="26" t="str">
        <x:v>2</x:v>
      </x:c>
      <x:c r="E65" s="26" t="str">
        <x:v>SCENARIO TIMING ASSUMPTION</x:v>
      </x:c>
      <x:c r="F65" s="26" t="str">
        <x:v>YES</x:v>
      </x:c>
      <x:c r="G65" s="26" t="str">
        <x:v>CENTRALIZED</x:v>
      </x:c>
      <x:c r="H65" s="26" t="str">
        <x:v>P-012</x:v>
      </x:c>
      <x:c r="I65" s="26" t="str">
        <x:v>Mid-year deposit timing factor</x:v>
      </x:c>
      <x:c r="J65" s="26" t="str">
        <x:v>v0.21 baseline formula; v0.23 disposition</x:v>
      </x:c>
    </x:row>
    <x:row r="66">
      <x:c r="A66" s="26" t="str">
        <x:v>SWF_Scenario</x:v>
      </x:c>
      <x:c r="B66" s="26" t="str">
        <x:v>H24</x:v>
      </x:c>
      <x:c r="C66" s="26" t="str">
        <x:v>(F24+G24/2)*Assumptions!B17</x:v>
      </x:c>
      <x:c r="D66" s="26" t="str">
        <x:v>2</x:v>
      </x:c>
      <x:c r="E66" s="26" t="str">
        <x:v>SCENARIO TIMING ASSUMPTION</x:v>
      </x:c>
      <x:c r="F66" s="26" t="str">
        <x:v>YES</x:v>
      </x:c>
      <x:c r="G66" s="26" t="str">
        <x:v>CENTRALIZED</x:v>
      </x:c>
      <x:c r="H66" s="26" t="str">
        <x:v>P-012</x:v>
      </x:c>
      <x:c r="I66" s="26" t="str">
        <x:v>Mid-year deposit timing factor</x:v>
      </x:c>
      <x:c r="J66" s="26" t="str">
        <x:v>v0.21 baseline formula; v0.23 disposition</x:v>
      </x:c>
    </x:row>
    <x:row r="67">
      <x:c r="A67" s="26" t="str">
        <x:v>SWF_Scenario</x:v>
      </x:c>
      <x:c r="B67" s="26" t="str">
        <x:v>M24</x:v>
      </x:c>
      <x:c r="C67" s="26" t="str">
        <x:v>(K24+L24/2)*Assumptions!D17</x:v>
      </x:c>
      <x:c r="D67" s="26" t="str">
        <x:v>2</x:v>
      </x:c>
      <x:c r="E67" s="26" t="str">
        <x:v>SCENARIO TIMING ASSUMPTION</x:v>
      </x:c>
      <x:c r="F67" s="26" t="str">
        <x:v>YES</x:v>
      </x:c>
      <x:c r="G67" s="26" t="str">
        <x:v>CENTRALIZED</x:v>
      </x:c>
      <x:c r="H67" s="26" t="str">
        <x:v>P-012</x:v>
      </x:c>
      <x:c r="I67" s="26" t="str">
        <x:v>Mid-year deposit timing factor</x:v>
      </x:c>
      <x:c r="J67" s="26" t="str">
        <x:v>v0.21 baseline formula; v0.23 disposition</x:v>
      </x:c>
    </x:row>
    <x:row r="68">
      <x:c r="A68" s="26" t="str">
        <x:v>SWF_Scenario</x:v>
      </x:c>
      <x:c r="B68" s="26" t="str">
        <x:v>D25</x:v>
      </x:c>
      <x:c r="C68" s="26" t="str">
        <x:v>(B25+C25/2)*Assumptions!C17</x:v>
      </x:c>
      <x:c r="D68" s="26" t="str">
        <x:v>2</x:v>
      </x:c>
      <x:c r="E68" s="26" t="str">
        <x:v>SCENARIO TIMING ASSUMPTION</x:v>
      </x:c>
      <x:c r="F68" s="26" t="str">
        <x:v>YES</x:v>
      </x:c>
      <x:c r="G68" s="26" t="str">
        <x:v>CENTRALIZED</x:v>
      </x:c>
      <x:c r="H68" s="26" t="str">
        <x:v>P-012</x:v>
      </x:c>
      <x:c r="I68" s="26" t="str">
        <x:v>Mid-year deposit timing factor</x:v>
      </x:c>
      <x:c r="J68" s="26" t="str">
        <x:v>v0.21 baseline formula; v0.23 disposition</x:v>
      </x:c>
    </x:row>
    <x:row r="69">
      <x:c r="A69" s="26" t="str">
        <x:v>SWF_Scenario</x:v>
      </x:c>
      <x:c r="B69" s="26" t="str">
        <x:v>H25</x:v>
      </x:c>
      <x:c r="C69" s="26" t="str">
        <x:v>(F25+G25/2)*Assumptions!B17</x:v>
      </x:c>
      <x:c r="D69" s="26" t="str">
        <x:v>2</x:v>
      </x:c>
      <x:c r="E69" s="26" t="str">
        <x:v>SCENARIO TIMING ASSUMPTION</x:v>
      </x:c>
      <x:c r="F69" s="26" t="str">
        <x:v>YES</x:v>
      </x:c>
      <x:c r="G69" s="26" t="str">
        <x:v>CENTRALIZED</x:v>
      </x:c>
      <x:c r="H69" s="26" t="str">
        <x:v>P-012</x:v>
      </x:c>
      <x:c r="I69" s="26" t="str">
        <x:v>Mid-year deposit timing factor</x:v>
      </x:c>
      <x:c r="J69" s="26" t="str">
        <x:v>v0.21 baseline formula; v0.23 disposition</x:v>
      </x:c>
    </x:row>
    <x:row r="70">
      <x:c r="A70" s="26" t="str">
        <x:v>SWF_Scenario</x:v>
      </x:c>
      <x:c r="B70" s="26" t="str">
        <x:v>M25</x:v>
      </x:c>
      <x:c r="C70" s="26" t="str">
        <x:v>(K25+L25/2)*Assumptions!D17</x:v>
      </x:c>
      <x:c r="D70" s="26" t="str">
        <x:v>2</x:v>
      </x:c>
      <x:c r="E70" s="26" t="str">
        <x:v>SCENARIO TIMING ASSUMPTION</x:v>
      </x:c>
      <x:c r="F70" s="26" t="str">
        <x:v>YES</x:v>
      </x:c>
      <x:c r="G70" s="26" t="str">
        <x:v>CENTRALIZED</x:v>
      </x:c>
      <x:c r="H70" s="26" t="str">
        <x:v>P-012</x:v>
      </x:c>
      <x:c r="I70" s="26" t="str">
        <x:v>Mid-year deposit timing factor</x:v>
      </x:c>
      <x:c r="J70" s="26" t="str">
        <x:v>v0.21 baseline formula; v0.23 disposition</x:v>
      </x:c>
    </x:row>
    <x:row r="71">
      <x:c r="A71" s="26" t="str">
        <x:v>SWF_Scenario</x:v>
      </x:c>
      <x:c r="B71" s="26" t="str">
        <x:v>D26</x:v>
      </x:c>
      <x:c r="C71" s="26" t="str">
        <x:v>(B26+C26/2)*Assumptions!C17</x:v>
      </x:c>
      <x:c r="D71" s="26" t="str">
        <x:v>2</x:v>
      </x:c>
      <x:c r="E71" s="26" t="str">
        <x:v>SCENARIO TIMING ASSUMPTION</x:v>
      </x:c>
      <x:c r="F71" s="26" t="str">
        <x:v>YES</x:v>
      </x:c>
      <x:c r="G71" s="26" t="str">
        <x:v>CENTRALIZED</x:v>
      </x:c>
      <x:c r="H71" s="26" t="str">
        <x:v>P-012</x:v>
      </x:c>
      <x:c r="I71" s="26" t="str">
        <x:v>Mid-year deposit timing factor</x:v>
      </x:c>
      <x:c r="J71" s="26" t="str">
        <x:v>v0.21 baseline formula; v0.23 disposition</x:v>
      </x:c>
    </x:row>
    <x:row r="72">
      <x:c r="A72" s="26" t="str">
        <x:v>SWF_Scenario</x:v>
      </x:c>
      <x:c r="B72" s="26" t="str">
        <x:v>H26</x:v>
      </x:c>
      <x:c r="C72" s="26" t="str">
        <x:v>(F26+G26/2)*Assumptions!B17</x:v>
      </x:c>
      <x:c r="D72" s="26" t="str">
        <x:v>2</x:v>
      </x:c>
      <x:c r="E72" s="26" t="str">
        <x:v>SCENARIO TIMING ASSUMPTION</x:v>
      </x:c>
      <x:c r="F72" s="26" t="str">
        <x:v>YES</x:v>
      </x:c>
      <x:c r="G72" s="26" t="str">
        <x:v>CENTRALIZED</x:v>
      </x:c>
      <x:c r="H72" s="26" t="str">
        <x:v>P-012</x:v>
      </x:c>
      <x:c r="I72" s="26" t="str">
        <x:v>Mid-year deposit timing factor</x:v>
      </x:c>
      <x:c r="J72" s="26" t="str">
        <x:v>v0.21 baseline formula; v0.23 disposition</x:v>
      </x:c>
    </x:row>
    <x:row r="73">
      <x:c r="A73" s="26" t="str">
        <x:v>SWF_Scenario</x:v>
      </x:c>
      <x:c r="B73" s="26" t="str">
        <x:v>M26</x:v>
      </x:c>
      <x:c r="C73" s="26" t="str">
        <x:v>(K26+L26/2)*Assumptions!D17</x:v>
      </x:c>
      <x:c r="D73" s="26" t="str">
        <x:v>2</x:v>
      </x:c>
      <x:c r="E73" s="26" t="str">
        <x:v>SCENARIO TIMING ASSUMPTION</x:v>
      </x:c>
      <x:c r="F73" s="26" t="str">
        <x:v>YES</x:v>
      </x:c>
      <x:c r="G73" s="26" t="str">
        <x:v>CENTRALIZED</x:v>
      </x:c>
      <x:c r="H73" s="26" t="str">
        <x:v>P-012</x:v>
      </x:c>
      <x:c r="I73" s="26" t="str">
        <x:v>Mid-year deposit timing factor</x:v>
      </x:c>
      <x:c r="J73" s="26" t="str">
        <x:v>v0.21 baseline formula; v0.23 disposition</x:v>
      </x:c>
    </x:row>
    <x:row r="74">
      <x:c r="A74" s="26" t="str">
        <x:v>SWF_Scenario</x:v>
      </x:c>
      <x:c r="B74" s="26" t="str">
        <x:v>D27</x:v>
      </x:c>
      <x:c r="C74" s="26" t="str">
        <x:v>(B27+C27/2)*Assumptions!C17</x:v>
      </x:c>
      <x:c r="D74" s="26" t="str">
        <x:v>2</x:v>
      </x:c>
      <x:c r="E74" s="26" t="str">
        <x:v>SCENARIO TIMING ASSUMPTION</x:v>
      </x:c>
      <x:c r="F74" s="26" t="str">
        <x:v>YES</x:v>
      </x:c>
      <x:c r="G74" s="26" t="str">
        <x:v>CENTRALIZED</x:v>
      </x:c>
      <x:c r="H74" s="26" t="str">
        <x:v>P-012</x:v>
      </x:c>
      <x:c r="I74" s="26" t="str">
        <x:v>Mid-year deposit timing factor</x:v>
      </x:c>
      <x:c r="J74" s="26" t="str">
        <x:v>v0.21 baseline formula; v0.23 disposition</x:v>
      </x:c>
    </x:row>
    <x:row r="75">
      <x:c r="A75" s="26" t="str">
        <x:v>SWF_Scenario</x:v>
      </x:c>
      <x:c r="B75" s="26" t="str">
        <x:v>H27</x:v>
      </x:c>
      <x:c r="C75" s="26" t="str">
        <x:v>(F27+G27/2)*Assumptions!B17</x:v>
      </x:c>
      <x:c r="D75" s="26" t="str">
        <x:v>2</x:v>
      </x:c>
      <x:c r="E75" s="26" t="str">
        <x:v>SCENARIO TIMING ASSUMPTION</x:v>
      </x:c>
      <x:c r="F75" s="26" t="str">
        <x:v>YES</x:v>
      </x:c>
      <x:c r="G75" s="26" t="str">
        <x:v>CENTRALIZED</x:v>
      </x:c>
      <x:c r="H75" s="26" t="str">
        <x:v>P-012</x:v>
      </x:c>
      <x:c r="I75" s="26" t="str">
        <x:v>Mid-year deposit timing factor</x:v>
      </x:c>
      <x:c r="J75" s="26" t="str">
        <x:v>v0.21 baseline formula; v0.23 disposition</x:v>
      </x:c>
    </x:row>
    <x:row r="76">
      <x:c r="A76" s="26" t="str">
        <x:v>SWF_Scenario</x:v>
      </x:c>
      <x:c r="B76" s="26" t="str">
        <x:v>M27</x:v>
      </x:c>
      <x:c r="C76" s="26" t="str">
        <x:v>(K27+L27/2)*Assumptions!D17</x:v>
      </x:c>
      <x:c r="D76" s="26" t="str">
        <x:v>2</x:v>
      </x:c>
      <x:c r="E76" s="26" t="str">
        <x:v>SCENARIO TIMING ASSUMPTION</x:v>
      </x:c>
      <x:c r="F76" s="26" t="str">
        <x:v>YES</x:v>
      </x:c>
      <x:c r="G76" s="26" t="str">
        <x:v>CENTRALIZED</x:v>
      </x:c>
      <x:c r="H76" s="26" t="str">
        <x:v>P-012</x:v>
      </x:c>
      <x:c r="I76" s="26" t="str">
        <x:v>Mid-year deposit timing factor</x:v>
      </x:c>
      <x:c r="J76" s="26" t="str">
        <x:v>v0.21 baseline formula; v0.23 disposition</x:v>
      </x:c>
    </x:row>
    <x:row r="77">
      <x:c r="A77" s="26" t="str">
        <x:v>SWF_Scenario</x:v>
      </x:c>
      <x:c r="B77" s="26" t="str">
        <x:v>D28</x:v>
      </x:c>
      <x:c r="C77" s="26" t="str">
        <x:v>(B28+C28/2)*Assumptions!C17</x:v>
      </x:c>
      <x:c r="D77" s="26" t="str">
        <x:v>2</x:v>
      </x:c>
      <x:c r="E77" s="26" t="str">
        <x:v>SCENARIO TIMING ASSUMPTION</x:v>
      </x:c>
      <x:c r="F77" s="26" t="str">
        <x:v>YES</x:v>
      </x:c>
      <x:c r="G77" s="26" t="str">
        <x:v>CENTRALIZED</x:v>
      </x:c>
      <x:c r="H77" s="26" t="str">
        <x:v>P-012</x:v>
      </x:c>
      <x:c r="I77" s="26" t="str">
        <x:v>Mid-year deposit timing factor</x:v>
      </x:c>
      <x:c r="J77" s="26" t="str">
        <x:v>v0.21 baseline formula; v0.23 disposition</x:v>
      </x:c>
    </x:row>
    <x:row r="78">
      <x:c r="A78" s="26" t="str">
        <x:v>SWF_Scenario</x:v>
      </x:c>
      <x:c r="B78" s="26" t="str">
        <x:v>H28</x:v>
      </x:c>
      <x:c r="C78" s="26" t="str">
        <x:v>(F28+G28/2)*Assumptions!B17</x:v>
      </x:c>
      <x:c r="D78" s="26" t="str">
        <x:v>2</x:v>
      </x:c>
      <x:c r="E78" s="26" t="str">
        <x:v>SCENARIO TIMING ASSUMPTION</x:v>
      </x:c>
      <x:c r="F78" s="26" t="str">
        <x:v>YES</x:v>
      </x:c>
      <x:c r="G78" s="26" t="str">
        <x:v>CENTRALIZED</x:v>
      </x:c>
      <x:c r="H78" s="26" t="str">
        <x:v>P-012</x:v>
      </x:c>
      <x:c r="I78" s="26" t="str">
        <x:v>Mid-year deposit timing factor</x:v>
      </x:c>
      <x:c r="J78" s="26" t="str">
        <x:v>v0.21 baseline formula; v0.23 disposition</x:v>
      </x:c>
    </x:row>
    <x:row r="79">
      <x:c r="A79" s="26" t="str">
        <x:v>SWF_Scenario</x:v>
      </x:c>
      <x:c r="B79" s="26" t="str">
        <x:v>M28</x:v>
      </x:c>
      <x:c r="C79" s="26" t="str">
        <x:v>(K28+L28/2)*Assumptions!D17</x:v>
      </x:c>
      <x:c r="D79" s="26" t="str">
        <x:v>2</x:v>
      </x:c>
      <x:c r="E79" s="26" t="str">
        <x:v>SCENARIO TIMING ASSUMPTION</x:v>
      </x:c>
      <x:c r="F79" s="26" t="str">
        <x:v>YES</x:v>
      </x:c>
      <x:c r="G79" s="26" t="str">
        <x:v>CENTRALIZED</x:v>
      </x:c>
      <x:c r="H79" s="26" t="str">
        <x:v>P-012</x:v>
      </x:c>
      <x:c r="I79" s="26" t="str">
        <x:v>Mid-year deposit timing factor</x:v>
      </x:c>
      <x:c r="J79" s="26" t="str">
        <x:v>v0.21 baseline formula; v0.23 disposition</x:v>
      </x:c>
    </x:row>
    <x:row r="80">
      <x:c r="A80" s="26" t="str">
        <x:v>SWF_Scenario</x:v>
      </x:c>
      <x:c r="B80" s="26" t="str">
        <x:v>D29</x:v>
      </x:c>
      <x:c r="C80" s="26" t="str">
        <x:v>(B29+C29/2)*Assumptions!C17</x:v>
      </x:c>
      <x:c r="D80" s="26" t="str">
        <x:v>2</x:v>
      </x:c>
      <x:c r="E80" s="26" t="str">
        <x:v>SCENARIO TIMING ASSUMPTION</x:v>
      </x:c>
      <x:c r="F80" s="26" t="str">
        <x:v>YES</x:v>
      </x:c>
      <x:c r="G80" s="26" t="str">
        <x:v>CENTRALIZED</x:v>
      </x:c>
      <x:c r="H80" s="26" t="str">
        <x:v>P-012</x:v>
      </x:c>
      <x:c r="I80" s="26" t="str">
        <x:v>Mid-year deposit timing factor</x:v>
      </x:c>
      <x:c r="J80" s="26" t="str">
        <x:v>v0.21 baseline formula; v0.23 disposition</x:v>
      </x:c>
    </x:row>
    <x:row r="81">
      <x:c r="A81" s="26" t="str">
        <x:v>SWF_Scenario</x:v>
      </x:c>
      <x:c r="B81" s="26" t="str">
        <x:v>H29</x:v>
      </x:c>
      <x:c r="C81" s="26" t="str">
        <x:v>(F29+G29/2)*Assumptions!B17</x:v>
      </x:c>
      <x:c r="D81" s="26" t="str">
        <x:v>2</x:v>
      </x:c>
      <x:c r="E81" s="26" t="str">
        <x:v>SCENARIO TIMING ASSUMPTION</x:v>
      </x:c>
      <x:c r="F81" s="26" t="str">
        <x:v>YES</x:v>
      </x:c>
      <x:c r="G81" s="26" t="str">
        <x:v>CENTRALIZED</x:v>
      </x:c>
      <x:c r="H81" s="26" t="str">
        <x:v>P-012</x:v>
      </x:c>
      <x:c r="I81" s="26" t="str">
        <x:v>Mid-year deposit timing factor</x:v>
      </x:c>
      <x:c r="J81" s="26" t="str">
        <x:v>v0.21 baseline formula; v0.23 disposition</x:v>
      </x:c>
    </x:row>
    <x:row r="82">
      <x:c r="A82" s="26" t="str">
        <x:v>SWF_Scenario</x:v>
      </x:c>
      <x:c r="B82" s="26" t="str">
        <x:v>M29</x:v>
      </x:c>
      <x:c r="C82" s="26" t="str">
        <x:v>(K29+L29/2)*Assumptions!D17</x:v>
      </x:c>
      <x:c r="D82" s="26" t="str">
        <x:v>2</x:v>
      </x:c>
      <x:c r="E82" s="26" t="str">
        <x:v>SCENARIO TIMING ASSUMPTION</x:v>
      </x:c>
      <x:c r="F82" s="26" t="str">
        <x:v>YES</x:v>
      </x:c>
      <x:c r="G82" s="26" t="str">
        <x:v>CENTRALIZED</x:v>
      </x:c>
      <x:c r="H82" s="26" t="str">
        <x:v>P-012</x:v>
      </x:c>
      <x:c r="I82" s="26" t="str">
        <x:v>Mid-year deposit timing factor</x:v>
      </x:c>
      <x:c r="J82" s="26" t="str">
        <x:v>v0.21 baseline formula; v0.23 disposition</x:v>
      </x:c>
    </x:row>
    <x:row r="83">
      <x:c r="A83" s="26" t="str">
        <x:v>SWF_Scenario</x:v>
      </x:c>
      <x:c r="B83" s="26" t="str">
        <x:v>D30</x:v>
      </x:c>
      <x:c r="C83" s="26" t="str">
        <x:v>(B30+C30/2)*Assumptions!C17</x:v>
      </x:c>
      <x:c r="D83" s="26" t="str">
        <x:v>2</x:v>
      </x:c>
      <x:c r="E83" s="26" t="str">
        <x:v>SCENARIO TIMING ASSUMPTION</x:v>
      </x:c>
      <x:c r="F83" s="26" t="str">
        <x:v>YES</x:v>
      </x:c>
      <x:c r="G83" s="26" t="str">
        <x:v>CENTRALIZED</x:v>
      </x:c>
      <x:c r="H83" s="26" t="str">
        <x:v>P-012</x:v>
      </x:c>
      <x:c r="I83" s="26" t="str">
        <x:v>Mid-year deposit timing factor</x:v>
      </x:c>
      <x:c r="J83" s="26" t="str">
        <x:v>v0.21 baseline formula; v0.23 disposition</x:v>
      </x:c>
    </x:row>
    <x:row r="84">
      <x:c r="A84" s="26" t="str">
        <x:v>SWF_Scenario</x:v>
      </x:c>
      <x:c r="B84" s="26" t="str">
        <x:v>H30</x:v>
      </x:c>
      <x:c r="C84" s="26" t="str">
        <x:v>(F30+G30/2)*Assumptions!B17</x:v>
      </x:c>
      <x:c r="D84" s="26" t="str">
        <x:v>2</x:v>
      </x:c>
      <x:c r="E84" s="26" t="str">
        <x:v>SCENARIO TIMING ASSUMPTION</x:v>
      </x:c>
      <x:c r="F84" s="26" t="str">
        <x:v>YES</x:v>
      </x:c>
      <x:c r="G84" s="26" t="str">
        <x:v>CENTRALIZED</x:v>
      </x:c>
      <x:c r="H84" s="26" t="str">
        <x:v>P-012</x:v>
      </x:c>
      <x:c r="I84" s="26" t="str">
        <x:v>Mid-year deposit timing factor</x:v>
      </x:c>
      <x:c r="J84" s="26" t="str">
        <x:v>v0.21 baseline formula; v0.23 disposition</x:v>
      </x:c>
    </x:row>
    <x:row r="85">
      <x:c r="A85" s="26" t="str">
        <x:v>SWF_Scenario</x:v>
      </x:c>
      <x:c r="B85" s="26" t="str">
        <x:v>M30</x:v>
      </x:c>
      <x:c r="C85" s="26" t="str">
        <x:v>(K30+L30/2)*Assumptions!D17</x:v>
      </x:c>
      <x:c r="D85" s="26" t="str">
        <x:v>2</x:v>
      </x:c>
      <x:c r="E85" s="26" t="str">
        <x:v>SCENARIO TIMING ASSUMPTION</x:v>
      </x:c>
      <x:c r="F85" s="26" t="str">
        <x:v>YES</x:v>
      </x:c>
      <x:c r="G85" s="26" t="str">
        <x:v>CENTRALIZED</x:v>
      </x:c>
      <x:c r="H85" s="26" t="str">
        <x:v>P-012</x:v>
      </x:c>
      <x:c r="I85" s="26" t="str">
        <x:v>Mid-year deposit timing factor</x:v>
      </x:c>
      <x:c r="J85" s="26" t="str">
        <x:v>v0.21 baseline formula; v0.23 disposition</x:v>
      </x:c>
    </x:row>
    <x:row r="86">
      <x:c r="A86" s="26" t="str">
        <x:v>SWF_Scenario</x:v>
      </x:c>
      <x:c r="B86" s="26" t="str">
        <x:v>D31</x:v>
      </x:c>
      <x:c r="C86" s="26" t="str">
        <x:v>(B31+C31/2)*Assumptions!C17</x:v>
      </x:c>
      <x:c r="D86" s="26" t="str">
        <x:v>2</x:v>
      </x:c>
      <x:c r="E86" s="26" t="str">
        <x:v>SCENARIO TIMING ASSUMPTION</x:v>
      </x:c>
      <x:c r="F86" s="26" t="str">
        <x:v>YES</x:v>
      </x:c>
      <x:c r="G86" s="26" t="str">
        <x:v>CENTRALIZED</x:v>
      </x:c>
      <x:c r="H86" s="26" t="str">
        <x:v>P-012</x:v>
      </x:c>
      <x:c r="I86" s="26" t="str">
        <x:v>Mid-year deposit timing factor</x:v>
      </x:c>
      <x:c r="J86" s="26" t="str">
        <x:v>v0.21 baseline formula; v0.23 disposition</x:v>
      </x:c>
    </x:row>
    <x:row r="87">
      <x:c r="A87" s="26" t="str">
        <x:v>SWF_Scenario</x:v>
      </x:c>
      <x:c r="B87" s="26" t="str">
        <x:v>H31</x:v>
      </x:c>
      <x:c r="C87" s="26" t="str">
        <x:v>(F31+G31/2)*Assumptions!B17</x:v>
      </x:c>
      <x:c r="D87" s="26" t="str">
        <x:v>2</x:v>
      </x:c>
      <x:c r="E87" s="26" t="str">
        <x:v>SCENARIO TIMING ASSUMPTION</x:v>
      </x:c>
      <x:c r="F87" s="26" t="str">
        <x:v>YES</x:v>
      </x:c>
      <x:c r="G87" s="26" t="str">
        <x:v>CENTRALIZED</x:v>
      </x:c>
      <x:c r="H87" s="26" t="str">
        <x:v>P-012</x:v>
      </x:c>
      <x:c r="I87" s="26" t="str">
        <x:v>Mid-year deposit timing factor</x:v>
      </x:c>
      <x:c r="J87" s="26" t="str">
        <x:v>v0.21 baseline formula; v0.23 disposition</x:v>
      </x:c>
    </x:row>
    <x:row r="88">
      <x:c r="A88" s="26" t="str">
        <x:v>SWF_Scenario</x:v>
      </x:c>
      <x:c r="B88" s="26" t="str">
        <x:v>M31</x:v>
      </x:c>
      <x:c r="C88" s="26" t="str">
        <x:v>(K31+L31/2)*Assumptions!D17</x:v>
      </x:c>
      <x:c r="D88" s="26" t="str">
        <x:v>2</x:v>
      </x:c>
      <x:c r="E88" s="26" t="str">
        <x:v>SCENARIO TIMING ASSUMPTION</x:v>
      </x:c>
      <x:c r="F88" s="26" t="str">
        <x:v>YES</x:v>
      </x:c>
      <x:c r="G88" s="26" t="str">
        <x:v>CENTRALIZED</x:v>
      </x:c>
      <x:c r="H88" s="26" t="str">
        <x:v>P-012</x:v>
      </x:c>
      <x:c r="I88" s="26" t="str">
        <x:v>Mid-year deposit timing factor</x:v>
      </x:c>
      <x:c r="J88" s="26" t="str">
        <x:v>v0.21 baseline formula; v0.23 disposition</x:v>
      </x:c>
    </x:row>
    <x:row r="89">
      <x:c r="A89" s="26" t="str">
        <x:v>SWF_Scenario</x:v>
      </x:c>
      <x:c r="B89" s="26" t="str">
        <x:v>D32</x:v>
      </x:c>
      <x:c r="C89" s="26" t="str">
        <x:v>(B32+C32/2)*Assumptions!C17</x:v>
      </x:c>
      <x:c r="D89" s="26" t="str">
        <x:v>2</x:v>
      </x:c>
      <x:c r="E89" s="26" t="str">
        <x:v>SCENARIO TIMING ASSUMPTION</x:v>
      </x:c>
      <x:c r="F89" s="26" t="str">
        <x:v>YES</x:v>
      </x:c>
      <x:c r="G89" s="26" t="str">
        <x:v>CENTRALIZED</x:v>
      </x:c>
      <x:c r="H89" s="26" t="str">
        <x:v>P-012</x:v>
      </x:c>
      <x:c r="I89" s="26" t="str">
        <x:v>Mid-year deposit timing factor</x:v>
      </x:c>
      <x:c r="J89" s="26" t="str">
        <x:v>v0.21 baseline formula; v0.23 disposition</x:v>
      </x:c>
    </x:row>
    <x:row r="90">
      <x:c r="A90" s="26" t="str">
        <x:v>SWF_Scenario</x:v>
      </x:c>
      <x:c r="B90" s="26" t="str">
        <x:v>H32</x:v>
      </x:c>
      <x:c r="C90" s="26" t="str">
        <x:v>(F32+G32/2)*Assumptions!B17</x:v>
      </x:c>
      <x:c r="D90" s="26" t="str">
        <x:v>2</x:v>
      </x:c>
      <x:c r="E90" s="26" t="str">
        <x:v>SCENARIO TIMING ASSUMPTION</x:v>
      </x:c>
      <x:c r="F90" s="26" t="str">
        <x:v>YES</x:v>
      </x:c>
      <x:c r="G90" s="26" t="str">
        <x:v>CENTRALIZED</x:v>
      </x:c>
      <x:c r="H90" s="26" t="str">
        <x:v>P-012</x:v>
      </x:c>
      <x:c r="I90" s="26" t="str">
        <x:v>Mid-year deposit timing factor</x:v>
      </x:c>
      <x:c r="J90" s="26" t="str">
        <x:v>v0.21 baseline formula; v0.23 disposition</x:v>
      </x:c>
    </x:row>
    <x:row r="91">
      <x:c r="A91" s="26" t="str">
        <x:v>SWF_Scenario</x:v>
      </x:c>
      <x:c r="B91" s="26" t="str">
        <x:v>M32</x:v>
      </x:c>
      <x:c r="C91" s="26" t="str">
        <x:v>(K32+L32/2)*Assumptions!D17</x:v>
      </x:c>
      <x:c r="D91" s="26" t="str">
        <x:v>2</x:v>
      </x:c>
      <x:c r="E91" s="26" t="str">
        <x:v>SCENARIO TIMING ASSUMPTION</x:v>
      </x:c>
      <x:c r="F91" s="26" t="str">
        <x:v>YES</x:v>
      </x:c>
      <x:c r="G91" s="26" t="str">
        <x:v>CENTRALIZED</x:v>
      </x:c>
      <x:c r="H91" s="26" t="str">
        <x:v>P-012</x:v>
      </x:c>
      <x:c r="I91" s="26" t="str">
        <x:v>Mid-year deposit timing factor</x:v>
      </x:c>
      <x:c r="J91" s="26" t="str">
        <x:v>v0.21 baseline formula; v0.23 disposition</x:v>
      </x:c>
    </x:row>
    <x:row r="92">
      <x:c r="A92" s="26" t="str">
        <x:v>SWF_Scenario</x:v>
      </x:c>
      <x:c r="B92" s="26" t="str">
        <x:v>D33</x:v>
      </x:c>
      <x:c r="C92" s="26" t="str">
        <x:v>(B33+C33/2)*Assumptions!C17</x:v>
      </x:c>
      <x:c r="D92" s="26" t="str">
        <x:v>2</x:v>
      </x:c>
      <x:c r="E92" s="26" t="str">
        <x:v>SCENARIO TIMING ASSUMPTION</x:v>
      </x:c>
      <x:c r="F92" s="26" t="str">
        <x:v>YES</x:v>
      </x:c>
      <x:c r="G92" s="26" t="str">
        <x:v>CENTRALIZED</x:v>
      </x:c>
      <x:c r="H92" s="26" t="str">
        <x:v>P-012</x:v>
      </x:c>
      <x:c r="I92" s="26" t="str">
        <x:v>Mid-year deposit timing factor</x:v>
      </x:c>
      <x:c r="J92" s="26" t="str">
        <x:v>v0.21 baseline formula; v0.23 disposition</x:v>
      </x:c>
    </x:row>
    <x:row r="93">
      <x:c r="A93" s="26" t="str">
        <x:v>SWF_Scenario</x:v>
      </x:c>
      <x:c r="B93" s="26" t="str">
        <x:v>H33</x:v>
      </x:c>
      <x:c r="C93" s="26" t="str">
        <x:v>(F33+G33/2)*Assumptions!B17</x:v>
      </x:c>
      <x:c r="D93" s="26" t="str">
        <x:v>2</x:v>
      </x:c>
      <x:c r="E93" s="26" t="str">
        <x:v>SCENARIO TIMING ASSUMPTION</x:v>
      </x:c>
      <x:c r="F93" s="26" t="str">
        <x:v>YES</x:v>
      </x:c>
      <x:c r="G93" s="26" t="str">
        <x:v>CENTRALIZED</x:v>
      </x:c>
      <x:c r="H93" s="26" t="str">
        <x:v>P-012</x:v>
      </x:c>
      <x:c r="I93" s="26" t="str">
        <x:v>Mid-year deposit timing factor</x:v>
      </x:c>
      <x:c r="J93" s="26" t="str">
        <x:v>v0.21 baseline formula; v0.23 disposition</x:v>
      </x:c>
    </x:row>
    <x:row r="94">
      <x:c r="A94" s="26" t="str">
        <x:v>SWF_Scenario</x:v>
      </x:c>
      <x:c r="B94" s="26" t="str">
        <x:v>M33</x:v>
      </x:c>
      <x:c r="C94" s="26" t="str">
        <x:v>(K33+L33/2)*Assumptions!D17</x:v>
      </x:c>
      <x:c r="D94" s="26" t="str">
        <x:v>2</x:v>
      </x:c>
      <x:c r="E94" s="26" t="str">
        <x:v>SCENARIO TIMING ASSUMPTION</x:v>
      </x:c>
      <x:c r="F94" s="26" t="str">
        <x:v>YES</x:v>
      </x:c>
      <x:c r="G94" s="26" t="str">
        <x:v>CENTRALIZED</x:v>
      </x:c>
      <x:c r="H94" s="26" t="str">
        <x:v>P-012</x:v>
      </x:c>
      <x:c r="I94" s="26" t="str">
        <x:v>Mid-year deposit timing factor</x:v>
      </x:c>
      <x:c r="J94" s="26" t="str">
        <x:v>v0.21 baseline formula; v0.23 disposition</x:v>
      </x:c>
    </x:row>
    <x:row r="95">
      <x:c r="A95" s="26" t="str">
        <x:v>SWF_Scenario</x:v>
      </x:c>
      <x:c r="B95" s="26" t="str">
        <x:v>D34</x:v>
      </x:c>
      <x:c r="C95" s="26" t="str">
        <x:v>(B34+C34/2)*Assumptions!C17</x:v>
      </x:c>
      <x:c r="D95" s="26" t="str">
        <x:v>2</x:v>
      </x:c>
      <x:c r="E95" s="26" t="str">
        <x:v>SCENARIO TIMING ASSUMPTION</x:v>
      </x:c>
      <x:c r="F95" s="26" t="str">
        <x:v>YES</x:v>
      </x:c>
      <x:c r="G95" s="26" t="str">
        <x:v>CENTRALIZED</x:v>
      </x:c>
      <x:c r="H95" s="26" t="str">
        <x:v>P-012</x:v>
      </x:c>
      <x:c r="I95" s="26" t="str">
        <x:v>Mid-year deposit timing factor</x:v>
      </x:c>
      <x:c r="J95" s="26" t="str">
        <x:v>v0.21 baseline formula; v0.23 disposition</x:v>
      </x:c>
    </x:row>
    <x:row r="96">
      <x:c r="A96" s="26" t="str">
        <x:v>SWF_Scenario</x:v>
      </x:c>
      <x:c r="B96" s="26" t="str">
        <x:v>H34</x:v>
      </x:c>
      <x:c r="C96" s="26" t="str">
        <x:v>(F34+G34/2)*Assumptions!B17</x:v>
      </x:c>
      <x:c r="D96" s="26" t="str">
        <x:v>2</x:v>
      </x:c>
      <x:c r="E96" s="26" t="str">
        <x:v>SCENARIO TIMING ASSUMPTION</x:v>
      </x:c>
      <x:c r="F96" s="26" t="str">
        <x:v>YES</x:v>
      </x:c>
      <x:c r="G96" s="26" t="str">
        <x:v>CENTRALIZED</x:v>
      </x:c>
      <x:c r="H96" s="26" t="str">
        <x:v>P-012</x:v>
      </x:c>
      <x:c r="I96" s="26" t="str">
        <x:v>Mid-year deposit timing factor</x:v>
      </x:c>
      <x:c r="J96" s="26" t="str">
        <x:v>v0.21 baseline formula; v0.23 disposition</x:v>
      </x:c>
    </x:row>
    <x:row r="97">
      <x:c r="A97" s="26" t="str">
        <x:v>SWF_Scenario</x:v>
      </x:c>
      <x:c r="B97" s="26" t="str">
        <x:v>M34</x:v>
      </x:c>
      <x:c r="C97" s="26" t="str">
        <x:v>(K34+L34/2)*Assumptions!D17</x:v>
      </x:c>
      <x:c r="D97" s="26" t="str">
        <x:v>2</x:v>
      </x:c>
      <x:c r="E97" s="26" t="str">
        <x:v>SCENARIO TIMING ASSUMPTION</x:v>
      </x:c>
      <x:c r="F97" s="26" t="str">
        <x:v>YES</x:v>
      </x:c>
      <x:c r="G97" s="26" t="str">
        <x:v>CENTRALIZED</x:v>
      </x:c>
      <x:c r="H97" s="26" t="str">
        <x:v>P-012</x:v>
      </x:c>
      <x:c r="I97" s="26" t="str">
        <x:v>Mid-year deposit timing factor</x:v>
      </x:c>
      <x:c r="J97" s="26" t="str">
        <x:v>v0.21 baseline formula; v0.23 disposition</x:v>
      </x:c>
    </x:row>
    <x:row r="98">
      <x:c r="A98" s="26" t="str">
        <x:v>SWF_Scenario</x:v>
      </x:c>
      <x:c r="B98" s="26" t="str">
        <x:v>D35</x:v>
      </x:c>
      <x:c r="C98" s="26" t="str">
        <x:v>(B35+C35/2)*Assumptions!C17</x:v>
      </x:c>
      <x:c r="D98" s="26" t="str">
        <x:v>2</x:v>
      </x:c>
      <x:c r="E98" s="26" t="str">
        <x:v>SCENARIO TIMING ASSUMPTION</x:v>
      </x:c>
      <x:c r="F98" s="26" t="str">
        <x:v>YES</x:v>
      </x:c>
      <x:c r="G98" s="26" t="str">
        <x:v>CENTRALIZED</x:v>
      </x:c>
      <x:c r="H98" s="26" t="str">
        <x:v>P-012</x:v>
      </x:c>
      <x:c r="I98" s="26" t="str">
        <x:v>Mid-year deposit timing factor</x:v>
      </x:c>
      <x:c r="J98" s="26" t="str">
        <x:v>v0.21 baseline formula; v0.23 disposition</x:v>
      </x:c>
    </x:row>
    <x:row r="99">
      <x:c r="A99" s="26" t="str">
        <x:v>SWF_Scenario</x:v>
      </x:c>
      <x:c r="B99" s="26" t="str">
        <x:v>H35</x:v>
      </x:c>
      <x:c r="C99" s="26" t="str">
        <x:v>(F35+G35/2)*Assumptions!B17</x:v>
      </x:c>
      <x:c r="D99" s="26" t="str">
        <x:v>2</x:v>
      </x:c>
      <x:c r="E99" s="26" t="str">
        <x:v>SCENARIO TIMING ASSUMPTION</x:v>
      </x:c>
      <x:c r="F99" s="26" t="str">
        <x:v>YES</x:v>
      </x:c>
      <x:c r="G99" s="26" t="str">
        <x:v>CENTRALIZED</x:v>
      </x:c>
      <x:c r="H99" s="26" t="str">
        <x:v>P-012</x:v>
      </x:c>
      <x:c r="I99" s="26" t="str">
        <x:v>Mid-year deposit timing factor</x:v>
      </x:c>
      <x:c r="J99" s="26" t="str">
        <x:v>v0.21 baseline formula; v0.23 disposition</x:v>
      </x:c>
    </x:row>
    <x:row r="100">
      <x:c r="A100" s="26" t="str">
        <x:v>SWF_Scenario</x:v>
      </x:c>
      <x:c r="B100" s="26" t="str">
        <x:v>M35</x:v>
      </x:c>
      <x:c r="C100" s="26" t="str">
        <x:v>(K35+L35/2)*Assumptions!D17</x:v>
      </x:c>
      <x:c r="D100" s="26" t="str">
        <x:v>2</x:v>
      </x:c>
      <x:c r="E100" s="26" t="str">
        <x:v>SCENARIO TIMING ASSUMPTION</x:v>
      </x:c>
      <x:c r="F100" s="26" t="str">
        <x:v>YES</x:v>
      </x:c>
      <x:c r="G100" s="26" t="str">
        <x:v>CENTRALIZED</x:v>
      </x:c>
      <x:c r="H100" s="26" t="str">
        <x:v>P-012</x:v>
      </x:c>
      <x:c r="I100" s="26" t="str">
        <x:v>Mid-year deposit timing factor</x:v>
      </x:c>
      <x:c r="J100" s="26" t="str">
        <x:v>v0.21 baseline formula; v0.23 disposition</x:v>
      </x:c>
    </x:row>
    <x:row r="101">
      <x:c r="A101" s="26" t="str">
        <x:v>SWF_Scenario</x:v>
      </x:c>
      <x:c r="B101" s="26" t="str">
        <x:v>D36</x:v>
      </x:c>
      <x:c r="C101" s="26" t="str">
        <x:v>(B36+C36/2)*Assumptions!C17</x:v>
      </x:c>
      <x:c r="D101" s="26" t="str">
        <x:v>2</x:v>
      </x:c>
      <x:c r="E101" s="26" t="str">
        <x:v>SCENARIO TIMING ASSUMPTION</x:v>
      </x:c>
      <x:c r="F101" s="26" t="str">
        <x:v>YES</x:v>
      </x:c>
      <x:c r="G101" s="26" t="str">
        <x:v>CENTRALIZED</x:v>
      </x:c>
      <x:c r="H101" s="26" t="str">
        <x:v>P-012</x:v>
      </x:c>
      <x:c r="I101" s="26" t="str">
        <x:v>Mid-year deposit timing factor</x:v>
      </x:c>
      <x:c r="J101" s="26" t="str">
        <x:v>v0.21 baseline formula; v0.23 disposition</x:v>
      </x:c>
    </x:row>
    <x:row r="102">
      <x:c r="A102" s="26" t="str">
        <x:v>SWF_Scenario</x:v>
      </x:c>
      <x:c r="B102" s="26" t="str">
        <x:v>H36</x:v>
      </x:c>
      <x:c r="C102" s="26" t="str">
        <x:v>(F36+G36/2)*Assumptions!B17</x:v>
      </x:c>
      <x:c r="D102" s="26" t="str">
        <x:v>2</x:v>
      </x:c>
      <x:c r="E102" s="26" t="str">
        <x:v>SCENARIO TIMING ASSUMPTION</x:v>
      </x:c>
      <x:c r="F102" s="26" t="str">
        <x:v>YES</x:v>
      </x:c>
      <x:c r="G102" s="26" t="str">
        <x:v>CENTRALIZED</x:v>
      </x:c>
      <x:c r="H102" s="26" t="str">
        <x:v>P-012</x:v>
      </x:c>
      <x:c r="I102" s="26" t="str">
        <x:v>Mid-year deposit timing factor</x:v>
      </x:c>
      <x:c r="J102" s="26" t="str">
        <x:v>v0.21 baseline formula; v0.23 disposition</x:v>
      </x:c>
    </x:row>
    <x:row r="103">
      <x:c r="A103" s="26" t="str">
        <x:v>SWF_Scenario</x:v>
      </x:c>
      <x:c r="B103" s="26" t="str">
        <x:v>M36</x:v>
      </x:c>
      <x:c r="C103" s="26" t="str">
        <x:v>(K36+L36/2)*Assumptions!D17</x:v>
      </x:c>
      <x:c r="D103" s="26" t="str">
        <x:v>2</x:v>
      </x:c>
      <x:c r="E103" s="26" t="str">
        <x:v>SCENARIO TIMING ASSUMPTION</x:v>
      </x:c>
      <x:c r="F103" s="26" t="str">
        <x:v>YES</x:v>
      </x:c>
      <x:c r="G103" s="26" t="str">
        <x:v>CENTRALIZED</x:v>
      </x:c>
      <x:c r="H103" s="26" t="str">
        <x:v>P-012</x:v>
      </x:c>
      <x:c r="I103" s="26" t="str">
        <x:v>Mid-year deposit timing factor</x:v>
      </x:c>
      <x:c r="J103" s="26" t="str">
        <x:v>v0.21 baseline formula; v0.23 disposition</x:v>
      </x:c>
    </x:row>
    <x:row r="104">
      <x:c r="A104" s="26" t="str">
        <x:v>SWF_Scenario</x:v>
      </x:c>
      <x:c r="B104" s="26" t="str">
        <x:v>D37</x:v>
      </x:c>
      <x:c r="C104" s="26" t="str">
        <x:v>(B37+C37/2)*Assumptions!C17</x:v>
      </x:c>
      <x:c r="D104" s="26" t="str">
        <x:v>2</x:v>
      </x:c>
      <x:c r="E104" s="26" t="str">
        <x:v>SCENARIO TIMING ASSUMPTION</x:v>
      </x:c>
      <x:c r="F104" s="26" t="str">
        <x:v>YES</x:v>
      </x:c>
      <x:c r="G104" s="26" t="str">
        <x:v>CENTRALIZED</x:v>
      </x:c>
      <x:c r="H104" s="26" t="str">
        <x:v>P-012</x:v>
      </x:c>
      <x:c r="I104" s="26" t="str">
        <x:v>Mid-year deposit timing factor</x:v>
      </x:c>
      <x:c r="J104" s="26" t="str">
        <x:v>v0.21 baseline formula; v0.23 disposition</x:v>
      </x:c>
    </x:row>
    <x:row r="105">
      <x:c r="A105" s="26" t="str">
        <x:v>SWF_Scenario</x:v>
      </x:c>
      <x:c r="B105" s="26" t="str">
        <x:v>H37</x:v>
      </x:c>
      <x:c r="C105" s="26" t="str">
        <x:v>(F37+G37/2)*Assumptions!B17</x:v>
      </x:c>
      <x:c r="D105" s="26" t="str">
        <x:v>2</x:v>
      </x:c>
      <x:c r="E105" s="26" t="str">
        <x:v>SCENARIO TIMING ASSUMPTION</x:v>
      </x:c>
      <x:c r="F105" s="26" t="str">
        <x:v>YES</x:v>
      </x:c>
      <x:c r="G105" s="26" t="str">
        <x:v>CENTRALIZED</x:v>
      </x:c>
      <x:c r="H105" s="26" t="str">
        <x:v>P-012</x:v>
      </x:c>
      <x:c r="I105" s="26" t="str">
        <x:v>Mid-year deposit timing factor</x:v>
      </x:c>
      <x:c r="J105" s="26" t="str">
        <x:v>v0.21 baseline formula; v0.23 disposition</x:v>
      </x:c>
    </x:row>
    <x:row r="106">
      <x:c r="A106" s="26" t="str">
        <x:v>SWF_Scenario</x:v>
      </x:c>
      <x:c r="B106" s="26" t="str">
        <x:v>M37</x:v>
      </x:c>
      <x:c r="C106" s="26" t="str">
        <x:v>(K37+L37/2)*Assumptions!D17</x:v>
      </x:c>
      <x:c r="D106" s="26" t="str">
        <x:v>2</x:v>
      </x:c>
      <x:c r="E106" s="26" t="str">
        <x:v>SCENARIO TIMING ASSUMPTION</x:v>
      </x:c>
      <x:c r="F106" s="26" t="str">
        <x:v>YES</x:v>
      </x:c>
      <x:c r="G106" s="26" t="str">
        <x:v>CENTRALIZED</x:v>
      </x:c>
      <x:c r="H106" s="26" t="str">
        <x:v>P-012</x:v>
      </x:c>
      <x:c r="I106" s="26" t="str">
        <x:v>Mid-year deposit timing factor</x:v>
      </x:c>
      <x:c r="J106" s="26" t="str">
        <x:v>v0.21 baseline formula; v0.23 disposition</x:v>
      </x:c>
    </x:row>
    <x:row r="107">
      <x:c r="A107" s="26" t="str">
        <x:v>SWF_Scenario</x:v>
      </x:c>
      <x:c r="B107" s="26" t="str">
        <x:v>D38</x:v>
      </x:c>
      <x:c r="C107" s="26" t="str">
        <x:v>(B38+C38/2)*Assumptions!C17</x:v>
      </x:c>
      <x:c r="D107" s="26" t="str">
        <x:v>2</x:v>
      </x:c>
      <x:c r="E107" s="26" t="str">
        <x:v>SCENARIO TIMING ASSUMPTION</x:v>
      </x:c>
      <x:c r="F107" s="26" t="str">
        <x:v>YES</x:v>
      </x:c>
      <x:c r="G107" s="26" t="str">
        <x:v>CENTRALIZED</x:v>
      </x:c>
      <x:c r="H107" s="26" t="str">
        <x:v>P-012</x:v>
      </x:c>
      <x:c r="I107" s="26" t="str">
        <x:v>Mid-year deposit timing factor</x:v>
      </x:c>
      <x:c r="J107" s="26" t="str">
        <x:v>v0.21 baseline formula; v0.23 disposition</x:v>
      </x:c>
    </x:row>
    <x:row r="108">
      <x:c r="A108" s="26" t="str">
        <x:v>SWF_Scenario</x:v>
      </x:c>
      <x:c r="B108" s="26" t="str">
        <x:v>H38</x:v>
      </x:c>
      <x:c r="C108" s="26" t="str">
        <x:v>(F38+G38/2)*Assumptions!B17</x:v>
      </x:c>
      <x:c r="D108" s="26" t="str">
        <x:v>2</x:v>
      </x:c>
      <x:c r="E108" s="26" t="str">
        <x:v>SCENARIO TIMING ASSUMPTION</x:v>
      </x:c>
      <x:c r="F108" s="26" t="str">
        <x:v>YES</x:v>
      </x:c>
      <x:c r="G108" s="26" t="str">
        <x:v>CENTRALIZED</x:v>
      </x:c>
      <x:c r="H108" s="26" t="str">
        <x:v>P-012</x:v>
      </x:c>
      <x:c r="I108" s="26" t="str">
        <x:v>Mid-year deposit timing factor</x:v>
      </x:c>
      <x:c r="J108" s="26" t="str">
        <x:v>v0.21 baseline formula; v0.23 disposition</x:v>
      </x:c>
    </x:row>
    <x:row r="109">
      <x:c r="A109" s="26" t="str">
        <x:v>SWF_Scenario</x:v>
      </x:c>
      <x:c r="B109" s="26" t="str">
        <x:v>M38</x:v>
      </x:c>
      <x:c r="C109" s="26" t="str">
        <x:v>(K38+L38/2)*Assumptions!D17</x:v>
      </x:c>
      <x:c r="D109" s="26" t="str">
        <x:v>2</x:v>
      </x:c>
      <x:c r="E109" s="26" t="str">
        <x:v>SCENARIO TIMING ASSUMPTION</x:v>
      </x:c>
      <x:c r="F109" s="26" t="str">
        <x:v>YES</x:v>
      </x:c>
      <x:c r="G109" s="26" t="str">
        <x:v>CENTRALIZED</x:v>
      </x:c>
      <x:c r="H109" s="26" t="str">
        <x:v>P-012</x:v>
      </x:c>
      <x:c r="I109" s="26" t="str">
        <x:v>Mid-year deposit timing factor</x:v>
      </x:c>
      <x:c r="J109" s="26" t="str">
        <x:v>v0.21 baseline formula; v0.23 disposition</x:v>
      </x:c>
    </x:row>
    <x:row r="110">
      <x:c r="A110" s="26" t="str">
        <x:v>SWF_Scenario</x:v>
      </x:c>
      <x:c r="B110" s="26" t="str">
        <x:v>D39</x:v>
      </x:c>
      <x:c r="C110" s="26" t="str">
        <x:v>(B39+C39/2)*Assumptions!C17</x:v>
      </x:c>
      <x:c r="D110" s="26" t="str">
        <x:v>2</x:v>
      </x:c>
      <x:c r="E110" s="26" t="str">
        <x:v>SCENARIO TIMING ASSUMPTION</x:v>
      </x:c>
      <x:c r="F110" s="26" t="str">
        <x:v>YES</x:v>
      </x:c>
      <x:c r="G110" s="26" t="str">
        <x:v>CENTRALIZED</x:v>
      </x:c>
      <x:c r="H110" s="26" t="str">
        <x:v>P-012</x:v>
      </x:c>
      <x:c r="I110" s="26" t="str">
        <x:v>Mid-year deposit timing factor</x:v>
      </x:c>
      <x:c r="J110" s="26" t="str">
        <x:v>v0.21 baseline formula; v0.23 disposition</x:v>
      </x:c>
    </x:row>
    <x:row r="111">
      <x:c r="A111" s="26" t="str">
        <x:v>SWF_Scenario</x:v>
      </x:c>
      <x:c r="B111" s="26" t="str">
        <x:v>H39</x:v>
      </x:c>
      <x:c r="C111" s="26" t="str">
        <x:v>(F39+G39/2)*Assumptions!B17</x:v>
      </x:c>
      <x:c r="D111" s="26" t="str">
        <x:v>2</x:v>
      </x:c>
      <x:c r="E111" s="26" t="str">
        <x:v>SCENARIO TIMING ASSUMPTION</x:v>
      </x:c>
      <x:c r="F111" s="26" t="str">
        <x:v>YES</x:v>
      </x:c>
      <x:c r="G111" s="26" t="str">
        <x:v>CENTRALIZED</x:v>
      </x:c>
      <x:c r="H111" s="26" t="str">
        <x:v>P-012</x:v>
      </x:c>
      <x:c r="I111" s="26" t="str">
        <x:v>Mid-year deposit timing factor</x:v>
      </x:c>
      <x:c r="J111" s="26" t="str">
        <x:v>v0.21 baseline formula; v0.23 disposition</x:v>
      </x:c>
    </x:row>
    <x:row r="112">
      <x:c r="A112" s="26" t="str">
        <x:v>SWF_Scenario</x:v>
      </x:c>
      <x:c r="B112" s="26" t="str">
        <x:v>M39</x:v>
      </x:c>
      <x:c r="C112" s="26" t="str">
        <x:v>(K39+L39/2)*Assumptions!D17</x:v>
      </x:c>
      <x:c r="D112" s="26" t="str">
        <x:v>2</x:v>
      </x:c>
      <x:c r="E112" s="26" t="str">
        <x:v>SCENARIO TIMING ASSUMPTION</x:v>
      </x:c>
      <x:c r="F112" s="26" t="str">
        <x:v>YES</x:v>
      </x:c>
      <x:c r="G112" s="26" t="str">
        <x:v>CENTRALIZED</x:v>
      </x:c>
      <x:c r="H112" s="26" t="str">
        <x:v>P-012</x:v>
      </x:c>
      <x:c r="I112" s="26" t="str">
        <x:v>Mid-year deposit timing factor</x:v>
      </x:c>
      <x:c r="J112" s="26" t="str">
        <x:v>v0.21 baseline formula; v0.23 disposition</x:v>
      </x:c>
    </x:row>
    <x:row r="113">
      <x:c r="A113" s="26" t="str">
        <x:v>SWF_Scenario</x:v>
      </x:c>
      <x:c r="B113" s="26" t="str">
        <x:v>D40</x:v>
      </x:c>
      <x:c r="C113" s="26" t="str">
        <x:v>(B40+C40/2)*Assumptions!C17</x:v>
      </x:c>
      <x:c r="D113" s="26" t="str">
        <x:v>2</x:v>
      </x:c>
      <x:c r="E113" s="26" t="str">
        <x:v>SCENARIO TIMING ASSUMPTION</x:v>
      </x:c>
      <x:c r="F113" s="26" t="str">
        <x:v>YES</x:v>
      </x:c>
      <x:c r="G113" s="26" t="str">
        <x:v>CENTRALIZED</x:v>
      </x:c>
      <x:c r="H113" s="26" t="str">
        <x:v>P-012</x:v>
      </x:c>
      <x:c r="I113" s="26" t="str">
        <x:v>Mid-year deposit timing factor</x:v>
      </x:c>
      <x:c r="J113" s="26" t="str">
        <x:v>v0.21 baseline formula; v0.23 disposition</x:v>
      </x:c>
    </x:row>
    <x:row r="114">
      <x:c r="A114" s="26" t="str">
        <x:v>SWF_Scenario</x:v>
      </x:c>
      <x:c r="B114" s="26" t="str">
        <x:v>H40</x:v>
      </x:c>
      <x:c r="C114" s="26" t="str">
        <x:v>(F40+G40/2)*Assumptions!B17</x:v>
      </x:c>
      <x:c r="D114" s="26" t="str">
        <x:v>2</x:v>
      </x:c>
      <x:c r="E114" s="26" t="str">
        <x:v>SCENARIO TIMING ASSUMPTION</x:v>
      </x:c>
      <x:c r="F114" s="26" t="str">
        <x:v>YES</x:v>
      </x:c>
      <x:c r="G114" s="26" t="str">
        <x:v>CENTRALIZED</x:v>
      </x:c>
      <x:c r="H114" s="26" t="str">
        <x:v>P-012</x:v>
      </x:c>
      <x:c r="I114" s="26" t="str">
        <x:v>Mid-year deposit timing factor</x:v>
      </x:c>
      <x:c r="J114" s="26" t="str">
        <x:v>v0.21 baseline formula; v0.23 disposition</x:v>
      </x:c>
    </x:row>
    <x:row r="115">
      <x:c r="A115" s="26" t="str">
        <x:v>SWF_Scenario</x:v>
      </x:c>
      <x:c r="B115" s="26" t="str">
        <x:v>M40</x:v>
      </x:c>
      <x:c r="C115" s="26" t="str">
        <x:v>(K40+L40/2)*Assumptions!D17</x:v>
      </x:c>
      <x:c r="D115" s="26" t="str">
        <x:v>2</x:v>
      </x:c>
      <x:c r="E115" s="26" t="str">
        <x:v>SCENARIO TIMING ASSUMPTION</x:v>
      </x:c>
      <x:c r="F115" s="26" t="str">
        <x:v>YES</x:v>
      </x:c>
      <x:c r="G115" s="26" t="str">
        <x:v>CENTRALIZED</x:v>
      </x:c>
      <x:c r="H115" s="26" t="str">
        <x:v>P-012</x:v>
      </x:c>
      <x:c r="I115" s="26" t="str">
        <x:v>Mid-year deposit timing factor</x:v>
      </x:c>
      <x:c r="J115" s="26" t="str">
        <x:v>v0.21 baseline formula; v0.23 disposition</x:v>
      </x:c>
    </x:row>
    <x:row r="116">
      <x:c r="A116" s="26" t="str">
        <x:v>SWF_Scenario</x:v>
      </x:c>
      <x:c r="B116" s="26" t="str">
        <x:v>D41</x:v>
      </x:c>
      <x:c r="C116" s="26" t="str">
        <x:v>(B41+C41/2)*Assumptions!C17</x:v>
      </x:c>
      <x:c r="D116" s="26" t="str">
        <x:v>2</x:v>
      </x:c>
      <x:c r="E116" s="26" t="str">
        <x:v>SCENARIO TIMING ASSUMPTION</x:v>
      </x:c>
      <x:c r="F116" s="26" t="str">
        <x:v>YES</x:v>
      </x:c>
      <x:c r="G116" s="26" t="str">
        <x:v>CENTRALIZED</x:v>
      </x:c>
      <x:c r="H116" s="26" t="str">
        <x:v>P-012</x:v>
      </x:c>
      <x:c r="I116" s="26" t="str">
        <x:v>Mid-year deposit timing factor</x:v>
      </x:c>
      <x:c r="J116" s="26" t="str">
        <x:v>v0.21 baseline formula; v0.23 disposition</x:v>
      </x:c>
    </x:row>
    <x:row r="117">
      <x:c r="A117" s="26" t="str">
        <x:v>SWF_Scenario</x:v>
      </x:c>
      <x:c r="B117" s="26" t="str">
        <x:v>H41</x:v>
      </x:c>
      <x:c r="C117" s="26" t="str">
        <x:v>(F41+G41/2)*Assumptions!B17</x:v>
      </x:c>
      <x:c r="D117" s="26" t="str">
        <x:v>2</x:v>
      </x:c>
      <x:c r="E117" s="26" t="str">
        <x:v>SCENARIO TIMING ASSUMPTION</x:v>
      </x:c>
      <x:c r="F117" s="26" t="str">
        <x:v>YES</x:v>
      </x:c>
      <x:c r="G117" s="26" t="str">
        <x:v>CENTRALIZED</x:v>
      </x:c>
      <x:c r="H117" s="26" t="str">
        <x:v>P-012</x:v>
      </x:c>
      <x:c r="I117" s="26" t="str">
        <x:v>Mid-year deposit timing factor</x:v>
      </x:c>
      <x:c r="J117" s="26" t="str">
        <x:v>v0.21 baseline formula; v0.23 disposition</x:v>
      </x:c>
    </x:row>
    <x:row r="118">
      <x:c r="A118" s="26" t="str">
        <x:v>SWF_Scenario</x:v>
      </x:c>
      <x:c r="B118" s="26" t="str">
        <x:v>M41</x:v>
      </x:c>
      <x:c r="C118" s="26" t="str">
        <x:v>(K41+L41/2)*Assumptions!D17</x:v>
      </x:c>
      <x:c r="D118" s="26" t="str">
        <x:v>2</x:v>
      </x:c>
      <x:c r="E118" s="26" t="str">
        <x:v>SCENARIO TIMING ASSUMPTION</x:v>
      </x:c>
      <x:c r="F118" s="26" t="str">
        <x:v>YES</x:v>
      </x:c>
      <x:c r="G118" s="26" t="str">
        <x:v>CENTRALIZED</x:v>
      </x:c>
      <x:c r="H118" s="26" t="str">
        <x:v>P-012</x:v>
      </x:c>
      <x:c r="I118" s="26" t="str">
        <x:v>Mid-year deposit timing factor</x:v>
      </x:c>
      <x:c r="J118" s="26" t="str">
        <x:v>v0.21 baseline formula; v0.23 disposition</x:v>
      </x:c>
    </x:row>
    <x:row r="119">
      <x:c r="A119" s="26" t="str">
        <x:v>SWF_Scenario</x:v>
      </x:c>
      <x:c r="B119" s="26" t="str">
        <x:v>D42</x:v>
      </x:c>
      <x:c r="C119" s="26" t="str">
        <x:v>(B42+C42/2)*Assumptions!C17</x:v>
      </x:c>
      <x:c r="D119" s="26" t="str">
        <x:v>2</x:v>
      </x:c>
      <x:c r="E119" s="26" t="str">
        <x:v>SCENARIO TIMING ASSUMPTION</x:v>
      </x:c>
      <x:c r="F119" s="26" t="str">
        <x:v>YES</x:v>
      </x:c>
      <x:c r="G119" s="26" t="str">
        <x:v>CENTRALIZED</x:v>
      </x:c>
      <x:c r="H119" s="26" t="str">
        <x:v>P-012</x:v>
      </x:c>
      <x:c r="I119" s="26" t="str">
        <x:v>Mid-year deposit timing factor</x:v>
      </x:c>
      <x:c r="J119" s="26" t="str">
        <x:v>v0.21 baseline formula; v0.23 disposition</x:v>
      </x:c>
    </x:row>
    <x:row r="120">
      <x:c r="A120" s="26" t="str">
        <x:v>SWF_Scenario</x:v>
      </x:c>
      <x:c r="B120" s="26" t="str">
        <x:v>H42</x:v>
      </x:c>
      <x:c r="C120" s="26" t="str">
        <x:v>(F42+G42/2)*Assumptions!B17</x:v>
      </x:c>
      <x:c r="D120" s="26" t="str">
        <x:v>2</x:v>
      </x:c>
      <x:c r="E120" s="26" t="str">
        <x:v>SCENARIO TIMING ASSUMPTION</x:v>
      </x:c>
      <x:c r="F120" s="26" t="str">
        <x:v>YES</x:v>
      </x:c>
      <x:c r="G120" s="26" t="str">
        <x:v>CENTRALIZED</x:v>
      </x:c>
      <x:c r="H120" s="26" t="str">
        <x:v>P-012</x:v>
      </x:c>
      <x:c r="I120" s="26" t="str">
        <x:v>Mid-year deposit timing factor</x:v>
      </x:c>
      <x:c r="J120" s="26" t="str">
        <x:v>v0.21 baseline formula; v0.23 disposition</x:v>
      </x:c>
    </x:row>
    <x:row r="121">
      <x:c r="A121" s="26" t="str">
        <x:v>SWF_Scenario</x:v>
      </x:c>
      <x:c r="B121" s="26" t="str">
        <x:v>M42</x:v>
      </x:c>
      <x:c r="C121" s="26" t="str">
        <x:v>(K42+L42/2)*Assumptions!D17</x:v>
      </x:c>
      <x:c r="D121" s="26" t="str">
        <x:v>2</x:v>
      </x:c>
      <x:c r="E121" s="26" t="str">
        <x:v>SCENARIO TIMING ASSUMPTION</x:v>
      </x:c>
      <x:c r="F121" s="26" t="str">
        <x:v>YES</x:v>
      </x:c>
      <x:c r="G121" s="26" t="str">
        <x:v>CENTRALIZED</x:v>
      </x:c>
      <x:c r="H121" s="26" t="str">
        <x:v>P-012</x:v>
      </x:c>
      <x:c r="I121" s="26" t="str">
        <x:v>Mid-year deposit timing factor</x:v>
      </x:c>
      <x:c r="J121" s="26" t="str">
        <x:v>v0.21 baseline formula; v0.23 disposition</x:v>
      </x:c>
    </x:row>
    <x:row r="122">
      <x:c r="A122" s="26" t="str">
        <x:v>SWF_Scenario</x:v>
      </x:c>
      <x:c r="B122" s="26" t="str">
        <x:v>D43</x:v>
      </x:c>
      <x:c r="C122" s="26" t="str">
        <x:v>(B43+C43/2)*Assumptions!C17</x:v>
      </x:c>
      <x:c r="D122" s="26" t="str">
        <x:v>2</x:v>
      </x:c>
      <x:c r="E122" s="26" t="str">
        <x:v>SCENARIO TIMING ASSUMPTION</x:v>
      </x:c>
      <x:c r="F122" s="26" t="str">
        <x:v>YES</x:v>
      </x:c>
      <x:c r="G122" s="26" t="str">
        <x:v>CENTRALIZED</x:v>
      </x:c>
      <x:c r="H122" s="26" t="str">
        <x:v>P-012</x:v>
      </x:c>
      <x:c r="I122" s="26" t="str">
        <x:v>Mid-year deposit timing factor</x:v>
      </x:c>
      <x:c r="J122" s="26" t="str">
        <x:v>v0.21 baseline formula; v0.23 disposition</x:v>
      </x:c>
    </x:row>
    <x:row r="123">
      <x:c r="A123" s="26" t="str">
        <x:v>SWF_Scenario</x:v>
      </x:c>
      <x:c r="B123" s="26" t="str">
        <x:v>H43</x:v>
      </x:c>
      <x:c r="C123" s="26" t="str">
        <x:v>(F43+G43/2)*Assumptions!B17</x:v>
      </x:c>
      <x:c r="D123" s="26" t="str">
        <x:v>2</x:v>
      </x:c>
      <x:c r="E123" s="26" t="str">
        <x:v>SCENARIO TIMING ASSUMPTION</x:v>
      </x:c>
      <x:c r="F123" s="26" t="str">
        <x:v>YES</x:v>
      </x:c>
      <x:c r="G123" s="26" t="str">
        <x:v>CENTRALIZED</x:v>
      </x:c>
      <x:c r="H123" s="26" t="str">
        <x:v>P-012</x:v>
      </x:c>
      <x:c r="I123" s="26" t="str">
        <x:v>Mid-year deposit timing factor</x:v>
      </x:c>
      <x:c r="J123" s="26" t="str">
        <x:v>v0.21 baseline formula; v0.23 disposition</x:v>
      </x:c>
    </x:row>
    <x:row r="124">
      <x:c r="A124" s="26" t="str">
        <x:v>SWF_Scenario</x:v>
      </x:c>
      <x:c r="B124" s="26" t="str">
        <x:v>M43</x:v>
      </x:c>
      <x:c r="C124" s="26" t="str">
        <x:v>(K43+L43/2)*Assumptions!D17</x:v>
      </x:c>
      <x:c r="D124" s="26" t="str">
        <x:v>2</x:v>
      </x:c>
      <x:c r="E124" s="26" t="str">
        <x:v>SCENARIO TIMING ASSUMPTION</x:v>
      </x:c>
      <x:c r="F124" s="26" t="str">
        <x:v>YES</x:v>
      </x:c>
      <x:c r="G124" s="26" t="str">
        <x:v>CENTRALIZED</x:v>
      </x:c>
      <x:c r="H124" s="26" t="str">
        <x:v>P-012</x:v>
      </x:c>
      <x:c r="I124" s="26" t="str">
        <x:v>Mid-year deposit timing factor</x:v>
      </x:c>
      <x:c r="J124" s="26" t="str">
        <x:v>v0.21 baseline formula; v0.23 disposition</x:v>
      </x:c>
    </x:row>
    <x:row r="125">
      <x:c r="A125" s="26" t="str">
        <x:v>Sector_Tests</x:v>
      </x:c>
      <x:c r="B125" s="26" t="str">
        <x:v>E5</x:v>
      </x:c>
      <x:c r="C125" s="26" t="str">
        <x:v>IF(AND(C5&gt;0,D5&gt;0),(C5*100)^2/D5,0)</x:v>
      </x:c>
      <x:c r="D125" s="26" t="str">
        <x:v>100, 2</x:v>
      </x:c>
      <x:c r="E125" s="26" t="str">
        <x:v>MATHEMATICAL CONVENTION</x:v>
      </x:c>
      <x:c r="F125" s="26" t="str">
        <x:v>NO</x:v>
      </x:c>
      <x:c r="G125" s="26" t="str">
        <x:v>RETAIN LITERAL</x:v>
      </x:c>
      <x:c r="H125" s="26" t="str">
        <x:v>HHI lower-bound formula</x:v>
      </x:c>
      <x:c r="I125" s="26" t="str">
        <x:v>Percentage conversion and squaring</x:v>
      </x:c>
      <x:c r="J125" s="26" t="str">
        <x:v>v0.21 baseline formula; v0.23 disposition</x:v>
      </x:c>
    </x:row>
    <x:row r="126">
      <x:c r="A126" s="26" t="str">
        <x:v>Sector_Tests</x:v>
      </x:c>
      <x:c r="B126" s="26" t="str">
        <x:v>F5</x:v>
      </x:c>
      <x:c r="C126" s="26" t="str">
        <x:v>IF(E5=0,"Data needed",IF(E5&gt;=2500,"High concentration lower bound",IF(E5&gt;=1800,"Moderate lower bound","Lower-bound screen below 1,800")))</x:v>
      </x:c>
      <x:c r="D126" s="26" t="str">
        <x:v>2500, 1800</x:v>
      </x:c>
      <x:c r="E126" s="26" t="str">
        <x:v>LEGACY / LEGAL THRESHOLD</x:v>
      </x:c>
      <x:c r="F126" s="26" t="str">
        <x:v>YES</x:v>
      </x:c>
      <x:c r="G126" s="26" t="str">
        <x:v>REPLACED</x:v>
      </x:c>
      <x:c r="H126" s="26" t="str">
        <x:v>P-001 / P-002</x:v>
      </x:c>
      <x:c r="I126" s="26" t="str">
        <x:v>Legacy 2,500 category retired; current Canadian 1,800 level documented; merger delta not computed</x:v>
      </x:c>
      <x:c r="J126" s="26" t="str">
        <x:v>v0.21 baseline formula; v0.23 disposition</x:v>
      </x:c>
    </x:row>
    <x:row r="127">
      <x:c r="A127" s="26" t="str">
        <x:v>Sector_Tests</x:v>
      </x:c>
      <x:c r="B127" s="26" t="str">
        <x:v>E6</x:v>
      </x:c>
      <x:c r="C127" s="26" t="str">
        <x:v>IF(AND(C6&gt;0,D6&gt;0),(C6*100)^2/D6,0)</x:v>
      </x:c>
      <x:c r="D127" s="26" t="str">
        <x:v>100, 2</x:v>
      </x:c>
      <x:c r="E127" s="26" t="str">
        <x:v>MATHEMATICAL CONVENTION</x:v>
      </x:c>
      <x:c r="F127" s="26" t="str">
        <x:v>NO</x:v>
      </x:c>
      <x:c r="G127" s="26" t="str">
        <x:v>RETAIN LITERAL</x:v>
      </x:c>
      <x:c r="H127" s="26" t="str">
        <x:v>HHI lower-bound formula</x:v>
      </x:c>
      <x:c r="I127" s="26" t="str">
        <x:v>Percentage conversion and squaring</x:v>
      </x:c>
      <x:c r="J127" s="26" t="str">
        <x:v>v0.21 baseline formula; v0.23 disposition</x:v>
      </x:c>
    </x:row>
    <x:row r="128">
      <x:c r="A128" s="26" t="str">
        <x:v>Sector_Tests</x:v>
      </x:c>
      <x:c r="B128" s="26" t="str">
        <x:v>F6</x:v>
      </x:c>
      <x:c r="C128" s="26" t="str">
        <x:v>IF(E6=0,"Data needed",IF(E6&gt;=2500,"High concentration lower bound",IF(E6&gt;=1800,"Moderate lower bound","Lower-bound screen below 1,800")))</x:v>
      </x:c>
      <x:c r="D128" s="26" t="str">
        <x:v>2500, 1800</x:v>
      </x:c>
      <x:c r="E128" s="26" t="str">
        <x:v>LEGACY / LEGAL THRESHOLD</x:v>
      </x:c>
      <x:c r="F128" s="26" t="str">
        <x:v>YES</x:v>
      </x:c>
      <x:c r="G128" s="26" t="str">
        <x:v>REPLACED</x:v>
      </x:c>
      <x:c r="H128" s="26" t="str">
        <x:v>P-001 / P-002</x:v>
      </x:c>
      <x:c r="I128" s="26" t="str">
        <x:v>Legacy 2,500 category retired; current Canadian 1,800 level documented; merger delta not computed</x:v>
      </x:c>
      <x:c r="J128" s="26" t="str">
        <x:v>v0.21 baseline formula; v0.23 disposition</x:v>
      </x:c>
    </x:row>
    <x:row r="129">
      <x:c r="A129" s="26" t="str">
        <x:v>Sector_Tests</x:v>
      </x:c>
      <x:c r="B129" s="26" t="str">
        <x:v>E7</x:v>
      </x:c>
      <x:c r="C129" s="26" t="str">
        <x:v>IF(AND(C7&gt;0,D7&gt;0),(C7*100)^2/D7,0)</x:v>
      </x:c>
      <x:c r="D129" s="26" t="str">
        <x:v>100, 2</x:v>
      </x:c>
      <x:c r="E129" s="26" t="str">
        <x:v>MATHEMATICAL CONVENTION</x:v>
      </x:c>
      <x:c r="F129" s="26" t="str">
        <x:v>NO</x:v>
      </x:c>
      <x:c r="G129" s="26" t="str">
        <x:v>RETAIN LITERAL</x:v>
      </x:c>
      <x:c r="H129" s="26" t="str">
        <x:v>HHI lower-bound formula</x:v>
      </x:c>
      <x:c r="I129" s="26" t="str">
        <x:v>Percentage conversion and squaring</x:v>
      </x:c>
      <x:c r="J129" s="26" t="str">
        <x:v>v0.21 baseline formula; v0.23 disposition</x:v>
      </x:c>
    </x:row>
    <x:row r="130">
      <x:c r="A130" s="26" t="str">
        <x:v>Sector_Tests</x:v>
      </x:c>
      <x:c r="B130" s="26" t="str">
        <x:v>F7</x:v>
      </x:c>
      <x:c r="C130" s="26" t="str">
        <x:v>IF(E7=0,"Data needed",IF(E7&gt;=2500,"High concentration lower bound",IF(E7&gt;=1800,"Moderate lower bound","Lower-bound screen below 1,800")))</x:v>
      </x:c>
      <x:c r="D130" s="26" t="str">
        <x:v>2500, 1800</x:v>
      </x:c>
      <x:c r="E130" s="26" t="str">
        <x:v>LEGACY / LEGAL THRESHOLD</x:v>
      </x:c>
      <x:c r="F130" s="26" t="str">
        <x:v>YES</x:v>
      </x:c>
      <x:c r="G130" s="26" t="str">
        <x:v>REPLACED</x:v>
      </x:c>
      <x:c r="H130" s="26" t="str">
        <x:v>P-001 / P-002</x:v>
      </x:c>
      <x:c r="I130" s="26" t="str">
        <x:v>Legacy 2,500 category retired; current Canadian 1,800 level documented; merger delta not computed</x:v>
      </x:c>
      <x:c r="J130" s="26" t="str">
        <x:v>v0.21 baseline formula; v0.23 disposition</x:v>
      </x:c>
    </x:row>
    <x:row r="131">
      <x:c r="A131" s="26" t="str">
        <x:v>Sector_Tests</x:v>
      </x:c>
      <x:c r="B131" s="26" t="str">
        <x:v>E8</x:v>
      </x:c>
      <x:c r="C131" s="26" t="str">
        <x:v>IF(AND(C8&gt;0,D8&gt;0),(C8*100)^2/D8,0)</x:v>
      </x:c>
      <x:c r="D131" s="26" t="str">
        <x:v>100, 2</x:v>
      </x:c>
      <x:c r="E131" s="26" t="str">
        <x:v>MATHEMATICAL CONVENTION</x:v>
      </x:c>
      <x:c r="F131" s="26" t="str">
        <x:v>NO</x:v>
      </x:c>
      <x:c r="G131" s="26" t="str">
        <x:v>RETAIN LITERAL</x:v>
      </x:c>
      <x:c r="H131" s="26" t="str">
        <x:v>HHI lower-bound formula</x:v>
      </x:c>
      <x:c r="I131" s="26" t="str">
        <x:v>Percentage conversion and squaring</x:v>
      </x:c>
      <x:c r="J131" s="26" t="str">
        <x:v>v0.21 baseline formula; v0.23 disposition</x:v>
      </x:c>
    </x:row>
    <x:row r="132">
      <x:c r="A132" s="26" t="str">
        <x:v>Sector_Tests</x:v>
      </x:c>
      <x:c r="B132" s="26" t="str">
        <x:v>F8</x:v>
      </x:c>
      <x:c r="C132" s="26" t="str">
        <x:v>IF(E8=0,"Data needed",IF(E8&gt;=2500,"High concentration lower bound",IF(E8&gt;=1800,"Moderate lower bound","Lower-bound screen below 1,800")))</x:v>
      </x:c>
      <x:c r="D132" s="26" t="str">
        <x:v>2500, 1800</x:v>
      </x:c>
      <x:c r="E132" s="26" t="str">
        <x:v>LEGACY / LEGAL THRESHOLD</x:v>
      </x:c>
      <x:c r="F132" s="26" t="str">
        <x:v>YES</x:v>
      </x:c>
      <x:c r="G132" s="26" t="str">
        <x:v>REPLACED</x:v>
      </x:c>
      <x:c r="H132" s="26" t="str">
        <x:v>P-001 / P-002</x:v>
      </x:c>
      <x:c r="I132" s="26" t="str">
        <x:v>Legacy 2,500 category retired; current Canadian 1,800 level documented; merger delta not computed</x:v>
      </x:c>
      <x:c r="J132" s="26" t="str">
        <x:v>v0.21 baseline formula; v0.23 disposition</x:v>
      </x:c>
    </x:row>
    <x:row r="133">
      <x:c r="A133" s="26" t="str">
        <x:v>Sector_Tests</x:v>
      </x:c>
      <x:c r="B133" s="26" t="str">
        <x:v>E9</x:v>
      </x:c>
      <x:c r="C133" s="26" t="str">
        <x:v>IF(AND(C9&gt;0,D9&gt;0),(C9*100)^2/D9,0)</x:v>
      </x:c>
      <x:c r="D133" s="26" t="str">
        <x:v>100, 2</x:v>
      </x:c>
      <x:c r="E133" s="26" t="str">
        <x:v>MATHEMATICAL CONVENTION</x:v>
      </x:c>
      <x:c r="F133" s="26" t="str">
        <x:v>NO</x:v>
      </x:c>
      <x:c r="G133" s="26" t="str">
        <x:v>RETAIN LITERAL</x:v>
      </x:c>
      <x:c r="H133" s="26" t="str">
        <x:v>HHI lower-bound formula</x:v>
      </x:c>
      <x:c r="I133" s="26" t="str">
        <x:v>Percentage conversion and squaring</x:v>
      </x:c>
      <x:c r="J133" s="26" t="str">
        <x:v>v0.21 baseline formula; v0.23 disposition</x:v>
      </x:c>
    </x:row>
    <x:row r="134">
      <x:c r="A134" s="26" t="str">
        <x:v>Sector_Tests</x:v>
      </x:c>
      <x:c r="B134" s="26" t="str">
        <x:v>F9</x:v>
      </x:c>
      <x:c r="C134" s="26" t="str">
        <x:v>IF(E9=0,"Data needed",IF(E9&gt;=2500,"High concentration lower bound",IF(E9&gt;=1800,"Moderate lower bound","Lower-bound screen below 1,800")))</x:v>
      </x:c>
      <x:c r="D134" s="26" t="str">
        <x:v>2500, 1800</x:v>
      </x:c>
      <x:c r="E134" s="26" t="str">
        <x:v>LEGACY / LEGAL THRESHOLD</x:v>
      </x:c>
      <x:c r="F134" s="26" t="str">
        <x:v>YES</x:v>
      </x:c>
      <x:c r="G134" s="26" t="str">
        <x:v>REPLACED</x:v>
      </x:c>
      <x:c r="H134" s="26" t="str">
        <x:v>P-001 / P-002</x:v>
      </x:c>
      <x:c r="I134" s="26" t="str">
        <x:v>Legacy 2,500 category retired; current Canadian 1,800 level documented; merger delta not computed</x:v>
      </x:c>
      <x:c r="J134" s="26" t="str">
        <x:v>v0.21 baseline formula; v0.23 disposition</x:v>
      </x:c>
    </x:row>
    <x:row r="135">
      <x:c r="A135" s="26" t="str">
        <x:v>Sector_Tests</x:v>
      </x:c>
      <x:c r="B135" s="26" t="str">
        <x:v>E10</x:v>
      </x:c>
      <x:c r="C135" s="26" t="str">
        <x:v>IF(AND(C10&gt;0,D10&gt;0),(C10*100)^2/D10,0)</x:v>
      </x:c>
      <x:c r="D135" s="26" t="str">
        <x:v>100, 2</x:v>
      </x:c>
      <x:c r="E135" s="26" t="str">
        <x:v>MATHEMATICAL CONVENTION</x:v>
      </x:c>
      <x:c r="F135" s="26" t="str">
        <x:v>NO</x:v>
      </x:c>
      <x:c r="G135" s="26" t="str">
        <x:v>RETAIN LITERAL</x:v>
      </x:c>
      <x:c r="H135" s="26" t="str">
        <x:v>HHI lower-bound formula</x:v>
      </x:c>
      <x:c r="I135" s="26" t="str">
        <x:v>Percentage conversion and squaring</x:v>
      </x:c>
      <x:c r="J135" s="26" t="str">
        <x:v>v0.21 baseline formula; v0.23 disposition</x:v>
      </x:c>
    </x:row>
    <x:row r="136">
      <x:c r="A136" s="26" t="str">
        <x:v>Sector_Tests</x:v>
      </x:c>
      <x:c r="B136" s="26" t="str">
        <x:v>F10</x:v>
      </x:c>
      <x:c r="C136" s="26" t="str">
        <x:v>IF(E10=0,"Data needed",IF(E10&gt;=2500,"High concentration lower bound",IF(E10&gt;=1800,"Moderate lower bound","Lower-bound screen below 1,800")))</x:v>
      </x:c>
      <x:c r="D136" s="26" t="str">
        <x:v>2500, 1800</x:v>
      </x:c>
      <x:c r="E136" s="26" t="str">
        <x:v>LEGACY / LEGAL THRESHOLD</x:v>
      </x:c>
      <x:c r="F136" s="26" t="str">
        <x:v>YES</x:v>
      </x:c>
      <x:c r="G136" s="26" t="str">
        <x:v>REPLACED</x:v>
      </x:c>
      <x:c r="H136" s="26" t="str">
        <x:v>P-001 / P-002</x:v>
      </x:c>
      <x:c r="I136" s="26" t="str">
        <x:v>Legacy 2,500 category retired; current Canadian 1,800 level documented; merger delta not computed</x:v>
      </x:c>
      <x:c r="J136" s="26" t="str">
        <x:v>v0.21 baseline formula; v0.23 disposition</x:v>
      </x:c>
    </x:row>
    <x:row r="137">
      <x:c r="A137" s="26" t="str">
        <x:v>Sector_Tests</x:v>
      </x:c>
      <x:c r="B137" s="26" t="str">
        <x:v>E11</x:v>
      </x:c>
      <x:c r="C137" s="26" t="str">
        <x:v>IF(AND(C11&gt;0,D11&gt;0),(C11*100)^2/D11,0)</x:v>
      </x:c>
      <x:c r="D137" s="26" t="str">
        <x:v>100, 2</x:v>
      </x:c>
      <x:c r="E137" s="26" t="str">
        <x:v>MATHEMATICAL CONVENTION</x:v>
      </x:c>
      <x:c r="F137" s="26" t="str">
        <x:v>NO</x:v>
      </x:c>
      <x:c r="G137" s="26" t="str">
        <x:v>RETAIN LITERAL</x:v>
      </x:c>
      <x:c r="H137" s="26" t="str">
        <x:v>HHI lower-bound formula</x:v>
      </x:c>
      <x:c r="I137" s="26" t="str">
        <x:v>Percentage conversion and squaring</x:v>
      </x:c>
      <x:c r="J137" s="26" t="str">
        <x:v>v0.21 baseline formula; v0.23 disposition</x:v>
      </x:c>
    </x:row>
    <x:row r="138">
      <x:c r="A138" s="26" t="str">
        <x:v>Sector_Tests</x:v>
      </x:c>
      <x:c r="B138" s="26" t="str">
        <x:v>F11</x:v>
      </x:c>
      <x:c r="C138" s="26" t="str">
        <x:v>IF(E11=0,"Data needed",IF(E11&gt;=2500,"High concentration lower bound",IF(E11&gt;=1800,"Moderate lower bound","Lower-bound screen below 1,800")))</x:v>
      </x:c>
      <x:c r="D138" s="26" t="str">
        <x:v>2500, 1800</x:v>
      </x:c>
      <x:c r="E138" s="26" t="str">
        <x:v>LEGACY / LEGAL THRESHOLD</x:v>
      </x:c>
      <x:c r="F138" s="26" t="str">
        <x:v>YES</x:v>
      </x:c>
      <x:c r="G138" s="26" t="str">
        <x:v>REPLACED</x:v>
      </x:c>
      <x:c r="H138" s="26" t="str">
        <x:v>P-001 / P-002</x:v>
      </x:c>
      <x:c r="I138" s="26" t="str">
        <x:v>Legacy 2,500 category retired; current Canadian 1,800 level documented; merger delta not computed</x:v>
      </x:c>
      <x:c r="J138" s="26" t="str">
        <x:v>v0.21 baseline formula; v0.23 disposition</x:v>
      </x:c>
    </x:row>
    <x:row r="139">
      <x:c r="A139" s="26" t="str">
        <x:v>Sector_Tests</x:v>
      </x:c>
      <x:c r="B139" s="26" t="str">
        <x:v>E12</x:v>
      </x:c>
      <x:c r="C139" s="26" t="str">
        <x:v>IF(AND(C12&gt;0,D12&gt;0),(C12*100)^2/D12,0)</x:v>
      </x:c>
      <x:c r="D139" s="26" t="str">
        <x:v>100, 2</x:v>
      </x:c>
      <x:c r="E139" s="26" t="str">
        <x:v>MATHEMATICAL CONVENTION</x:v>
      </x:c>
      <x:c r="F139" s="26" t="str">
        <x:v>NO</x:v>
      </x:c>
      <x:c r="G139" s="26" t="str">
        <x:v>RETAIN LITERAL</x:v>
      </x:c>
      <x:c r="H139" s="26" t="str">
        <x:v>HHI lower-bound formula</x:v>
      </x:c>
      <x:c r="I139" s="26" t="str">
        <x:v>Percentage conversion and squaring</x:v>
      </x:c>
      <x:c r="J139" s="26" t="str">
        <x:v>v0.21 baseline formula; v0.23 disposition</x:v>
      </x:c>
    </x:row>
    <x:row r="140">
      <x:c r="A140" s="26" t="str">
        <x:v>Sector_Tests</x:v>
      </x:c>
      <x:c r="B140" s="26" t="str">
        <x:v>F12</x:v>
      </x:c>
      <x:c r="C140" s="26" t="str">
        <x:v>IF(E12=0,"Data needed",IF(E12&gt;=2500,"High concentration lower bound",IF(E12&gt;=1800,"Moderate lower bound","Lower-bound screen below 1,800")))</x:v>
      </x:c>
      <x:c r="D140" s="26" t="str">
        <x:v>2500, 1800</x:v>
      </x:c>
      <x:c r="E140" s="26" t="str">
        <x:v>LEGACY / LEGAL THRESHOLD</x:v>
      </x:c>
      <x:c r="F140" s="26" t="str">
        <x:v>YES</x:v>
      </x:c>
      <x:c r="G140" s="26" t="str">
        <x:v>REPLACED</x:v>
      </x:c>
      <x:c r="H140" s="26" t="str">
        <x:v>P-001 / P-002</x:v>
      </x:c>
      <x:c r="I140" s="26" t="str">
        <x:v>Legacy 2,500 category retired; current Canadian 1,800 level documented; merger delta not computed</x:v>
      </x:c>
      <x:c r="J140" s="26" t="str">
        <x:v>v0.21 baseline formula; v0.23 disposition</x:v>
      </x:c>
    </x:row>
    <x:row r="141">
      <x:c r="A141" s="26" t="str">
        <x:v>Sector_Tests</x:v>
      </x:c>
      <x:c r="B141" s="26" t="str">
        <x:v>E13</x:v>
      </x:c>
      <x:c r="C141" s="26" t="str">
        <x:v>IF(AND(C13&gt;0,D13&gt;0),(C13*100)^2/D13,0)</x:v>
      </x:c>
      <x:c r="D141" s="26" t="str">
        <x:v>100, 2</x:v>
      </x:c>
      <x:c r="E141" s="26" t="str">
        <x:v>MATHEMATICAL CONVENTION</x:v>
      </x:c>
      <x:c r="F141" s="26" t="str">
        <x:v>NO</x:v>
      </x:c>
      <x:c r="G141" s="26" t="str">
        <x:v>RETAIN LITERAL</x:v>
      </x:c>
      <x:c r="H141" s="26" t="str">
        <x:v>HHI lower-bound formula</x:v>
      </x:c>
      <x:c r="I141" s="26" t="str">
        <x:v>Percentage conversion and squaring</x:v>
      </x:c>
      <x:c r="J141" s="26" t="str">
        <x:v>v0.21 baseline formula; v0.23 disposition</x:v>
      </x:c>
    </x:row>
    <x:row r="142">
      <x:c r="A142" s="26" t="str">
        <x:v>Sector_Tests</x:v>
      </x:c>
      <x:c r="B142" s="26" t="str">
        <x:v>F13</x:v>
      </x:c>
      <x:c r="C142" s="26" t="str">
        <x:v>IF(E13=0,"Data needed",IF(E13&gt;=2500,"High concentration lower bound",IF(E13&gt;=1800,"Moderate lower bound","Lower-bound screen below 1,800")))</x:v>
      </x:c>
      <x:c r="D142" s="26" t="str">
        <x:v>2500, 1800</x:v>
      </x:c>
      <x:c r="E142" s="26" t="str">
        <x:v>LEGACY / LEGAL THRESHOLD</x:v>
      </x:c>
      <x:c r="F142" s="26" t="str">
        <x:v>YES</x:v>
      </x:c>
      <x:c r="G142" s="26" t="str">
        <x:v>REPLACED</x:v>
      </x:c>
      <x:c r="H142" s="26" t="str">
        <x:v>P-001 / P-002</x:v>
      </x:c>
      <x:c r="I142" s="26" t="str">
        <x:v>Legacy 2,500 category retired; current Canadian 1,800 level documented; merger delta not computed</x:v>
      </x:c>
      <x:c r="J142" s="26" t="str">
        <x:v>v0.21 baseline formula; v0.23 disposition</x:v>
      </x:c>
    </x:row>
    <x:row r="143">
      <x:c r="A143" s="26" t="str">
        <x:v>Sector_Tests</x:v>
      </x:c>
      <x:c r="B143" s="26" t="str">
        <x:v>E14</x:v>
      </x:c>
      <x:c r="C143" s="26" t="str">
        <x:v>IF(AND(C14&gt;0,D14&gt;0),(C14*100)^2/D14,0)</x:v>
      </x:c>
      <x:c r="D143" s="26" t="str">
        <x:v>100, 2</x:v>
      </x:c>
      <x:c r="E143" s="26" t="str">
        <x:v>MATHEMATICAL CONVENTION</x:v>
      </x:c>
      <x:c r="F143" s="26" t="str">
        <x:v>NO</x:v>
      </x:c>
      <x:c r="G143" s="26" t="str">
        <x:v>RETAIN LITERAL</x:v>
      </x:c>
      <x:c r="H143" s="26" t="str">
        <x:v>HHI lower-bound formula</x:v>
      </x:c>
      <x:c r="I143" s="26" t="str">
        <x:v>Percentage conversion and squaring</x:v>
      </x:c>
      <x:c r="J143" s="26" t="str">
        <x:v>v0.21 baseline formula; v0.23 disposition</x:v>
      </x:c>
    </x:row>
    <x:row r="144">
      <x:c r="A144" s="26" t="str">
        <x:v>Sector_Tests</x:v>
      </x:c>
      <x:c r="B144" s="26" t="str">
        <x:v>F14</x:v>
      </x:c>
      <x:c r="C144" s="26" t="str">
        <x:v>IF(E14=0,"Data needed",IF(E14&gt;=2500,"High concentration lower bound",IF(E14&gt;=1800,"Moderate lower bound","Lower-bound screen below 1,800")))</x:v>
      </x:c>
      <x:c r="D144" s="26" t="str">
        <x:v>2500, 1800</x:v>
      </x:c>
      <x:c r="E144" s="26" t="str">
        <x:v>LEGACY / LEGAL THRESHOLD</x:v>
      </x:c>
      <x:c r="F144" s="26" t="str">
        <x:v>YES</x:v>
      </x:c>
      <x:c r="G144" s="26" t="str">
        <x:v>REPLACED</x:v>
      </x:c>
      <x:c r="H144" s="26" t="str">
        <x:v>P-001 / P-002</x:v>
      </x:c>
      <x:c r="I144" s="26" t="str">
        <x:v>Legacy 2,500 category retired; current Canadian 1,800 level documented; merger delta not computed</x:v>
      </x:c>
      <x:c r="J144" s="26" t="str">
        <x:v>v0.21 baseline formula; v0.23 disposition</x:v>
      </x:c>
    </x:row>
    <x:row r="145">
      <x:c r="A145" s="26" t="str">
        <x:v>Oil_Sands_Bridge_2024</x:v>
      </x:c>
      <x:c r="B145" s="26" t="str">
        <x:v>I17</x:v>
      </x:c>
      <x:c r="C145" s="26" t="str">
        <x:v>IF(I16&lt;=0.01,"PASS","REVIEW")</x:v>
      </x:c>
      <x:c r="D145" s="26" t="str">
        <x:v>0.01</x:v>
      </x:c>
      <x:c r="E145" s="26" t="str">
        <x:v>VALIDATION THRESHOLD</x:v>
      </x:c>
      <x:c r="F145" s="26" t="str">
        <x:v>YES</x:v>
      </x:c>
      <x:c r="G145" s="26" t="str">
        <x:v>CENTRALIZED</x:v>
      </x:c>
      <x:c r="H145" s="26" t="str">
        <x:v>P-004</x:v>
      </x:c>
      <x:c r="I145" s="26" t="str">
        <x:v>Relative labour-control review threshold</x:v>
      </x:c>
      <x:c r="J145" s="26" t="str">
        <x:v>v0.21 baseline formula; v0.23 disposition</x:v>
      </x:c>
    </x:row>
    <x:row r="146">
      <x:c r="A146" s="26" t="str">
        <x:v>Oil_Sands_Bridge_2024</x:v>
      </x:c>
      <x:c r="B146" s="26" t="str">
        <x:v>B20</x:v>
      </x:c>
      <x:c r="C146" s="26" t="str">
        <x:v>IF(ABS(B19)&lt;=0.000001,"PASS","FAIL")</x:v>
      </x:c>
      <x:c r="D146" s="26" t="str">
        <x:v>0.000001</x:v>
      </x:c>
      <x:c r="E146" s="26" t="str">
        <x:v>VALIDATION THRESHOLD</x:v>
      </x:c>
      <x:c r="F146" s="26" t="str">
        <x:v>YES</x:v>
      </x:c>
      <x:c r="G146" s="26" t="str">
        <x:v>CENTRALIZED</x:v>
      </x:c>
      <x:c r="H146" s="26" t="str">
        <x:v>P-005</x:v>
      </x:c>
      <x:c r="I146" s="26" t="str">
        <x:v>Production identity tolerance</x:v>
      </x:c>
      <x:c r="J146" s="26" t="str">
        <x:v>v0.21 baseline formula; v0.23 disposition</x:v>
      </x:c>
    </x:row>
    <x:row r="147">
      <x:c r="A147" s="26" t="str">
        <x:v>Capital_Proxy_Stress_Test</x:v>
      </x:c>
      <x:c r="B147" s="26" t="str">
        <x:v>R6</x:v>
      </x:c>
      <x:c r="C147" s="26" t="str">
        <x:v>IF(OR(G6&gt;1.5,G6&lt;0.67),"HIGH DISTORTION",IF(OR(G6&gt;1.25,G6&lt;0.8),"MATERIAL","MODERATE"))</x:v>
      </x:c>
      <x:c r="D147" s="26" t="str">
        <x:v>1.5, 0.67, 1.25, 0.8</x:v>
      </x:c>
      <x:c r="E147" s="26" t="str">
        <x:v>INTERNAL DIAGNOSTIC THRESHOLD</x:v>
      </x:c>
      <x:c r="F147" s="26" t="str">
        <x:v>YES</x:v>
      </x:c>
      <x:c r="G147" s="26" t="str">
        <x:v>CENTRALIZED</x:v>
      </x:c>
      <x:c r="H147" s="26" t="str">
        <x:v>P-006:P-009</x:v>
      </x:c>
      <x:c r="I147" s="26" t="str">
        <x:v>Stress-test distortion bands; rejected proxy remains diagnostic only</x:v>
      </x:c>
      <x:c r="J147" s="26" t="str">
        <x:v>v0.21 baseline formula; v0.23 disposition</x:v>
      </x:c>
    </x:row>
    <x:row r="148">
      <x:c r="A148" s="26" t="str">
        <x:v>Capital_Proxy_Stress_Test</x:v>
      </x:c>
      <x:c r="B148" s="26" t="str">
        <x:v>R7</x:v>
      </x:c>
      <x:c r="C148" s="26" t="str">
        <x:v>IF(OR(G7&gt;1.5,G7&lt;0.67),"HIGH DISTORTION",IF(OR(G7&gt;1.25,G7&lt;0.8),"MATERIAL","MODERATE"))</x:v>
      </x:c>
      <x:c r="D148" s="26" t="str">
        <x:v>1.5, 0.67, 1.25, 0.8</x:v>
      </x:c>
      <x:c r="E148" s="26" t="str">
        <x:v>INTERNAL DIAGNOSTIC THRESHOLD</x:v>
      </x:c>
      <x:c r="F148" s="26" t="str">
        <x:v>YES</x:v>
      </x:c>
      <x:c r="G148" s="26" t="str">
        <x:v>CENTRALIZED</x:v>
      </x:c>
      <x:c r="H148" s="26" t="str">
        <x:v>P-006:P-009</x:v>
      </x:c>
      <x:c r="I148" s="26" t="str">
        <x:v>Stress-test distortion bands; rejected proxy remains diagnostic only</x:v>
      </x:c>
      <x:c r="J148" s="26" t="str">
        <x:v>v0.21 baseline formula; v0.23 disposition</x:v>
      </x:c>
    </x:row>
    <x:row r="149">
      <x:c r="A149" s="26" t="str">
        <x:v>Capital_Proxy_Stress_Test</x:v>
      </x:c>
      <x:c r="B149" s="26" t="str">
        <x:v>R8</x:v>
      </x:c>
      <x:c r="C149" s="26" t="str">
        <x:v>IF(OR(G8&gt;1.5,G8&lt;0.67),"HIGH DISTORTION",IF(OR(G8&gt;1.25,G8&lt;0.8),"MATERIAL","MODERATE"))</x:v>
      </x:c>
      <x:c r="D149" s="26" t="str">
        <x:v>1.5, 0.67, 1.25, 0.8</x:v>
      </x:c>
      <x:c r="E149" s="26" t="str">
        <x:v>INTERNAL DIAGNOSTIC THRESHOLD</x:v>
      </x:c>
      <x:c r="F149" s="26" t="str">
        <x:v>YES</x:v>
      </x:c>
      <x:c r="G149" s="26" t="str">
        <x:v>CENTRALIZED</x:v>
      </x:c>
      <x:c r="H149" s="26" t="str">
        <x:v>P-006:P-009</x:v>
      </x:c>
      <x:c r="I149" s="26" t="str">
        <x:v>Stress-test distortion bands; rejected proxy remains diagnostic only</x:v>
      </x:c>
      <x:c r="J149" s="26" t="str">
        <x:v>v0.21 baseline formula; v0.23 disposition</x:v>
      </x:c>
    </x:row>
    <x:row r="150">
      <x:c r="A150" s="26" t="str">
        <x:v>Capital_Proxy_Stress_Test</x:v>
      </x:c>
      <x:c r="B150" s="26" t="str">
        <x:v>R9</x:v>
      </x:c>
      <x:c r="C150" s="26" t="str">
        <x:v>IF(OR(G9&gt;1.5,G9&lt;0.67),"HIGH DISTORTION",IF(OR(G9&gt;1.25,G9&lt;0.8),"MATERIAL","MODERATE"))</x:v>
      </x:c>
      <x:c r="D150" s="26" t="str">
        <x:v>1.5, 0.67, 1.25, 0.8</x:v>
      </x:c>
      <x:c r="E150" s="26" t="str">
        <x:v>INTERNAL DIAGNOSTIC THRESHOLD</x:v>
      </x:c>
      <x:c r="F150" s="26" t="str">
        <x:v>YES</x:v>
      </x:c>
      <x:c r="G150" s="26" t="str">
        <x:v>CENTRALIZED</x:v>
      </x:c>
      <x:c r="H150" s="26" t="str">
        <x:v>P-006:P-009</x:v>
      </x:c>
      <x:c r="I150" s="26" t="str">
        <x:v>Stress-test distortion bands; rejected proxy remains diagnostic only</x:v>
      </x:c>
      <x:c r="J150" s="26" t="str">
        <x:v>v0.21 baseline formula; v0.23 disposition</x:v>
      </x:c>
    </x:row>
    <x:row r="151">
      <x:c r="A151" s="26" t="str">
        <x:v>Capital_Proxy_Stress_Test</x:v>
      </x:c>
      <x:c r="B151" s="26" t="str">
        <x:v>R10</x:v>
      </x:c>
      <x:c r="C151" s="26" t="str">
        <x:v>IF(OR(G10&gt;1.5,G10&lt;0.67),"HIGH DISTORTION",IF(OR(G10&gt;1.25,G10&lt;0.8),"MATERIAL","MODERATE"))</x:v>
      </x:c>
      <x:c r="D151" s="26" t="str">
        <x:v>1.5, 0.67, 1.25, 0.8</x:v>
      </x:c>
      <x:c r="E151" s="26" t="str">
        <x:v>INTERNAL DIAGNOSTIC THRESHOLD</x:v>
      </x:c>
      <x:c r="F151" s="26" t="str">
        <x:v>YES</x:v>
      </x:c>
      <x:c r="G151" s="26" t="str">
        <x:v>CENTRALIZED</x:v>
      </x:c>
      <x:c r="H151" s="26" t="str">
        <x:v>P-006:P-009</x:v>
      </x:c>
      <x:c r="I151" s="26" t="str">
        <x:v>Stress-test distortion bands; rejected proxy remains diagnostic only</x:v>
      </x:c>
      <x:c r="J151" s="26" t="str">
        <x:v>v0.21 baseline formula; v0.23 disposition</x:v>
      </x:c>
    </x:row>
    <x:row r="152">
      <x:c r="A152" s="26" t="str">
        <x:v>Capital_Proxy_Stress_Test</x:v>
      </x:c>
      <x:c r="B152" s="26" t="str">
        <x:v>R11</x:v>
      </x:c>
      <x:c r="C152" s="26" t="str">
        <x:v>IF(OR(G11&gt;1.5,G11&lt;0.67),"HIGH DISTORTION",IF(OR(G11&gt;1.25,G11&lt;0.8),"MATERIAL","MODERATE"))</x:v>
      </x:c>
      <x:c r="D152" s="26" t="str">
        <x:v>1.5, 0.67, 1.25, 0.8</x:v>
      </x:c>
      <x:c r="E152" s="26" t="str">
        <x:v>INTERNAL DIAGNOSTIC THRESHOLD</x:v>
      </x:c>
      <x:c r="F152" s="26" t="str">
        <x:v>YES</x:v>
      </x:c>
      <x:c r="G152" s="26" t="str">
        <x:v>CENTRALIZED</x:v>
      </x:c>
      <x:c r="H152" s="26" t="str">
        <x:v>P-006:P-009</x:v>
      </x:c>
      <x:c r="I152" s="26" t="str">
        <x:v>Stress-test distortion bands; rejected proxy remains diagnostic only</x:v>
      </x:c>
      <x:c r="J152" s="26" t="str">
        <x:v>v0.21 baseline formula; v0.23 disposition</x:v>
      </x:c>
    </x:row>
    <x:row r="153">
      <x:c r="A153" s="26" t="str">
        <x:v>Capital_Proxy_Stress_Test</x:v>
      </x:c>
      <x:c r="B153" s="26" t="str">
        <x:v>R12</x:v>
      </x:c>
      <x:c r="C153" s="26" t="str">
        <x:v>IF(OR(G12&gt;1.5,G12&lt;0.67),"HIGH DISTORTION",IF(OR(G12&gt;1.25,G12&lt;0.8),"MATERIAL","MODERATE"))</x:v>
      </x:c>
      <x:c r="D153" s="26" t="str">
        <x:v>1.5, 0.67, 1.25, 0.8</x:v>
      </x:c>
      <x:c r="E153" s="26" t="str">
        <x:v>INTERNAL DIAGNOSTIC THRESHOLD</x:v>
      </x:c>
      <x:c r="F153" s="26" t="str">
        <x:v>YES</x:v>
      </x:c>
      <x:c r="G153" s="26" t="str">
        <x:v>CENTRALIZED</x:v>
      </x:c>
      <x:c r="H153" s="26" t="str">
        <x:v>P-006:P-009</x:v>
      </x:c>
      <x:c r="I153" s="26" t="str">
        <x:v>Stress-test distortion bands; rejected proxy remains diagnostic only</x:v>
      </x:c>
      <x:c r="J153" s="26" t="str">
        <x:v>v0.21 baseline formula; v0.23 disposition</x:v>
      </x:c>
    </x:row>
    <x:row r="154">
      <x:c r="A154" s="26" t="str">
        <x:v>Potash_Bridge_2024</x:v>
      </x:c>
      <x:c r="B154" s="26" t="str">
        <x:v>I17</x:v>
      </x:c>
      <x:c r="C154" s="26" t="str">
        <x:v>IF(I16&lt;=0.01,"PASS","REVIEW")</x:v>
      </x:c>
      <x:c r="D154" s="26" t="str">
        <x:v>0.01</x:v>
      </x:c>
      <x:c r="E154" s="26" t="str">
        <x:v>VALIDATION THRESHOLD</x:v>
      </x:c>
      <x:c r="F154" s="26" t="str">
        <x:v>YES</x:v>
      </x:c>
      <x:c r="G154" s="26" t="str">
        <x:v>CENTRALIZED</x:v>
      </x:c>
      <x:c r="H154" s="26" t="str">
        <x:v>P-004</x:v>
      </x:c>
      <x:c r="I154" s="26" t="str">
        <x:v>Relative labour-control review threshold</x:v>
      </x:c>
      <x:c r="J154" s="26" t="str">
        <x:v>v0.21 baseline formula; v0.23 disposition</x:v>
      </x:c>
    </x:row>
    <x:row r="155">
      <x:c r="A155" s="26" t="str">
        <x:v>Potash_Bridge_2024</x:v>
      </x:c>
      <x:c r="B155" s="26" t="str">
        <x:v>B21</x:v>
      </x:c>
      <x:c r="C155" s="26" t="str">
        <x:v>IF(ABS(B20)&lt;=0.000001,"PASS","FAIL")</x:v>
      </x:c>
      <x:c r="D155" s="26" t="str">
        <x:v>0.000001</x:v>
      </x:c>
      <x:c r="E155" s="26" t="str">
        <x:v>VALIDATION THRESHOLD</x:v>
      </x:c>
      <x:c r="F155" s="26" t="str">
        <x:v>YES</x:v>
      </x:c>
      <x:c r="G155" s="26" t="str">
        <x:v>CENTRALIZED</x:v>
      </x:c>
      <x:c r="H155" s="26" t="str">
        <x:v>P-005</x:v>
      </x:c>
      <x:c r="I155" s="26" t="str">
        <x:v>Production identity tolerance</x:v>
      </x:c>
      <x:c r="J155" s="26" t="str">
        <x:v>v0.21 baseline formula; v0.23 disposition</x:v>
      </x:c>
    </x:row>
    <x:row r="156">
      <x:c r="A156" s="26" t="str">
        <x:v>AB_OS_Project_Data_2024</x:v>
      </x:c>
      <x:c r="B156" s="26" t="str">
        <x:v>W6</x:v>
      </x:c>
      <x:c r="C156" s="26" t="str">
        <x:v>IF(T6="NET",Q6*U6/100,G6*U6/100)</x:v>
      </x:c>
      <x:c r="D156" s="26" t="str">
        <x:v>100, 100</x:v>
      </x:c>
      <x:c r="E156" s="26" t="str">
        <x:v>UNIT CONVERSION</x:v>
      </x:c>
      <x:c r="F156" s="26" t="str">
        <x:v>NO</x:v>
      </x:c>
      <x:c r="G156" s="26" t="str">
        <x:v>RETAIN LITERAL</x:v>
      </x:c>
      <x:c r="H156" s="26" t="str">
        <x:v>Percentage divisor</x:v>
      </x:c>
      <x:c r="I156" s="26" t="str">
        <x:v>Divides percentage points by 100</x:v>
      </x:c>
      <x:c r="J156" s="26" t="str">
        <x:v>v0.21 baseline formula; v0.23 disposition</x:v>
      </x:c>
    </x:row>
    <x:row r="157">
      <x:c r="A157" s="26" t="str">
        <x:v>AB_OS_Project_Data_2024</x:v>
      </x:c>
      <x:c r="B157" s="26" t="str">
        <x:v>AD6</x:v>
      </x:c>
      <x:c r="C157" s="26" t="str">
        <x:v>IF(ABS(H6)&lt;=1000,"PASS","REVIEW")</x:v>
      </x:c>
      <x:c r="D157" s="26" t="str">
        <x:v>1000</x:v>
      </x:c>
      <x:c r="E157" s="26" t="str">
        <x:v>VALIDATION THRESHOLD</x:v>
      </x:c>
      <x:c r="F157" s="26" t="str">
        <x:v>YES</x:v>
      </x:c>
      <x:c r="G157" s="26" t="str">
        <x:v>CENTRALIZED</x:v>
      </x:c>
      <x:c r="H157" s="26" t="str">
        <x:v>P-003</x:v>
      </x:c>
      <x:c r="I157" s="26" t="str">
        <x:v>Internal $1,000 reconciliation tolerance; reviewer approval required</x:v>
      </x:c>
      <x:c r="J157" s="26" t="str">
        <x:v>v0.21 baseline formula; v0.23 disposition</x:v>
      </x:c>
    </x:row>
    <x:row r="158">
      <x:c r="A158" s="26" t="str">
        <x:v>AB_OS_Project_Data_2024</x:v>
      </x:c>
      <x:c r="B158" s="26" t="str">
        <x:v>AE6</x:v>
      </x:c>
      <x:c r="C158" s="26" t="str">
        <x:v>IF(T6&lt;&gt;"NET","N/A",IF(ABS(S6)&lt;=1000,"PASS","REVIEW"))</x:v>
      </x:c>
      <x:c r="D158" s="26" t="str">
        <x:v>1000</x:v>
      </x:c>
      <x:c r="E158" s="26" t="str">
        <x:v>VALIDATION THRESHOLD</x:v>
      </x:c>
      <x:c r="F158" s="26" t="str">
        <x:v>YES</x:v>
      </x:c>
      <x:c r="G158" s="26" t="str">
        <x:v>CENTRALIZED</x:v>
      </x:c>
      <x:c r="H158" s="26" t="str">
        <x:v>P-003</x:v>
      </x:c>
      <x:c r="I158" s="26" t="str">
        <x:v>Internal $1,000 reconciliation tolerance; reviewer approval required</x:v>
      </x:c>
      <x:c r="J158" s="26" t="str">
        <x:v>v0.21 baseline formula; v0.23 disposition</x:v>
      </x:c>
    </x:row>
    <x:row r="159">
      <x:c r="A159" s="26" t="str">
        <x:v>AB_OS_Project_Data_2024</x:v>
      </x:c>
      <x:c r="B159" s="26" t="str">
        <x:v>AF6</x:v>
      </x:c>
      <x:c r="C159" s="26" t="str">
        <x:v>IF(ABS(X6)&lt;=1000,"WITHIN $1K","DISPLAY RATE / ADJUSTMENT")</x:v>
      </x:c>
      <x:c r="D159" s="26" t="str">
        <x:v>1000</x:v>
      </x:c>
      <x:c r="E159" s="26" t="str">
        <x:v>VALIDATION THRESHOLD</x:v>
      </x:c>
      <x:c r="F159" s="26" t="str">
        <x:v>YES</x:v>
      </x:c>
      <x:c r="G159" s="26" t="str">
        <x:v>CENTRALIZED</x:v>
      </x:c>
      <x:c r="H159" s="26" t="str">
        <x:v>P-003</x:v>
      </x:c>
      <x:c r="I159" s="26" t="str">
        <x:v>Internal $1,000 reconciliation tolerance; reviewer approval required</x:v>
      </x:c>
      <x:c r="J159" s="26" t="str">
        <x:v>v0.21 baseline formula; v0.23 disposition</x:v>
      </x:c>
    </x:row>
    <x:row r="160">
      <x:c r="A160" s="26" t="str">
        <x:v>AB_OS_Project_Data_2024</x:v>
      </x:c>
      <x:c r="B160" s="26" t="str">
        <x:v>W7</x:v>
      </x:c>
      <x:c r="C160" s="26" t="str">
        <x:v>IF(T7="NET",Q7*U7/100,G7*U7/100)</x:v>
      </x:c>
      <x:c r="D160" s="26" t="str">
        <x:v>100, 100</x:v>
      </x:c>
      <x:c r="E160" s="26" t="str">
        <x:v>UNIT CONVERSION</x:v>
      </x:c>
      <x:c r="F160" s="26" t="str">
        <x:v>NO</x:v>
      </x:c>
      <x:c r="G160" s="26" t="str">
        <x:v>RETAIN LITERAL</x:v>
      </x:c>
      <x:c r="H160" s="26" t="str">
        <x:v>Percentage divisor</x:v>
      </x:c>
      <x:c r="I160" s="26" t="str">
        <x:v>Divides percentage points by 100</x:v>
      </x:c>
      <x:c r="J160" s="26" t="str">
        <x:v>v0.21 baseline formula; v0.23 disposition</x:v>
      </x:c>
    </x:row>
    <x:row r="161">
      <x:c r="A161" s="26" t="str">
        <x:v>AB_OS_Project_Data_2024</x:v>
      </x:c>
      <x:c r="B161" s="26" t="str">
        <x:v>AD7</x:v>
      </x:c>
      <x:c r="C161" s="26" t="str">
        <x:v>IF(ABS(H7)&lt;=1000,"PASS","REVIEW")</x:v>
      </x:c>
      <x:c r="D161" s="26" t="str">
        <x:v>1000</x:v>
      </x:c>
      <x:c r="E161" s="26" t="str">
        <x:v>VALIDATION THRESHOLD</x:v>
      </x:c>
      <x:c r="F161" s="26" t="str">
        <x:v>YES</x:v>
      </x:c>
      <x:c r="G161" s="26" t="str">
        <x:v>CENTRALIZED</x:v>
      </x:c>
      <x:c r="H161" s="26" t="str">
        <x:v>P-003</x:v>
      </x:c>
      <x:c r="I161" s="26" t="str">
        <x:v>Internal $1,000 reconciliation tolerance; reviewer approval required</x:v>
      </x:c>
      <x:c r="J161" s="26" t="str">
        <x:v>v0.21 baseline formula; v0.23 disposition</x:v>
      </x:c>
    </x:row>
    <x:row r="162">
      <x:c r="A162" s="26" t="str">
        <x:v>AB_OS_Project_Data_2024</x:v>
      </x:c>
      <x:c r="B162" s="26" t="str">
        <x:v>AE7</x:v>
      </x:c>
      <x:c r="C162" s="26" t="str">
        <x:v>IF(T7&lt;&gt;"NET","N/A",IF(ABS(S7)&lt;=1000,"PASS","REVIEW"))</x:v>
      </x:c>
      <x:c r="D162" s="26" t="str">
        <x:v>1000</x:v>
      </x:c>
      <x:c r="E162" s="26" t="str">
        <x:v>VALIDATION THRESHOLD</x:v>
      </x:c>
      <x:c r="F162" s="26" t="str">
        <x:v>YES</x:v>
      </x:c>
      <x:c r="G162" s="26" t="str">
        <x:v>CENTRALIZED</x:v>
      </x:c>
      <x:c r="H162" s="26" t="str">
        <x:v>P-003</x:v>
      </x:c>
      <x:c r="I162" s="26" t="str">
        <x:v>Internal $1,000 reconciliation tolerance; reviewer approval required</x:v>
      </x:c>
      <x:c r="J162" s="26" t="str">
        <x:v>v0.21 baseline formula; v0.23 disposition</x:v>
      </x:c>
    </x:row>
    <x:row r="163">
      <x:c r="A163" s="26" t="str">
        <x:v>AB_OS_Project_Data_2024</x:v>
      </x:c>
      <x:c r="B163" s="26" t="str">
        <x:v>AF7</x:v>
      </x:c>
      <x:c r="C163" s="26" t="str">
        <x:v>IF(ABS(X7)&lt;=1000,"WITHIN $1K","DISPLAY RATE / ADJUSTMENT")</x:v>
      </x:c>
      <x:c r="D163" s="26" t="str">
        <x:v>1000</x:v>
      </x:c>
      <x:c r="E163" s="26" t="str">
        <x:v>VALIDATION THRESHOLD</x:v>
      </x:c>
      <x:c r="F163" s="26" t="str">
        <x:v>YES</x:v>
      </x:c>
      <x:c r="G163" s="26" t="str">
        <x:v>CENTRALIZED</x:v>
      </x:c>
      <x:c r="H163" s="26" t="str">
        <x:v>P-003</x:v>
      </x:c>
      <x:c r="I163" s="26" t="str">
        <x:v>Internal $1,000 reconciliation tolerance; reviewer approval required</x:v>
      </x:c>
      <x:c r="J163" s="26" t="str">
        <x:v>v0.21 baseline formula; v0.23 disposition</x:v>
      </x:c>
    </x:row>
    <x:row r="164">
      <x:c r="A164" s="26" t="str">
        <x:v>AB_OS_Project_Data_2024</x:v>
      </x:c>
      <x:c r="B164" s="26" t="str">
        <x:v>W8</x:v>
      </x:c>
      <x:c r="C164" s="26" t="str">
        <x:v>IF(T8="NET",Q8*U8/100,G8*U8/100)</x:v>
      </x:c>
      <x:c r="D164" s="26" t="str">
        <x:v>100, 100</x:v>
      </x:c>
      <x:c r="E164" s="26" t="str">
        <x:v>UNIT CONVERSION</x:v>
      </x:c>
      <x:c r="F164" s="26" t="str">
        <x:v>NO</x:v>
      </x:c>
      <x:c r="G164" s="26" t="str">
        <x:v>RETAIN LITERAL</x:v>
      </x:c>
      <x:c r="H164" s="26" t="str">
        <x:v>Percentage divisor</x:v>
      </x:c>
      <x:c r="I164" s="26" t="str">
        <x:v>Divides percentage points by 100</x:v>
      </x:c>
      <x:c r="J164" s="26" t="str">
        <x:v>v0.21 baseline formula; v0.23 disposition</x:v>
      </x:c>
    </x:row>
    <x:row r="165">
      <x:c r="A165" s="26" t="str">
        <x:v>AB_OS_Project_Data_2024</x:v>
      </x:c>
      <x:c r="B165" s="26" t="str">
        <x:v>AD8</x:v>
      </x:c>
      <x:c r="C165" s="26" t="str">
        <x:v>IF(ABS(H8)&lt;=1000,"PASS","REVIEW")</x:v>
      </x:c>
      <x:c r="D165" s="26" t="str">
        <x:v>1000</x:v>
      </x:c>
      <x:c r="E165" s="26" t="str">
        <x:v>VALIDATION THRESHOLD</x:v>
      </x:c>
      <x:c r="F165" s="26" t="str">
        <x:v>YES</x:v>
      </x:c>
      <x:c r="G165" s="26" t="str">
        <x:v>CENTRALIZED</x:v>
      </x:c>
      <x:c r="H165" s="26" t="str">
        <x:v>P-003</x:v>
      </x:c>
      <x:c r="I165" s="26" t="str">
        <x:v>Internal $1,000 reconciliation tolerance; reviewer approval required</x:v>
      </x:c>
      <x:c r="J165" s="26" t="str">
        <x:v>v0.21 baseline formula; v0.23 disposition</x:v>
      </x:c>
    </x:row>
    <x:row r="166">
      <x:c r="A166" s="26" t="str">
        <x:v>AB_OS_Project_Data_2024</x:v>
      </x:c>
      <x:c r="B166" s="26" t="str">
        <x:v>AE8</x:v>
      </x:c>
      <x:c r="C166" s="26" t="str">
        <x:v>IF(T8&lt;&gt;"NET","N/A",IF(ABS(S8)&lt;=1000,"PASS","REVIEW"))</x:v>
      </x:c>
      <x:c r="D166" s="26" t="str">
        <x:v>1000</x:v>
      </x:c>
      <x:c r="E166" s="26" t="str">
        <x:v>VALIDATION THRESHOLD</x:v>
      </x:c>
      <x:c r="F166" s="26" t="str">
        <x:v>YES</x:v>
      </x:c>
      <x:c r="G166" s="26" t="str">
        <x:v>CENTRALIZED</x:v>
      </x:c>
      <x:c r="H166" s="26" t="str">
        <x:v>P-003</x:v>
      </x:c>
      <x:c r="I166" s="26" t="str">
        <x:v>Internal $1,000 reconciliation tolerance; reviewer approval required</x:v>
      </x:c>
      <x:c r="J166" s="26" t="str">
        <x:v>v0.21 baseline formula; v0.23 disposition</x:v>
      </x:c>
    </x:row>
    <x:row r="167">
      <x:c r="A167" s="26" t="str">
        <x:v>AB_OS_Project_Data_2024</x:v>
      </x:c>
      <x:c r="B167" s="26" t="str">
        <x:v>AF8</x:v>
      </x:c>
      <x:c r="C167" s="26" t="str">
        <x:v>IF(ABS(X8)&lt;=1000,"WITHIN $1K","DISPLAY RATE / ADJUSTMENT")</x:v>
      </x:c>
      <x:c r="D167" s="26" t="str">
        <x:v>1000</x:v>
      </x:c>
      <x:c r="E167" s="26" t="str">
        <x:v>VALIDATION THRESHOLD</x:v>
      </x:c>
      <x:c r="F167" s="26" t="str">
        <x:v>YES</x:v>
      </x:c>
      <x:c r="G167" s="26" t="str">
        <x:v>CENTRALIZED</x:v>
      </x:c>
      <x:c r="H167" s="26" t="str">
        <x:v>P-003</x:v>
      </x:c>
      <x:c r="I167" s="26" t="str">
        <x:v>Internal $1,000 reconciliation tolerance; reviewer approval required</x:v>
      </x:c>
      <x:c r="J167" s="26" t="str">
        <x:v>v0.21 baseline formula; v0.23 disposition</x:v>
      </x:c>
    </x:row>
    <x:row r="168">
      <x:c r="A168" s="26" t="str">
        <x:v>AB_OS_Project_Data_2024</x:v>
      </x:c>
      <x:c r="B168" s="26" t="str">
        <x:v>W9</x:v>
      </x:c>
      <x:c r="C168" s="26" t="str">
        <x:v>IF(T9="NET",Q9*U9/100,G9*U9/100)</x:v>
      </x:c>
      <x:c r="D168" s="26" t="str">
        <x:v>100, 100</x:v>
      </x:c>
      <x:c r="E168" s="26" t="str">
        <x:v>UNIT CONVERSION</x:v>
      </x:c>
      <x:c r="F168" s="26" t="str">
        <x:v>NO</x:v>
      </x:c>
      <x:c r="G168" s="26" t="str">
        <x:v>RETAIN LITERAL</x:v>
      </x:c>
      <x:c r="H168" s="26" t="str">
        <x:v>Percentage divisor</x:v>
      </x:c>
      <x:c r="I168" s="26" t="str">
        <x:v>Divides percentage points by 100</x:v>
      </x:c>
      <x:c r="J168" s="26" t="str">
        <x:v>v0.21 baseline formula; v0.23 disposition</x:v>
      </x:c>
    </x:row>
    <x:row r="169">
      <x:c r="A169" s="26" t="str">
        <x:v>AB_OS_Project_Data_2024</x:v>
      </x:c>
      <x:c r="B169" s="26" t="str">
        <x:v>AD9</x:v>
      </x:c>
      <x:c r="C169" s="26" t="str">
        <x:v>IF(ABS(H9)&lt;=1000,"PASS","REVIEW")</x:v>
      </x:c>
      <x:c r="D169" s="26" t="str">
        <x:v>1000</x:v>
      </x:c>
      <x:c r="E169" s="26" t="str">
        <x:v>VALIDATION THRESHOLD</x:v>
      </x:c>
      <x:c r="F169" s="26" t="str">
        <x:v>YES</x:v>
      </x:c>
      <x:c r="G169" s="26" t="str">
        <x:v>CENTRALIZED</x:v>
      </x:c>
      <x:c r="H169" s="26" t="str">
        <x:v>P-003</x:v>
      </x:c>
      <x:c r="I169" s="26" t="str">
        <x:v>Internal $1,000 reconciliation tolerance; reviewer approval required</x:v>
      </x:c>
      <x:c r="J169" s="26" t="str">
        <x:v>v0.21 baseline formula; v0.23 disposition</x:v>
      </x:c>
    </x:row>
    <x:row r="170">
      <x:c r="A170" s="26" t="str">
        <x:v>AB_OS_Project_Data_2024</x:v>
      </x:c>
      <x:c r="B170" s="26" t="str">
        <x:v>AE9</x:v>
      </x:c>
      <x:c r="C170" s="26" t="str">
        <x:v>IF(T9&lt;&gt;"NET","N/A",IF(ABS(S9)&lt;=1000,"PASS","REVIEW"))</x:v>
      </x:c>
      <x:c r="D170" s="26" t="str">
        <x:v>1000</x:v>
      </x:c>
      <x:c r="E170" s="26" t="str">
        <x:v>VALIDATION THRESHOLD</x:v>
      </x:c>
      <x:c r="F170" s="26" t="str">
        <x:v>YES</x:v>
      </x:c>
      <x:c r="G170" s="26" t="str">
        <x:v>CENTRALIZED</x:v>
      </x:c>
      <x:c r="H170" s="26" t="str">
        <x:v>P-003</x:v>
      </x:c>
      <x:c r="I170" s="26" t="str">
        <x:v>Internal $1,000 reconciliation tolerance; reviewer approval required</x:v>
      </x:c>
      <x:c r="J170" s="26" t="str">
        <x:v>v0.21 baseline formula; v0.23 disposition</x:v>
      </x:c>
    </x:row>
    <x:row r="171">
      <x:c r="A171" s="26" t="str">
        <x:v>AB_OS_Project_Data_2024</x:v>
      </x:c>
      <x:c r="B171" s="26" t="str">
        <x:v>AF9</x:v>
      </x:c>
      <x:c r="C171" s="26" t="str">
        <x:v>IF(ABS(X9)&lt;=1000,"WITHIN $1K","DISPLAY RATE / ADJUSTMENT")</x:v>
      </x:c>
      <x:c r="D171" s="26" t="str">
        <x:v>1000</x:v>
      </x:c>
      <x:c r="E171" s="26" t="str">
        <x:v>VALIDATION THRESHOLD</x:v>
      </x:c>
      <x:c r="F171" s="26" t="str">
        <x:v>YES</x:v>
      </x:c>
      <x:c r="G171" s="26" t="str">
        <x:v>CENTRALIZED</x:v>
      </x:c>
      <x:c r="H171" s="26" t="str">
        <x:v>P-003</x:v>
      </x:c>
      <x:c r="I171" s="26" t="str">
        <x:v>Internal $1,000 reconciliation tolerance; reviewer approval required</x:v>
      </x:c>
      <x:c r="J171" s="26" t="str">
        <x:v>v0.21 baseline formula; v0.23 disposition</x:v>
      </x:c>
    </x:row>
    <x:row r="172">
      <x:c r="A172" s="26" t="str">
        <x:v>AB_OS_Project_Data_2024</x:v>
      </x:c>
      <x:c r="B172" s="26" t="str">
        <x:v>W10</x:v>
      </x:c>
      <x:c r="C172" s="26" t="str">
        <x:v>IF(T10="NET",Q10*U10/100,G10*U10/100)</x:v>
      </x:c>
      <x:c r="D172" s="26" t="str">
        <x:v>100, 100</x:v>
      </x:c>
      <x:c r="E172" s="26" t="str">
        <x:v>UNIT CONVERSION</x:v>
      </x:c>
      <x:c r="F172" s="26" t="str">
        <x:v>NO</x:v>
      </x:c>
      <x:c r="G172" s="26" t="str">
        <x:v>RETAIN LITERAL</x:v>
      </x:c>
      <x:c r="H172" s="26" t="str">
        <x:v>Percentage divisor</x:v>
      </x:c>
      <x:c r="I172" s="26" t="str">
        <x:v>Divides percentage points by 100</x:v>
      </x:c>
      <x:c r="J172" s="26" t="str">
        <x:v>v0.21 baseline formula; v0.23 disposition</x:v>
      </x:c>
    </x:row>
    <x:row r="173">
      <x:c r="A173" s="26" t="str">
        <x:v>AB_OS_Project_Data_2024</x:v>
      </x:c>
      <x:c r="B173" s="26" t="str">
        <x:v>AD10</x:v>
      </x:c>
      <x:c r="C173" s="26" t="str">
        <x:v>IF(ABS(H10)&lt;=1000,"PASS","REVIEW")</x:v>
      </x:c>
      <x:c r="D173" s="26" t="str">
        <x:v>1000</x:v>
      </x:c>
      <x:c r="E173" s="26" t="str">
        <x:v>VALIDATION THRESHOLD</x:v>
      </x:c>
      <x:c r="F173" s="26" t="str">
        <x:v>YES</x:v>
      </x:c>
      <x:c r="G173" s="26" t="str">
        <x:v>CENTRALIZED</x:v>
      </x:c>
      <x:c r="H173" s="26" t="str">
        <x:v>P-003</x:v>
      </x:c>
      <x:c r="I173" s="26" t="str">
        <x:v>Internal $1,000 reconciliation tolerance; reviewer approval required</x:v>
      </x:c>
      <x:c r="J173" s="26" t="str">
        <x:v>v0.21 baseline formula; v0.23 disposition</x:v>
      </x:c>
    </x:row>
    <x:row r="174">
      <x:c r="A174" s="26" t="str">
        <x:v>AB_OS_Project_Data_2024</x:v>
      </x:c>
      <x:c r="B174" s="26" t="str">
        <x:v>AE10</x:v>
      </x:c>
      <x:c r="C174" s="26" t="str">
        <x:v>IF(T10&lt;&gt;"NET","N/A",IF(ABS(S10)&lt;=1000,"PASS","REVIEW"))</x:v>
      </x:c>
      <x:c r="D174" s="26" t="str">
        <x:v>1000</x:v>
      </x:c>
      <x:c r="E174" s="26" t="str">
        <x:v>VALIDATION THRESHOLD</x:v>
      </x:c>
      <x:c r="F174" s="26" t="str">
        <x:v>YES</x:v>
      </x:c>
      <x:c r="G174" s="26" t="str">
        <x:v>CENTRALIZED</x:v>
      </x:c>
      <x:c r="H174" s="26" t="str">
        <x:v>P-003</x:v>
      </x:c>
      <x:c r="I174" s="26" t="str">
        <x:v>Internal $1,000 reconciliation tolerance; reviewer approval required</x:v>
      </x:c>
      <x:c r="J174" s="26" t="str">
        <x:v>v0.21 baseline formula; v0.23 disposition</x:v>
      </x:c>
    </x:row>
    <x:row r="175">
      <x:c r="A175" s="26" t="str">
        <x:v>AB_OS_Project_Data_2024</x:v>
      </x:c>
      <x:c r="B175" s="26" t="str">
        <x:v>AF10</x:v>
      </x:c>
      <x:c r="C175" s="26" t="str">
        <x:v>IF(ABS(X10)&lt;=1000,"WITHIN $1K","DISPLAY RATE / ADJUSTMENT")</x:v>
      </x:c>
      <x:c r="D175" s="26" t="str">
        <x:v>1000</x:v>
      </x:c>
      <x:c r="E175" s="26" t="str">
        <x:v>VALIDATION THRESHOLD</x:v>
      </x:c>
      <x:c r="F175" s="26" t="str">
        <x:v>YES</x:v>
      </x:c>
      <x:c r="G175" s="26" t="str">
        <x:v>CENTRALIZED</x:v>
      </x:c>
      <x:c r="H175" s="26" t="str">
        <x:v>P-003</x:v>
      </x:c>
      <x:c r="I175" s="26" t="str">
        <x:v>Internal $1,000 reconciliation tolerance; reviewer approval required</x:v>
      </x:c>
      <x:c r="J175" s="26" t="str">
        <x:v>v0.21 baseline formula; v0.23 disposition</x:v>
      </x:c>
    </x:row>
    <x:row r="176">
      <x:c r="A176" s="26" t="str">
        <x:v>AB_OS_Project_Data_2024</x:v>
      </x:c>
      <x:c r="B176" s="26" t="str">
        <x:v>W11</x:v>
      </x:c>
      <x:c r="C176" s="26" t="str">
        <x:v>IF(T11="NET",Q11*U11/100,G11*U11/100)</x:v>
      </x:c>
      <x:c r="D176" s="26" t="str">
        <x:v>100, 100</x:v>
      </x:c>
      <x:c r="E176" s="26" t="str">
        <x:v>UNIT CONVERSION</x:v>
      </x:c>
      <x:c r="F176" s="26" t="str">
        <x:v>NO</x:v>
      </x:c>
      <x:c r="G176" s="26" t="str">
        <x:v>RETAIN LITERAL</x:v>
      </x:c>
      <x:c r="H176" s="26" t="str">
        <x:v>Percentage divisor</x:v>
      </x:c>
      <x:c r="I176" s="26" t="str">
        <x:v>Divides percentage points by 100</x:v>
      </x:c>
      <x:c r="J176" s="26" t="str">
        <x:v>v0.21 baseline formula; v0.23 disposition</x:v>
      </x:c>
    </x:row>
    <x:row r="177">
      <x:c r="A177" s="26" t="str">
        <x:v>AB_OS_Project_Data_2024</x:v>
      </x:c>
      <x:c r="B177" s="26" t="str">
        <x:v>AD11</x:v>
      </x:c>
      <x:c r="C177" s="26" t="str">
        <x:v>IF(ABS(H11)&lt;=1000,"PASS","REVIEW")</x:v>
      </x:c>
      <x:c r="D177" s="26" t="str">
        <x:v>1000</x:v>
      </x:c>
      <x:c r="E177" s="26" t="str">
        <x:v>VALIDATION THRESHOLD</x:v>
      </x:c>
      <x:c r="F177" s="26" t="str">
        <x:v>YES</x:v>
      </x:c>
      <x:c r="G177" s="26" t="str">
        <x:v>CENTRALIZED</x:v>
      </x:c>
      <x:c r="H177" s="26" t="str">
        <x:v>P-003</x:v>
      </x:c>
      <x:c r="I177" s="26" t="str">
        <x:v>Internal $1,000 reconciliation tolerance; reviewer approval required</x:v>
      </x:c>
      <x:c r="J177" s="26" t="str">
        <x:v>v0.21 baseline formula; v0.23 disposition</x:v>
      </x:c>
    </x:row>
    <x:row r="178">
      <x:c r="A178" s="26" t="str">
        <x:v>AB_OS_Project_Data_2024</x:v>
      </x:c>
      <x:c r="B178" s="26" t="str">
        <x:v>AE11</x:v>
      </x:c>
      <x:c r="C178" s="26" t="str">
        <x:v>IF(T11&lt;&gt;"NET","N/A",IF(ABS(S11)&lt;=1000,"PASS","REVIEW"))</x:v>
      </x:c>
      <x:c r="D178" s="26" t="str">
        <x:v>1000</x:v>
      </x:c>
      <x:c r="E178" s="26" t="str">
        <x:v>VALIDATION THRESHOLD</x:v>
      </x:c>
      <x:c r="F178" s="26" t="str">
        <x:v>YES</x:v>
      </x:c>
      <x:c r="G178" s="26" t="str">
        <x:v>CENTRALIZED</x:v>
      </x:c>
      <x:c r="H178" s="26" t="str">
        <x:v>P-003</x:v>
      </x:c>
      <x:c r="I178" s="26" t="str">
        <x:v>Internal $1,000 reconciliation tolerance; reviewer approval required</x:v>
      </x:c>
      <x:c r="J178" s="26" t="str">
        <x:v>v0.21 baseline formula; v0.23 disposition</x:v>
      </x:c>
    </x:row>
    <x:row r="179">
      <x:c r="A179" s="26" t="str">
        <x:v>AB_OS_Project_Data_2024</x:v>
      </x:c>
      <x:c r="B179" s="26" t="str">
        <x:v>AF11</x:v>
      </x:c>
      <x:c r="C179" s="26" t="str">
        <x:v>IF(ABS(X11)&lt;=1000,"WITHIN $1K","DISPLAY RATE / ADJUSTMENT")</x:v>
      </x:c>
      <x:c r="D179" s="26" t="str">
        <x:v>1000</x:v>
      </x:c>
      <x:c r="E179" s="26" t="str">
        <x:v>VALIDATION THRESHOLD</x:v>
      </x:c>
      <x:c r="F179" s="26" t="str">
        <x:v>YES</x:v>
      </x:c>
      <x:c r="G179" s="26" t="str">
        <x:v>CENTRALIZED</x:v>
      </x:c>
      <x:c r="H179" s="26" t="str">
        <x:v>P-003</x:v>
      </x:c>
      <x:c r="I179" s="26" t="str">
        <x:v>Internal $1,000 reconciliation tolerance; reviewer approval required</x:v>
      </x:c>
      <x:c r="J179" s="26" t="str">
        <x:v>v0.21 baseline formula; v0.23 disposition</x:v>
      </x:c>
    </x:row>
    <x:row r="180">
      <x:c r="A180" s="26" t="str">
        <x:v>AB_OS_Project_Data_2024</x:v>
      </x:c>
      <x:c r="B180" s="26" t="str">
        <x:v>W12</x:v>
      </x:c>
      <x:c r="C180" s="26" t="str">
        <x:v>IF(T12="NET",Q12*U12/100,G12*U12/100)</x:v>
      </x:c>
      <x:c r="D180" s="26" t="str">
        <x:v>100, 100</x:v>
      </x:c>
      <x:c r="E180" s="26" t="str">
        <x:v>UNIT CONVERSION</x:v>
      </x:c>
      <x:c r="F180" s="26" t="str">
        <x:v>NO</x:v>
      </x:c>
      <x:c r="G180" s="26" t="str">
        <x:v>RETAIN LITERAL</x:v>
      </x:c>
      <x:c r="H180" s="26" t="str">
        <x:v>Percentage divisor</x:v>
      </x:c>
      <x:c r="I180" s="26" t="str">
        <x:v>Divides percentage points by 100</x:v>
      </x:c>
      <x:c r="J180" s="26" t="str">
        <x:v>v0.21 baseline formula; v0.23 disposition</x:v>
      </x:c>
    </x:row>
    <x:row r="181">
      <x:c r="A181" s="26" t="str">
        <x:v>AB_OS_Project_Data_2024</x:v>
      </x:c>
      <x:c r="B181" s="26" t="str">
        <x:v>AD12</x:v>
      </x:c>
      <x:c r="C181" s="26" t="str">
        <x:v>IF(ABS(H12)&lt;=1000,"PASS","REVIEW")</x:v>
      </x:c>
      <x:c r="D181" s="26" t="str">
        <x:v>1000</x:v>
      </x:c>
      <x:c r="E181" s="26" t="str">
        <x:v>VALIDATION THRESHOLD</x:v>
      </x:c>
      <x:c r="F181" s="26" t="str">
        <x:v>YES</x:v>
      </x:c>
      <x:c r="G181" s="26" t="str">
        <x:v>CENTRALIZED</x:v>
      </x:c>
      <x:c r="H181" s="26" t="str">
        <x:v>P-003</x:v>
      </x:c>
      <x:c r="I181" s="26" t="str">
        <x:v>Internal $1,000 reconciliation tolerance; reviewer approval required</x:v>
      </x:c>
      <x:c r="J181" s="26" t="str">
        <x:v>v0.21 baseline formula; v0.23 disposition</x:v>
      </x:c>
    </x:row>
    <x:row r="182">
      <x:c r="A182" s="26" t="str">
        <x:v>AB_OS_Project_Data_2024</x:v>
      </x:c>
      <x:c r="B182" s="26" t="str">
        <x:v>AE12</x:v>
      </x:c>
      <x:c r="C182" s="26" t="str">
        <x:v>IF(T12&lt;&gt;"NET","N/A",IF(ABS(S12)&lt;=1000,"PASS","REVIEW"))</x:v>
      </x:c>
      <x:c r="D182" s="26" t="str">
        <x:v>1000</x:v>
      </x:c>
      <x:c r="E182" s="26" t="str">
        <x:v>VALIDATION THRESHOLD</x:v>
      </x:c>
      <x:c r="F182" s="26" t="str">
        <x:v>YES</x:v>
      </x:c>
      <x:c r="G182" s="26" t="str">
        <x:v>CENTRALIZED</x:v>
      </x:c>
      <x:c r="H182" s="26" t="str">
        <x:v>P-003</x:v>
      </x:c>
      <x:c r="I182" s="26" t="str">
        <x:v>Internal $1,000 reconciliation tolerance; reviewer approval required</x:v>
      </x:c>
      <x:c r="J182" s="26" t="str">
        <x:v>v0.21 baseline formula; v0.23 disposition</x:v>
      </x:c>
    </x:row>
    <x:row r="183">
      <x:c r="A183" s="26" t="str">
        <x:v>AB_OS_Project_Data_2024</x:v>
      </x:c>
      <x:c r="B183" s="26" t="str">
        <x:v>AF12</x:v>
      </x:c>
      <x:c r="C183" s="26" t="str">
        <x:v>IF(ABS(X12)&lt;=1000,"WITHIN $1K","DISPLAY RATE / ADJUSTMENT")</x:v>
      </x:c>
      <x:c r="D183" s="26" t="str">
        <x:v>1000</x:v>
      </x:c>
      <x:c r="E183" s="26" t="str">
        <x:v>VALIDATION THRESHOLD</x:v>
      </x:c>
      <x:c r="F183" s="26" t="str">
        <x:v>YES</x:v>
      </x:c>
      <x:c r="G183" s="26" t="str">
        <x:v>CENTRALIZED</x:v>
      </x:c>
      <x:c r="H183" s="26" t="str">
        <x:v>P-003</x:v>
      </x:c>
      <x:c r="I183" s="26" t="str">
        <x:v>Internal $1,000 reconciliation tolerance; reviewer approval required</x:v>
      </x:c>
      <x:c r="J183" s="26" t="str">
        <x:v>v0.21 baseline formula; v0.23 disposition</x:v>
      </x:c>
    </x:row>
    <x:row r="184">
      <x:c r="A184" s="26" t="str">
        <x:v>AB_OS_Project_Data_2024</x:v>
      </x:c>
      <x:c r="B184" s="26" t="str">
        <x:v>W13</x:v>
      </x:c>
      <x:c r="C184" s="26" t="str">
        <x:v>IF(T13="NET",Q13*U13/100,G13*U13/100)</x:v>
      </x:c>
      <x:c r="D184" s="26" t="str">
        <x:v>100, 100</x:v>
      </x:c>
      <x:c r="E184" s="26" t="str">
        <x:v>UNIT CONVERSION</x:v>
      </x:c>
      <x:c r="F184" s="26" t="str">
        <x:v>NO</x:v>
      </x:c>
      <x:c r="G184" s="26" t="str">
        <x:v>RETAIN LITERAL</x:v>
      </x:c>
      <x:c r="H184" s="26" t="str">
        <x:v>Percentage divisor</x:v>
      </x:c>
      <x:c r="I184" s="26" t="str">
        <x:v>Divides percentage points by 100</x:v>
      </x:c>
      <x:c r="J184" s="26" t="str">
        <x:v>v0.21 baseline formula; v0.23 disposition</x:v>
      </x:c>
    </x:row>
    <x:row r="185">
      <x:c r="A185" s="26" t="str">
        <x:v>AB_OS_Project_Data_2024</x:v>
      </x:c>
      <x:c r="B185" s="26" t="str">
        <x:v>AD13</x:v>
      </x:c>
      <x:c r="C185" s="26" t="str">
        <x:v>IF(ABS(H13)&lt;=1000,"PASS","REVIEW")</x:v>
      </x:c>
      <x:c r="D185" s="26" t="str">
        <x:v>1000</x:v>
      </x:c>
      <x:c r="E185" s="26" t="str">
        <x:v>VALIDATION THRESHOLD</x:v>
      </x:c>
      <x:c r="F185" s="26" t="str">
        <x:v>YES</x:v>
      </x:c>
      <x:c r="G185" s="26" t="str">
        <x:v>CENTRALIZED</x:v>
      </x:c>
      <x:c r="H185" s="26" t="str">
        <x:v>P-003</x:v>
      </x:c>
      <x:c r="I185" s="26" t="str">
        <x:v>Internal $1,000 reconciliation tolerance; reviewer approval required</x:v>
      </x:c>
      <x:c r="J185" s="26" t="str">
        <x:v>v0.21 baseline formula; v0.23 disposition</x:v>
      </x:c>
    </x:row>
    <x:row r="186">
      <x:c r="A186" s="26" t="str">
        <x:v>AB_OS_Project_Data_2024</x:v>
      </x:c>
      <x:c r="B186" s="26" t="str">
        <x:v>AE13</x:v>
      </x:c>
      <x:c r="C186" s="26" t="str">
        <x:v>IF(T13&lt;&gt;"NET","N/A",IF(ABS(S13)&lt;=1000,"PASS","REVIEW"))</x:v>
      </x:c>
      <x:c r="D186" s="26" t="str">
        <x:v>1000</x:v>
      </x:c>
      <x:c r="E186" s="26" t="str">
        <x:v>VALIDATION THRESHOLD</x:v>
      </x:c>
      <x:c r="F186" s="26" t="str">
        <x:v>YES</x:v>
      </x:c>
      <x:c r="G186" s="26" t="str">
        <x:v>CENTRALIZED</x:v>
      </x:c>
      <x:c r="H186" s="26" t="str">
        <x:v>P-003</x:v>
      </x:c>
      <x:c r="I186" s="26" t="str">
        <x:v>Internal $1,000 reconciliation tolerance; reviewer approval required</x:v>
      </x:c>
      <x:c r="J186" s="26" t="str">
        <x:v>v0.21 baseline formula; v0.23 disposition</x:v>
      </x:c>
    </x:row>
    <x:row r="187">
      <x:c r="A187" s="26" t="str">
        <x:v>AB_OS_Project_Data_2024</x:v>
      </x:c>
      <x:c r="B187" s="26" t="str">
        <x:v>AF13</x:v>
      </x:c>
      <x:c r="C187" s="26" t="str">
        <x:v>IF(ABS(X13)&lt;=1000,"WITHIN $1K","DISPLAY RATE / ADJUSTMENT")</x:v>
      </x:c>
      <x:c r="D187" s="26" t="str">
        <x:v>1000</x:v>
      </x:c>
      <x:c r="E187" s="26" t="str">
        <x:v>VALIDATION THRESHOLD</x:v>
      </x:c>
      <x:c r="F187" s="26" t="str">
        <x:v>YES</x:v>
      </x:c>
      <x:c r="G187" s="26" t="str">
        <x:v>CENTRALIZED</x:v>
      </x:c>
      <x:c r="H187" s="26" t="str">
        <x:v>P-003</x:v>
      </x:c>
      <x:c r="I187" s="26" t="str">
        <x:v>Internal $1,000 reconciliation tolerance; reviewer approval required</x:v>
      </x:c>
      <x:c r="J187" s="26" t="str">
        <x:v>v0.21 baseline formula; v0.23 disposition</x:v>
      </x:c>
    </x:row>
    <x:row r="188">
      <x:c r="A188" s="26" t="str">
        <x:v>AB_OS_Project_Data_2024</x:v>
      </x:c>
      <x:c r="B188" s="26" t="str">
        <x:v>W14</x:v>
      </x:c>
      <x:c r="C188" s="26" t="str">
        <x:v>IF(T14="NET",Q14*U14/100,G14*U14/100)</x:v>
      </x:c>
      <x:c r="D188" s="26" t="str">
        <x:v>100, 100</x:v>
      </x:c>
      <x:c r="E188" s="26" t="str">
        <x:v>UNIT CONVERSION</x:v>
      </x:c>
      <x:c r="F188" s="26" t="str">
        <x:v>NO</x:v>
      </x:c>
      <x:c r="G188" s="26" t="str">
        <x:v>RETAIN LITERAL</x:v>
      </x:c>
      <x:c r="H188" s="26" t="str">
        <x:v>Percentage divisor</x:v>
      </x:c>
      <x:c r="I188" s="26" t="str">
        <x:v>Divides percentage points by 100</x:v>
      </x:c>
      <x:c r="J188" s="26" t="str">
        <x:v>v0.21 baseline formula; v0.23 disposition</x:v>
      </x:c>
    </x:row>
    <x:row r="189">
      <x:c r="A189" s="26" t="str">
        <x:v>AB_OS_Project_Data_2024</x:v>
      </x:c>
      <x:c r="B189" s="26" t="str">
        <x:v>AD14</x:v>
      </x:c>
      <x:c r="C189" s="26" t="str">
        <x:v>IF(ABS(H14)&lt;=1000,"PASS","REVIEW")</x:v>
      </x:c>
      <x:c r="D189" s="26" t="str">
        <x:v>1000</x:v>
      </x:c>
      <x:c r="E189" s="26" t="str">
        <x:v>VALIDATION THRESHOLD</x:v>
      </x:c>
      <x:c r="F189" s="26" t="str">
        <x:v>YES</x:v>
      </x:c>
      <x:c r="G189" s="26" t="str">
        <x:v>CENTRALIZED</x:v>
      </x:c>
      <x:c r="H189" s="26" t="str">
        <x:v>P-003</x:v>
      </x:c>
      <x:c r="I189" s="26" t="str">
        <x:v>Internal $1,000 reconciliation tolerance; reviewer approval required</x:v>
      </x:c>
      <x:c r="J189" s="26" t="str">
        <x:v>v0.21 baseline formula; v0.23 disposition</x:v>
      </x:c>
    </x:row>
    <x:row r="190">
      <x:c r="A190" s="26" t="str">
        <x:v>AB_OS_Project_Data_2024</x:v>
      </x:c>
      <x:c r="B190" s="26" t="str">
        <x:v>AE14</x:v>
      </x:c>
      <x:c r="C190" s="26" t="str">
        <x:v>IF(T14&lt;&gt;"NET","N/A",IF(ABS(S14)&lt;=1000,"PASS","REVIEW"))</x:v>
      </x:c>
      <x:c r="D190" s="26" t="str">
        <x:v>1000</x:v>
      </x:c>
      <x:c r="E190" s="26" t="str">
        <x:v>VALIDATION THRESHOLD</x:v>
      </x:c>
      <x:c r="F190" s="26" t="str">
        <x:v>YES</x:v>
      </x:c>
      <x:c r="G190" s="26" t="str">
        <x:v>CENTRALIZED</x:v>
      </x:c>
      <x:c r="H190" s="26" t="str">
        <x:v>P-003</x:v>
      </x:c>
      <x:c r="I190" s="26" t="str">
        <x:v>Internal $1,000 reconciliation tolerance; reviewer approval required</x:v>
      </x:c>
      <x:c r="J190" s="26" t="str">
        <x:v>v0.21 baseline formula; v0.23 disposition</x:v>
      </x:c>
    </x:row>
    <x:row r="191">
      <x:c r="A191" s="26" t="str">
        <x:v>AB_OS_Project_Data_2024</x:v>
      </x:c>
      <x:c r="B191" s="26" t="str">
        <x:v>AF14</x:v>
      </x:c>
      <x:c r="C191" s="26" t="str">
        <x:v>IF(ABS(X14)&lt;=1000,"WITHIN $1K","DISPLAY RATE / ADJUSTMENT")</x:v>
      </x:c>
      <x:c r="D191" s="26" t="str">
        <x:v>1000</x:v>
      </x:c>
      <x:c r="E191" s="26" t="str">
        <x:v>VALIDATION THRESHOLD</x:v>
      </x:c>
      <x:c r="F191" s="26" t="str">
        <x:v>YES</x:v>
      </x:c>
      <x:c r="G191" s="26" t="str">
        <x:v>CENTRALIZED</x:v>
      </x:c>
      <x:c r="H191" s="26" t="str">
        <x:v>P-003</x:v>
      </x:c>
      <x:c r="I191" s="26" t="str">
        <x:v>Internal $1,000 reconciliation tolerance; reviewer approval required</x:v>
      </x:c>
      <x:c r="J191" s="26" t="str">
        <x:v>v0.21 baseline formula; v0.23 disposition</x:v>
      </x:c>
    </x:row>
    <x:row r="192">
      <x:c r="A192" s="26" t="str">
        <x:v>AB_OS_Project_Data_2024</x:v>
      </x:c>
      <x:c r="B192" s="26" t="str">
        <x:v>W15</x:v>
      </x:c>
      <x:c r="C192" s="26" t="str">
        <x:v>IF(T15="NET",Q15*U15/100,G15*U15/100)</x:v>
      </x:c>
      <x:c r="D192" s="26" t="str">
        <x:v>100, 100</x:v>
      </x:c>
      <x:c r="E192" s="26" t="str">
        <x:v>UNIT CONVERSION</x:v>
      </x:c>
      <x:c r="F192" s="26" t="str">
        <x:v>NO</x:v>
      </x:c>
      <x:c r="G192" s="26" t="str">
        <x:v>RETAIN LITERAL</x:v>
      </x:c>
      <x:c r="H192" s="26" t="str">
        <x:v>Percentage divisor</x:v>
      </x:c>
      <x:c r="I192" s="26" t="str">
        <x:v>Divides percentage points by 100</x:v>
      </x:c>
      <x:c r="J192" s="26" t="str">
        <x:v>v0.21 baseline formula; v0.23 disposition</x:v>
      </x:c>
    </x:row>
    <x:row r="193">
      <x:c r="A193" s="26" t="str">
        <x:v>AB_OS_Project_Data_2024</x:v>
      </x:c>
      <x:c r="B193" s="26" t="str">
        <x:v>AD15</x:v>
      </x:c>
      <x:c r="C193" s="26" t="str">
        <x:v>IF(ABS(H15)&lt;=1000,"PASS","REVIEW")</x:v>
      </x:c>
      <x:c r="D193" s="26" t="str">
        <x:v>1000</x:v>
      </x:c>
      <x:c r="E193" s="26" t="str">
        <x:v>VALIDATION THRESHOLD</x:v>
      </x:c>
      <x:c r="F193" s="26" t="str">
        <x:v>YES</x:v>
      </x:c>
      <x:c r="G193" s="26" t="str">
        <x:v>CENTRALIZED</x:v>
      </x:c>
      <x:c r="H193" s="26" t="str">
        <x:v>P-003</x:v>
      </x:c>
      <x:c r="I193" s="26" t="str">
        <x:v>Internal $1,000 reconciliation tolerance; reviewer approval required</x:v>
      </x:c>
      <x:c r="J193" s="26" t="str">
        <x:v>v0.21 baseline formula; v0.23 disposition</x:v>
      </x:c>
    </x:row>
    <x:row r="194">
      <x:c r="A194" s="26" t="str">
        <x:v>AB_OS_Project_Data_2024</x:v>
      </x:c>
      <x:c r="B194" s="26" t="str">
        <x:v>AE15</x:v>
      </x:c>
      <x:c r="C194" s="26" t="str">
        <x:v>IF(T15&lt;&gt;"NET","N/A",IF(ABS(S15)&lt;=1000,"PASS","REVIEW"))</x:v>
      </x:c>
      <x:c r="D194" s="26" t="str">
        <x:v>1000</x:v>
      </x:c>
      <x:c r="E194" s="26" t="str">
        <x:v>VALIDATION THRESHOLD</x:v>
      </x:c>
      <x:c r="F194" s="26" t="str">
        <x:v>YES</x:v>
      </x:c>
      <x:c r="G194" s="26" t="str">
        <x:v>CENTRALIZED</x:v>
      </x:c>
      <x:c r="H194" s="26" t="str">
        <x:v>P-003</x:v>
      </x:c>
      <x:c r="I194" s="26" t="str">
        <x:v>Internal $1,000 reconciliation tolerance; reviewer approval required</x:v>
      </x:c>
      <x:c r="J194" s="26" t="str">
        <x:v>v0.21 baseline formula; v0.23 disposition</x:v>
      </x:c>
    </x:row>
    <x:row r="195">
      <x:c r="A195" s="26" t="str">
        <x:v>AB_OS_Project_Data_2024</x:v>
      </x:c>
      <x:c r="B195" s="26" t="str">
        <x:v>AF15</x:v>
      </x:c>
      <x:c r="C195" s="26" t="str">
        <x:v>IF(ABS(X15)&lt;=1000,"WITHIN $1K","DISPLAY RATE / ADJUSTMENT")</x:v>
      </x:c>
      <x:c r="D195" s="26" t="str">
        <x:v>1000</x:v>
      </x:c>
      <x:c r="E195" s="26" t="str">
        <x:v>VALIDATION THRESHOLD</x:v>
      </x:c>
      <x:c r="F195" s="26" t="str">
        <x:v>YES</x:v>
      </x:c>
      <x:c r="G195" s="26" t="str">
        <x:v>CENTRALIZED</x:v>
      </x:c>
      <x:c r="H195" s="26" t="str">
        <x:v>P-003</x:v>
      </x:c>
      <x:c r="I195" s="26" t="str">
        <x:v>Internal $1,000 reconciliation tolerance; reviewer approval required</x:v>
      </x:c>
      <x:c r="J195" s="26" t="str">
        <x:v>v0.21 baseline formula; v0.23 disposition</x:v>
      </x:c>
    </x:row>
    <x:row r="196">
      <x:c r="A196" s="26" t="str">
        <x:v>AB_OS_Project_Data_2024</x:v>
      </x:c>
      <x:c r="B196" s="26" t="str">
        <x:v>W16</x:v>
      </x:c>
      <x:c r="C196" s="26" t="str">
        <x:v>IF(T16="NET",Q16*U16/100,G16*U16/100)</x:v>
      </x:c>
      <x:c r="D196" s="26" t="str">
        <x:v>100, 100</x:v>
      </x:c>
      <x:c r="E196" s="26" t="str">
        <x:v>UNIT CONVERSION</x:v>
      </x:c>
      <x:c r="F196" s="26" t="str">
        <x:v>NO</x:v>
      </x:c>
      <x:c r="G196" s="26" t="str">
        <x:v>RETAIN LITERAL</x:v>
      </x:c>
      <x:c r="H196" s="26" t="str">
        <x:v>Percentage divisor</x:v>
      </x:c>
      <x:c r="I196" s="26" t="str">
        <x:v>Divides percentage points by 100</x:v>
      </x:c>
      <x:c r="J196" s="26" t="str">
        <x:v>v0.21 baseline formula; v0.23 disposition</x:v>
      </x:c>
    </x:row>
    <x:row r="197">
      <x:c r="A197" s="26" t="str">
        <x:v>AB_OS_Project_Data_2024</x:v>
      </x:c>
      <x:c r="B197" s="26" t="str">
        <x:v>AD16</x:v>
      </x:c>
      <x:c r="C197" s="26" t="str">
        <x:v>IF(ABS(H16)&lt;=1000,"PASS","REVIEW")</x:v>
      </x:c>
      <x:c r="D197" s="26" t="str">
        <x:v>1000</x:v>
      </x:c>
      <x:c r="E197" s="26" t="str">
        <x:v>VALIDATION THRESHOLD</x:v>
      </x:c>
      <x:c r="F197" s="26" t="str">
        <x:v>YES</x:v>
      </x:c>
      <x:c r="G197" s="26" t="str">
        <x:v>CENTRALIZED</x:v>
      </x:c>
      <x:c r="H197" s="26" t="str">
        <x:v>P-003</x:v>
      </x:c>
      <x:c r="I197" s="26" t="str">
        <x:v>Internal $1,000 reconciliation tolerance; reviewer approval required</x:v>
      </x:c>
      <x:c r="J197" s="26" t="str">
        <x:v>v0.21 baseline formula; v0.23 disposition</x:v>
      </x:c>
    </x:row>
    <x:row r="198">
      <x:c r="A198" s="26" t="str">
        <x:v>AB_OS_Project_Data_2024</x:v>
      </x:c>
      <x:c r="B198" s="26" t="str">
        <x:v>AE16</x:v>
      </x:c>
      <x:c r="C198" s="26" t="str">
        <x:v>IF(T16&lt;&gt;"NET","N/A",IF(ABS(S16)&lt;=1000,"PASS","REVIEW"))</x:v>
      </x:c>
      <x:c r="D198" s="26" t="str">
        <x:v>1000</x:v>
      </x:c>
      <x:c r="E198" s="26" t="str">
        <x:v>VALIDATION THRESHOLD</x:v>
      </x:c>
      <x:c r="F198" s="26" t="str">
        <x:v>YES</x:v>
      </x:c>
      <x:c r="G198" s="26" t="str">
        <x:v>CENTRALIZED</x:v>
      </x:c>
      <x:c r="H198" s="26" t="str">
        <x:v>P-003</x:v>
      </x:c>
      <x:c r="I198" s="26" t="str">
        <x:v>Internal $1,000 reconciliation tolerance; reviewer approval required</x:v>
      </x:c>
      <x:c r="J198" s="26" t="str">
        <x:v>v0.21 baseline formula; v0.23 disposition</x:v>
      </x:c>
    </x:row>
    <x:row r="199">
      <x:c r="A199" s="26" t="str">
        <x:v>AB_OS_Project_Data_2024</x:v>
      </x:c>
      <x:c r="B199" s="26" t="str">
        <x:v>AF16</x:v>
      </x:c>
      <x:c r="C199" s="26" t="str">
        <x:v>IF(ABS(X16)&lt;=1000,"WITHIN $1K","DISPLAY RATE / ADJUSTMENT")</x:v>
      </x:c>
      <x:c r="D199" s="26" t="str">
        <x:v>1000</x:v>
      </x:c>
      <x:c r="E199" s="26" t="str">
        <x:v>VALIDATION THRESHOLD</x:v>
      </x:c>
      <x:c r="F199" s="26" t="str">
        <x:v>YES</x:v>
      </x:c>
      <x:c r="G199" s="26" t="str">
        <x:v>CENTRALIZED</x:v>
      </x:c>
      <x:c r="H199" s="26" t="str">
        <x:v>P-003</x:v>
      </x:c>
      <x:c r="I199" s="26" t="str">
        <x:v>Internal $1,000 reconciliation tolerance; reviewer approval required</x:v>
      </x:c>
      <x:c r="J199" s="26" t="str">
        <x:v>v0.21 baseline formula; v0.23 disposition</x:v>
      </x:c>
    </x:row>
    <x:row r="200">
      <x:c r="A200" s="26" t="str">
        <x:v>AB_OS_Project_Data_2024</x:v>
      </x:c>
      <x:c r="B200" s="26" t="str">
        <x:v>W17</x:v>
      </x:c>
      <x:c r="C200" s="26" t="str">
        <x:v>IF(T17="NET",Q17*U17/100,G17*U17/100)</x:v>
      </x:c>
      <x:c r="D200" s="26" t="str">
        <x:v>100, 100</x:v>
      </x:c>
      <x:c r="E200" s="26" t="str">
        <x:v>UNIT CONVERSION</x:v>
      </x:c>
      <x:c r="F200" s="26" t="str">
        <x:v>NO</x:v>
      </x:c>
      <x:c r="G200" s="26" t="str">
        <x:v>RETAIN LITERAL</x:v>
      </x:c>
      <x:c r="H200" s="26" t="str">
        <x:v>Percentage divisor</x:v>
      </x:c>
      <x:c r="I200" s="26" t="str">
        <x:v>Divides percentage points by 100</x:v>
      </x:c>
      <x:c r="J200" s="26" t="str">
        <x:v>v0.21 baseline formula; v0.23 disposition</x:v>
      </x:c>
    </x:row>
    <x:row r="201">
      <x:c r="A201" s="26" t="str">
        <x:v>AB_OS_Project_Data_2024</x:v>
      </x:c>
      <x:c r="B201" s="26" t="str">
        <x:v>AD17</x:v>
      </x:c>
      <x:c r="C201" s="26" t="str">
        <x:v>IF(ABS(H17)&lt;=1000,"PASS","REVIEW")</x:v>
      </x:c>
      <x:c r="D201" s="26" t="str">
        <x:v>1000</x:v>
      </x:c>
      <x:c r="E201" s="26" t="str">
        <x:v>VALIDATION THRESHOLD</x:v>
      </x:c>
      <x:c r="F201" s="26" t="str">
        <x:v>YES</x:v>
      </x:c>
      <x:c r="G201" s="26" t="str">
        <x:v>CENTRALIZED</x:v>
      </x:c>
      <x:c r="H201" s="26" t="str">
        <x:v>P-003</x:v>
      </x:c>
      <x:c r="I201" s="26" t="str">
        <x:v>Internal $1,000 reconciliation tolerance; reviewer approval required</x:v>
      </x:c>
      <x:c r="J201" s="26" t="str">
        <x:v>v0.21 baseline formula; v0.23 disposition</x:v>
      </x:c>
    </x:row>
    <x:row r="202">
      <x:c r="A202" s="26" t="str">
        <x:v>AB_OS_Project_Data_2024</x:v>
      </x:c>
      <x:c r="B202" s="26" t="str">
        <x:v>AE17</x:v>
      </x:c>
      <x:c r="C202" s="26" t="str">
        <x:v>IF(T17&lt;&gt;"NET","N/A",IF(ABS(S17)&lt;=1000,"PASS","REVIEW"))</x:v>
      </x:c>
      <x:c r="D202" s="26" t="str">
        <x:v>1000</x:v>
      </x:c>
      <x:c r="E202" s="26" t="str">
        <x:v>VALIDATION THRESHOLD</x:v>
      </x:c>
      <x:c r="F202" s="26" t="str">
        <x:v>YES</x:v>
      </x:c>
      <x:c r="G202" s="26" t="str">
        <x:v>CENTRALIZED</x:v>
      </x:c>
      <x:c r="H202" s="26" t="str">
        <x:v>P-003</x:v>
      </x:c>
      <x:c r="I202" s="26" t="str">
        <x:v>Internal $1,000 reconciliation tolerance; reviewer approval required</x:v>
      </x:c>
      <x:c r="J202" s="26" t="str">
        <x:v>v0.21 baseline formula; v0.23 disposition</x:v>
      </x:c>
    </x:row>
    <x:row r="203">
      <x:c r="A203" s="26" t="str">
        <x:v>AB_OS_Project_Data_2024</x:v>
      </x:c>
      <x:c r="B203" s="26" t="str">
        <x:v>AF17</x:v>
      </x:c>
      <x:c r="C203" s="26" t="str">
        <x:v>IF(ABS(X17)&lt;=1000,"WITHIN $1K","DISPLAY RATE / ADJUSTMENT")</x:v>
      </x:c>
      <x:c r="D203" s="26" t="str">
        <x:v>1000</x:v>
      </x:c>
      <x:c r="E203" s="26" t="str">
        <x:v>VALIDATION THRESHOLD</x:v>
      </x:c>
      <x:c r="F203" s="26" t="str">
        <x:v>YES</x:v>
      </x:c>
      <x:c r="G203" s="26" t="str">
        <x:v>CENTRALIZED</x:v>
      </x:c>
      <x:c r="H203" s="26" t="str">
        <x:v>P-003</x:v>
      </x:c>
      <x:c r="I203" s="26" t="str">
        <x:v>Internal $1,000 reconciliation tolerance; reviewer approval required</x:v>
      </x:c>
      <x:c r="J203" s="26" t="str">
        <x:v>v0.21 baseline formula; v0.23 disposition</x:v>
      </x:c>
    </x:row>
    <x:row r="204">
      <x:c r="A204" s="26" t="str">
        <x:v>AB_OS_Project_Data_2024</x:v>
      </x:c>
      <x:c r="B204" s="26" t="str">
        <x:v>W18</x:v>
      </x:c>
      <x:c r="C204" s="26" t="str">
        <x:v>IF(T18="NET",Q18*U18/100,G18*U18/100)</x:v>
      </x:c>
      <x:c r="D204" s="26" t="str">
        <x:v>100, 100</x:v>
      </x:c>
      <x:c r="E204" s="26" t="str">
        <x:v>UNIT CONVERSION</x:v>
      </x:c>
      <x:c r="F204" s="26" t="str">
        <x:v>NO</x:v>
      </x:c>
      <x:c r="G204" s="26" t="str">
        <x:v>RETAIN LITERAL</x:v>
      </x:c>
      <x:c r="H204" s="26" t="str">
        <x:v>Percentage divisor</x:v>
      </x:c>
      <x:c r="I204" s="26" t="str">
        <x:v>Divides percentage points by 100</x:v>
      </x:c>
      <x:c r="J204" s="26" t="str">
        <x:v>v0.21 baseline formula; v0.23 disposition</x:v>
      </x:c>
    </x:row>
    <x:row r="205">
      <x:c r="A205" s="26" t="str">
        <x:v>AB_OS_Project_Data_2024</x:v>
      </x:c>
      <x:c r="B205" s="26" t="str">
        <x:v>AD18</x:v>
      </x:c>
      <x:c r="C205" s="26" t="str">
        <x:v>IF(ABS(H18)&lt;=1000,"PASS","REVIEW")</x:v>
      </x:c>
      <x:c r="D205" s="26" t="str">
        <x:v>1000</x:v>
      </x:c>
      <x:c r="E205" s="26" t="str">
        <x:v>VALIDATION THRESHOLD</x:v>
      </x:c>
      <x:c r="F205" s="26" t="str">
        <x:v>YES</x:v>
      </x:c>
      <x:c r="G205" s="26" t="str">
        <x:v>CENTRALIZED</x:v>
      </x:c>
      <x:c r="H205" s="26" t="str">
        <x:v>P-003</x:v>
      </x:c>
      <x:c r="I205" s="26" t="str">
        <x:v>Internal $1,000 reconciliation tolerance; reviewer approval required</x:v>
      </x:c>
      <x:c r="J205" s="26" t="str">
        <x:v>v0.21 baseline formula; v0.23 disposition</x:v>
      </x:c>
    </x:row>
    <x:row r="206">
      <x:c r="A206" s="26" t="str">
        <x:v>AB_OS_Project_Data_2024</x:v>
      </x:c>
      <x:c r="B206" s="26" t="str">
        <x:v>AE18</x:v>
      </x:c>
      <x:c r="C206" s="26" t="str">
        <x:v>IF(T18&lt;&gt;"NET","N/A",IF(ABS(S18)&lt;=1000,"PASS","REVIEW"))</x:v>
      </x:c>
      <x:c r="D206" s="26" t="str">
        <x:v>1000</x:v>
      </x:c>
      <x:c r="E206" s="26" t="str">
        <x:v>VALIDATION THRESHOLD</x:v>
      </x:c>
      <x:c r="F206" s="26" t="str">
        <x:v>YES</x:v>
      </x:c>
      <x:c r="G206" s="26" t="str">
        <x:v>CENTRALIZED</x:v>
      </x:c>
      <x:c r="H206" s="26" t="str">
        <x:v>P-003</x:v>
      </x:c>
      <x:c r="I206" s="26" t="str">
        <x:v>Internal $1,000 reconciliation tolerance; reviewer approval required</x:v>
      </x:c>
      <x:c r="J206" s="26" t="str">
        <x:v>v0.21 baseline formula; v0.23 disposition</x:v>
      </x:c>
    </x:row>
    <x:row r="207">
      <x:c r="A207" s="26" t="str">
        <x:v>AB_OS_Project_Data_2024</x:v>
      </x:c>
      <x:c r="B207" s="26" t="str">
        <x:v>AF18</x:v>
      </x:c>
      <x:c r="C207" s="26" t="str">
        <x:v>IF(ABS(X18)&lt;=1000,"WITHIN $1K","DISPLAY RATE / ADJUSTMENT")</x:v>
      </x:c>
      <x:c r="D207" s="26" t="str">
        <x:v>1000</x:v>
      </x:c>
      <x:c r="E207" s="26" t="str">
        <x:v>VALIDATION THRESHOLD</x:v>
      </x:c>
      <x:c r="F207" s="26" t="str">
        <x:v>YES</x:v>
      </x:c>
      <x:c r="G207" s="26" t="str">
        <x:v>CENTRALIZED</x:v>
      </x:c>
      <x:c r="H207" s="26" t="str">
        <x:v>P-003</x:v>
      </x:c>
      <x:c r="I207" s="26" t="str">
        <x:v>Internal $1,000 reconciliation tolerance; reviewer approval required</x:v>
      </x:c>
      <x:c r="J207" s="26" t="str">
        <x:v>v0.21 baseline formula; v0.23 disposition</x:v>
      </x:c>
    </x:row>
    <x:row r="208">
      <x:c r="A208" s="26" t="str">
        <x:v>AB_OS_Project_Data_2024</x:v>
      </x:c>
      <x:c r="B208" s="26" t="str">
        <x:v>W19</x:v>
      </x:c>
      <x:c r="C208" s="26" t="str">
        <x:v>IF(T19="NET",Q19*U19/100,G19*U19/100)</x:v>
      </x:c>
      <x:c r="D208" s="26" t="str">
        <x:v>100, 100</x:v>
      </x:c>
      <x:c r="E208" s="26" t="str">
        <x:v>UNIT CONVERSION</x:v>
      </x:c>
      <x:c r="F208" s="26" t="str">
        <x:v>NO</x:v>
      </x:c>
      <x:c r="G208" s="26" t="str">
        <x:v>RETAIN LITERAL</x:v>
      </x:c>
      <x:c r="H208" s="26" t="str">
        <x:v>Percentage divisor</x:v>
      </x:c>
      <x:c r="I208" s="26" t="str">
        <x:v>Divides percentage points by 100</x:v>
      </x:c>
      <x:c r="J208" s="26" t="str">
        <x:v>v0.21 baseline formula; v0.23 disposition</x:v>
      </x:c>
    </x:row>
    <x:row r="209">
      <x:c r="A209" s="26" t="str">
        <x:v>AB_OS_Project_Data_2024</x:v>
      </x:c>
      <x:c r="B209" s="26" t="str">
        <x:v>AD19</x:v>
      </x:c>
      <x:c r="C209" s="26" t="str">
        <x:v>IF(ABS(H19)&lt;=1000,"PASS","REVIEW")</x:v>
      </x:c>
      <x:c r="D209" s="26" t="str">
        <x:v>1000</x:v>
      </x:c>
      <x:c r="E209" s="26" t="str">
        <x:v>VALIDATION THRESHOLD</x:v>
      </x:c>
      <x:c r="F209" s="26" t="str">
        <x:v>YES</x:v>
      </x:c>
      <x:c r="G209" s="26" t="str">
        <x:v>CENTRALIZED</x:v>
      </x:c>
      <x:c r="H209" s="26" t="str">
        <x:v>P-003</x:v>
      </x:c>
      <x:c r="I209" s="26" t="str">
        <x:v>Internal $1,000 reconciliation tolerance; reviewer approval required</x:v>
      </x:c>
      <x:c r="J209" s="26" t="str">
        <x:v>v0.21 baseline formula; v0.23 disposition</x:v>
      </x:c>
    </x:row>
    <x:row r="210">
      <x:c r="A210" s="26" t="str">
        <x:v>AB_OS_Project_Data_2024</x:v>
      </x:c>
      <x:c r="B210" s="26" t="str">
        <x:v>AE19</x:v>
      </x:c>
      <x:c r="C210" s="26" t="str">
        <x:v>IF(T19&lt;&gt;"NET","N/A",IF(ABS(S19)&lt;=1000,"PASS","REVIEW"))</x:v>
      </x:c>
      <x:c r="D210" s="26" t="str">
        <x:v>1000</x:v>
      </x:c>
      <x:c r="E210" s="26" t="str">
        <x:v>VALIDATION THRESHOLD</x:v>
      </x:c>
      <x:c r="F210" s="26" t="str">
        <x:v>YES</x:v>
      </x:c>
      <x:c r="G210" s="26" t="str">
        <x:v>CENTRALIZED</x:v>
      </x:c>
      <x:c r="H210" s="26" t="str">
        <x:v>P-003</x:v>
      </x:c>
      <x:c r="I210" s="26" t="str">
        <x:v>Internal $1,000 reconciliation tolerance; reviewer approval required</x:v>
      </x:c>
      <x:c r="J210" s="26" t="str">
        <x:v>v0.21 baseline formula; v0.23 disposition</x:v>
      </x:c>
    </x:row>
    <x:row r="211">
      <x:c r="A211" s="26" t="str">
        <x:v>AB_OS_Project_Data_2024</x:v>
      </x:c>
      <x:c r="B211" s="26" t="str">
        <x:v>AF19</x:v>
      </x:c>
      <x:c r="C211" s="26" t="str">
        <x:v>IF(ABS(X19)&lt;=1000,"WITHIN $1K","DISPLAY RATE / ADJUSTMENT")</x:v>
      </x:c>
      <x:c r="D211" s="26" t="str">
        <x:v>1000</x:v>
      </x:c>
      <x:c r="E211" s="26" t="str">
        <x:v>VALIDATION THRESHOLD</x:v>
      </x:c>
      <x:c r="F211" s="26" t="str">
        <x:v>YES</x:v>
      </x:c>
      <x:c r="G211" s="26" t="str">
        <x:v>CENTRALIZED</x:v>
      </x:c>
      <x:c r="H211" s="26" t="str">
        <x:v>P-003</x:v>
      </x:c>
      <x:c r="I211" s="26" t="str">
        <x:v>Internal $1,000 reconciliation tolerance; reviewer approval required</x:v>
      </x:c>
      <x:c r="J211" s="26" t="str">
        <x:v>v0.21 baseline formula; v0.23 disposition</x:v>
      </x:c>
    </x:row>
    <x:row r="212">
      <x:c r="A212" s="26" t="str">
        <x:v>AB_OS_Project_Data_2024</x:v>
      </x:c>
      <x:c r="B212" s="26" t="str">
        <x:v>W20</x:v>
      </x:c>
      <x:c r="C212" s="26" t="str">
        <x:v>IF(T20="NET",Q20*U20/100,G20*U20/100)</x:v>
      </x:c>
      <x:c r="D212" s="26" t="str">
        <x:v>100, 100</x:v>
      </x:c>
      <x:c r="E212" s="26" t="str">
        <x:v>UNIT CONVERSION</x:v>
      </x:c>
      <x:c r="F212" s="26" t="str">
        <x:v>NO</x:v>
      </x:c>
      <x:c r="G212" s="26" t="str">
        <x:v>RETAIN LITERAL</x:v>
      </x:c>
      <x:c r="H212" s="26" t="str">
        <x:v>Percentage divisor</x:v>
      </x:c>
      <x:c r="I212" s="26" t="str">
        <x:v>Divides percentage points by 100</x:v>
      </x:c>
      <x:c r="J212" s="26" t="str">
        <x:v>v0.21 baseline formula; v0.23 disposition</x:v>
      </x:c>
    </x:row>
    <x:row r="213">
      <x:c r="A213" s="26" t="str">
        <x:v>AB_OS_Project_Data_2024</x:v>
      </x:c>
      <x:c r="B213" s="26" t="str">
        <x:v>AD20</x:v>
      </x:c>
      <x:c r="C213" s="26" t="str">
        <x:v>IF(ABS(H20)&lt;=1000,"PASS","REVIEW")</x:v>
      </x:c>
      <x:c r="D213" s="26" t="str">
        <x:v>1000</x:v>
      </x:c>
      <x:c r="E213" s="26" t="str">
        <x:v>VALIDATION THRESHOLD</x:v>
      </x:c>
      <x:c r="F213" s="26" t="str">
        <x:v>YES</x:v>
      </x:c>
      <x:c r="G213" s="26" t="str">
        <x:v>CENTRALIZED</x:v>
      </x:c>
      <x:c r="H213" s="26" t="str">
        <x:v>P-003</x:v>
      </x:c>
      <x:c r="I213" s="26" t="str">
        <x:v>Internal $1,000 reconciliation tolerance; reviewer approval required</x:v>
      </x:c>
      <x:c r="J213" s="26" t="str">
        <x:v>v0.21 baseline formula; v0.23 disposition</x:v>
      </x:c>
    </x:row>
    <x:row r="214">
      <x:c r="A214" s="26" t="str">
        <x:v>AB_OS_Project_Data_2024</x:v>
      </x:c>
      <x:c r="B214" s="26" t="str">
        <x:v>AE20</x:v>
      </x:c>
      <x:c r="C214" s="26" t="str">
        <x:v>IF(T20&lt;&gt;"NET","N/A",IF(ABS(S20)&lt;=1000,"PASS","REVIEW"))</x:v>
      </x:c>
      <x:c r="D214" s="26" t="str">
        <x:v>1000</x:v>
      </x:c>
      <x:c r="E214" s="26" t="str">
        <x:v>VALIDATION THRESHOLD</x:v>
      </x:c>
      <x:c r="F214" s="26" t="str">
        <x:v>YES</x:v>
      </x:c>
      <x:c r="G214" s="26" t="str">
        <x:v>CENTRALIZED</x:v>
      </x:c>
      <x:c r="H214" s="26" t="str">
        <x:v>P-003</x:v>
      </x:c>
      <x:c r="I214" s="26" t="str">
        <x:v>Internal $1,000 reconciliation tolerance; reviewer approval required</x:v>
      </x:c>
      <x:c r="J214" s="26" t="str">
        <x:v>v0.21 baseline formula; v0.23 disposition</x:v>
      </x:c>
    </x:row>
    <x:row r="215">
      <x:c r="A215" s="26" t="str">
        <x:v>AB_OS_Project_Data_2024</x:v>
      </x:c>
      <x:c r="B215" s="26" t="str">
        <x:v>AF20</x:v>
      </x:c>
      <x:c r="C215" s="26" t="str">
        <x:v>IF(ABS(X20)&lt;=1000,"WITHIN $1K","DISPLAY RATE / ADJUSTMENT")</x:v>
      </x:c>
      <x:c r="D215" s="26" t="str">
        <x:v>1000</x:v>
      </x:c>
      <x:c r="E215" s="26" t="str">
        <x:v>VALIDATION THRESHOLD</x:v>
      </x:c>
      <x:c r="F215" s="26" t="str">
        <x:v>YES</x:v>
      </x:c>
      <x:c r="G215" s="26" t="str">
        <x:v>CENTRALIZED</x:v>
      </x:c>
      <x:c r="H215" s="26" t="str">
        <x:v>P-003</x:v>
      </x:c>
      <x:c r="I215" s="26" t="str">
        <x:v>Internal $1,000 reconciliation tolerance; reviewer approval required</x:v>
      </x:c>
      <x:c r="J215" s="26" t="str">
        <x:v>v0.21 baseline formula; v0.23 disposition</x:v>
      </x:c>
    </x:row>
    <x:row r="216">
      <x:c r="A216" s="26" t="str">
        <x:v>AB_OS_Project_Data_2024</x:v>
      </x:c>
      <x:c r="B216" s="26" t="str">
        <x:v>W21</x:v>
      </x:c>
      <x:c r="C216" s="26" t="str">
        <x:v>IF(T21="NET",Q21*U21/100,G21*U21/100)</x:v>
      </x:c>
      <x:c r="D216" s="26" t="str">
        <x:v>100, 100</x:v>
      </x:c>
      <x:c r="E216" s="26" t="str">
        <x:v>UNIT CONVERSION</x:v>
      </x:c>
      <x:c r="F216" s="26" t="str">
        <x:v>NO</x:v>
      </x:c>
      <x:c r="G216" s="26" t="str">
        <x:v>RETAIN LITERAL</x:v>
      </x:c>
      <x:c r="H216" s="26" t="str">
        <x:v>Percentage divisor</x:v>
      </x:c>
      <x:c r="I216" s="26" t="str">
        <x:v>Divides percentage points by 100</x:v>
      </x:c>
      <x:c r="J216" s="26" t="str">
        <x:v>v0.21 baseline formula; v0.23 disposition</x:v>
      </x:c>
    </x:row>
    <x:row r="217">
      <x:c r="A217" s="26" t="str">
        <x:v>AB_OS_Project_Data_2024</x:v>
      </x:c>
      <x:c r="B217" s="26" t="str">
        <x:v>AD21</x:v>
      </x:c>
      <x:c r="C217" s="26" t="str">
        <x:v>IF(ABS(H21)&lt;=1000,"PASS","REVIEW")</x:v>
      </x:c>
      <x:c r="D217" s="26" t="str">
        <x:v>1000</x:v>
      </x:c>
      <x:c r="E217" s="26" t="str">
        <x:v>VALIDATION THRESHOLD</x:v>
      </x:c>
      <x:c r="F217" s="26" t="str">
        <x:v>YES</x:v>
      </x:c>
      <x:c r="G217" s="26" t="str">
        <x:v>CENTRALIZED</x:v>
      </x:c>
      <x:c r="H217" s="26" t="str">
        <x:v>P-003</x:v>
      </x:c>
      <x:c r="I217" s="26" t="str">
        <x:v>Internal $1,000 reconciliation tolerance; reviewer approval required</x:v>
      </x:c>
      <x:c r="J217" s="26" t="str">
        <x:v>v0.21 baseline formula; v0.23 disposition</x:v>
      </x:c>
    </x:row>
    <x:row r="218">
      <x:c r="A218" s="26" t="str">
        <x:v>AB_OS_Project_Data_2024</x:v>
      </x:c>
      <x:c r="B218" s="26" t="str">
        <x:v>AE21</x:v>
      </x:c>
      <x:c r="C218" s="26" t="str">
        <x:v>IF(T21&lt;&gt;"NET","N/A",IF(ABS(S21)&lt;=1000,"PASS","REVIEW"))</x:v>
      </x:c>
      <x:c r="D218" s="26" t="str">
        <x:v>1000</x:v>
      </x:c>
      <x:c r="E218" s="26" t="str">
        <x:v>VALIDATION THRESHOLD</x:v>
      </x:c>
      <x:c r="F218" s="26" t="str">
        <x:v>YES</x:v>
      </x:c>
      <x:c r="G218" s="26" t="str">
        <x:v>CENTRALIZED</x:v>
      </x:c>
      <x:c r="H218" s="26" t="str">
        <x:v>P-003</x:v>
      </x:c>
      <x:c r="I218" s="26" t="str">
        <x:v>Internal $1,000 reconciliation tolerance; reviewer approval required</x:v>
      </x:c>
      <x:c r="J218" s="26" t="str">
        <x:v>v0.21 baseline formula; v0.23 disposition</x:v>
      </x:c>
    </x:row>
    <x:row r="219">
      <x:c r="A219" s="26" t="str">
        <x:v>AB_OS_Project_Data_2024</x:v>
      </x:c>
      <x:c r="B219" s="26" t="str">
        <x:v>AF21</x:v>
      </x:c>
      <x:c r="C219" s="26" t="str">
        <x:v>IF(ABS(X21)&lt;=1000,"WITHIN $1K","DISPLAY RATE / ADJUSTMENT")</x:v>
      </x:c>
      <x:c r="D219" s="26" t="str">
        <x:v>1000</x:v>
      </x:c>
      <x:c r="E219" s="26" t="str">
        <x:v>VALIDATION THRESHOLD</x:v>
      </x:c>
      <x:c r="F219" s="26" t="str">
        <x:v>YES</x:v>
      </x:c>
      <x:c r="G219" s="26" t="str">
        <x:v>CENTRALIZED</x:v>
      </x:c>
      <x:c r="H219" s="26" t="str">
        <x:v>P-003</x:v>
      </x:c>
      <x:c r="I219" s="26" t="str">
        <x:v>Internal $1,000 reconciliation tolerance; reviewer approval required</x:v>
      </x:c>
      <x:c r="J219" s="26" t="str">
        <x:v>v0.21 baseline formula; v0.23 disposition</x:v>
      </x:c>
    </x:row>
    <x:row r="220">
      <x:c r="A220" s="26" t="str">
        <x:v>AB_OS_Project_Data_2024</x:v>
      </x:c>
      <x:c r="B220" s="26" t="str">
        <x:v>W22</x:v>
      </x:c>
      <x:c r="C220" s="26" t="str">
        <x:v>IF(T22="NET",Q22*U22/100,G22*U22/100)</x:v>
      </x:c>
      <x:c r="D220" s="26" t="str">
        <x:v>100, 100</x:v>
      </x:c>
      <x:c r="E220" s="26" t="str">
        <x:v>UNIT CONVERSION</x:v>
      </x:c>
      <x:c r="F220" s="26" t="str">
        <x:v>NO</x:v>
      </x:c>
      <x:c r="G220" s="26" t="str">
        <x:v>RETAIN LITERAL</x:v>
      </x:c>
      <x:c r="H220" s="26" t="str">
        <x:v>Percentage divisor</x:v>
      </x:c>
      <x:c r="I220" s="26" t="str">
        <x:v>Divides percentage points by 100</x:v>
      </x:c>
      <x:c r="J220" s="26" t="str">
        <x:v>v0.21 baseline formula; v0.23 disposition</x:v>
      </x:c>
    </x:row>
    <x:row r="221">
      <x:c r="A221" s="26" t="str">
        <x:v>AB_OS_Project_Data_2024</x:v>
      </x:c>
      <x:c r="B221" s="26" t="str">
        <x:v>AD22</x:v>
      </x:c>
      <x:c r="C221" s="26" t="str">
        <x:v>IF(ABS(H22)&lt;=1000,"PASS","REVIEW")</x:v>
      </x:c>
      <x:c r="D221" s="26" t="str">
        <x:v>1000</x:v>
      </x:c>
      <x:c r="E221" s="26" t="str">
        <x:v>VALIDATION THRESHOLD</x:v>
      </x:c>
      <x:c r="F221" s="26" t="str">
        <x:v>YES</x:v>
      </x:c>
      <x:c r="G221" s="26" t="str">
        <x:v>CENTRALIZED</x:v>
      </x:c>
      <x:c r="H221" s="26" t="str">
        <x:v>P-003</x:v>
      </x:c>
      <x:c r="I221" s="26" t="str">
        <x:v>Internal $1,000 reconciliation tolerance; reviewer approval required</x:v>
      </x:c>
      <x:c r="J221" s="26" t="str">
        <x:v>v0.21 baseline formula; v0.23 disposition</x:v>
      </x:c>
    </x:row>
    <x:row r="222">
      <x:c r="A222" s="26" t="str">
        <x:v>AB_OS_Project_Data_2024</x:v>
      </x:c>
      <x:c r="B222" s="26" t="str">
        <x:v>AE22</x:v>
      </x:c>
      <x:c r="C222" s="26" t="str">
        <x:v>IF(T22&lt;&gt;"NET","N/A",IF(ABS(S22)&lt;=1000,"PASS","REVIEW"))</x:v>
      </x:c>
      <x:c r="D222" s="26" t="str">
        <x:v>1000</x:v>
      </x:c>
      <x:c r="E222" s="26" t="str">
        <x:v>VALIDATION THRESHOLD</x:v>
      </x:c>
      <x:c r="F222" s="26" t="str">
        <x:v>YES</x:v>
      </x:c>
      <x:c r="G222" s="26" t="str">
        <x:v>CENTRALIZED</x:v>
      </x:c>
      <x:c r="H222" s="26" t="str">
        <x:v>P-003</x:v>
      </x:c>
      <x:c r="I222" s="26" t="str">
        <x:v>Internal $1,000 reconciliation tolerance; reviewer approval required</x:v>
      </x:c>
      <x:c r="J222" s="26" t="str">
        <x:v>v0.21 baseline formula; v0.23 disposition</x:v>
      </x:c>
    </x:row>
    <x:row r="223">
      <x:c r="A223" s="26" t="str">
        <x:v>AB_OS_Project_Data_2024</x:v>
      </x:c>
      <x:c r="B223" s="26" t="str">
        <x:v>AF22</x:v>
      </x:c>
      <x:c r="C223" s="26" t="str">
        <x:v>IF(ABS(X22)&lt;=1000,"WITHIN $1K","DISPLAY RATE / ADJUSTMENT")</x:v>
      </x:c>
      <x:c r="D223" s="26" t="str">
        <x:v>1000</x:v>
      </x:c>
      <x:c r="E223" s="26" t="str">
        <x:v>VALIDATION THRESHOLD</x:v>
      </x:c>
      <x:c r="F223" s="26" t="str">
        <x:v>YES</x:v>
      </x:c>
      <x:c r="G223" s="26" t="str">
        <x:v>CENTRALIZED</x:v>
      </x:c>
      <x:c r="H223" s="26" t="str">
        <x:v>P-003</x:v>
      </x:c>
      <x:c r="I223" s="26" t="str">
        <x:v>Internal $1,000 reconciliation tolerance; reviewer approval required</x:v>
      </x:c>
      <x:c r="J223" s="26" t="str">
        <x:v>v0.21 baseline formula; v0.23 disposition</x:v>
      </x:c>
    </x:row>
    <x:row r="224">
      <x:c r="A224" s="26" t="str">
        <x:v>AB_OS_Project_Data_2024</x:v>
      </x:c>
      <x:c r="B224" s="26" t="str">
        <x:v>W23</x:v>
      </x:c>
      <x:c r="C224" s="26" t="str">
        <x:v>IF(T23="NET",Q23*U23/100,G23*U23/100)</x:v>
      </x:c>
      <x:c r="D224" s="26" t="str">
        <x:v>100, 100</x:v>
      </x:c>
      <x:c r="E224" s="26" t="str">
        <x:v>UNIT CONVERSION</x:v>
      </x:c>
      <x:c r="F224" s="26" t="str">
        <x:v>NO</x:v>
      </x:c>
      <x:c r="G224" s="26" t="str">
        <x:v>RETAIN LITERAL</x:v>
      </x:c>
      <x:c r="H224" s="26" t="str">
        <x:v>Percentage divisor</x:v>
      </x:c>
      <x:c r="I224" s="26" t="str">
        <x:v>Divides percentage points by 100</x:v>
      </x:c>
      <x:c r="J224" s="26" t="str">
        <x:v>v0.21 baseline formula; v0.23 disposition</x:v>
      </x:c>
    </x:row>
    <x:row r="225">
      <x:c r="A225" s="26" t="str">
        <x:v>AB_OS_Project_Data_2024</x:v>
      </x:c>
      <x:c r="B225" s="26" t="str">
        <x:v>AD23</x:v>
      </x:c>
      <x:c r="C225" s="26" t="str">
        <x:v>IF(ABS(H23)&lt;=1000,"PASS","REVIEW")</x:v>
      </x:c>
      <x:c r="D225" s="26" t="str">
        <x:v>1000</x:v>
      </x:c>
      <x:c r="E225" s="26" t="str">
        <x:v>VALIDATION THRESHOLD</x:v>
      </x:c>
      <x:c r="F225" s="26" t="str">
        <x:v>YES</x:v>
      </x:c>
      <x:c r="G225" s="26" t="str">
        <x:v>CENTRALIZED</x:v>
      </x:c>
      <x:c r="H225" s="26" t="str">
        <x:v>P-003</x:v>
      </x:c>
      <x:c r="I225" s="26" t="str">
        <x:v>Internal $1,000 reconciliation tolerance; reviewer approval required</x:v>
      </x:c>
      <x:c r="J225" s="26" t="str">
        <x:v>v0.21 baseline formula; v0.23 disposition</x:v>
      </x:c>
    </x:row>
    <x:row r="226">
      <x:c r="A226" s="26" t="str">
        <x:v>AB_OS_Project_Data_2024</x:v>
      </x:c>
      <x:c r="B226" s="26" t="str">
        <x:v>AE23</x:v>
      </x:c>
      <x:c r="C226" s="26" t="str">
        <x:v>IF(T23&lt;&gt;"NET","N/A",IF(ABS(S23)&lt;=1000,"PASS","REVIEW"))</x:v>
      </x:c>
      <x:c r="D226" s="26" t="str">
        <x:v>1000</x:v>
      </x:c>
      <x:c r="E226" s="26" t="str">
        <x:v>VALIDATION THRESHOLD</x:v>
      </x:c>
      <x:c r="F226" s="26" t="str">
        <x:v>YES</x:v>
      </x:c>
      <x:c r="G226" s="26" t="str">
        <x:v>CENTRALIZED</x:v>
      </x:c>
      <x:c r="H226" s="26" t="str">
        <x:v>P-003</x:v>
      </x:c>
      <x:c r="I226" s="26" t="str">
        <x:v>Internal $1,000 reconciliation tolerance; reviewer approval required</x:v>
      </x:c>
      <x:c r="J226" s="26" t="str">
        <x:v>v0.21 baseline formula; v0.23 disposition</x:v>
      </x:c>
    </x:row>
    <x:row r="227">
      <x:c r="A227" s="26" t="str">
        <x:v>AB_OS_Project_Data_2024</x:v>
      </x:c>
      <x:c r="B227" s="26" t="str">
        <x:v>AF23</x:v>
      </x:c>
      <x:c r="C227" s="26" t="str">
        <x:v>IF(ABS(X23)&lt;=1000,"WITHIN $1K","DISPLAY RATE / ADJUSTMENT")</x:v>
      </x:c>
      <x:c r="D227" s="26" t="str">
        <x:v>1000</x:v>
      </x:c>
      <x:c r="E227" s="26" t="str">
        <x:v>VALIDATION THRESHOLD</x:v>
      </x:c>
      <x:c r="F227" s="26" t="str">
        <x:v>YES</x:v>
      </x:c>
      <x:c r="G227" s="26" t="str">
        <x:v>CENTRALIZED</x:v>
      </x:c>
      <x:c r="H227" s="26" t="str">
        <x:v>P-003</x:v>
      </x:c>
      <x:c r="I227" s="26" t="str">
        <x:v>Internal $1,000 reconciliation tolerance; reviewer approval required</x:v>
      </x:c>
      <x:c r="J227" s="26" t="str">
        <x:v>v0.21 baseline formula; v0.23 disposition</x:v>
      </x:c>
    </x:row>
    <x:row r="228">
      <x:c r="A228" s="26" t="str">
        <x:v>AB_OS_Project_Data_2024</x:v>
      </x:c>
      <x:c r="B228" s="26" t="str">
        <x:v>W24</x:v>
      </x:c>
      <x:c r="C228" s="26" t="str">
        <x:v>IF(T24="NET",Q24*U24/100,G24*U24/100)</x:v>
      </x:c>
      <x:c r="D228" s="26" t="str">
        <x:v>100, 100</x:v>
      </x:c>
      <x:c r="E228" s="26" t="str">
        <x:v>UNIT CONVERSION</x:v>
      </x:c>
      <x:c r="F228" s="26" t="str">
        <x:v>NO</x:v>
      </x:c>
      <x:c r="G228" s="26" t="str">
        <x:v>RETAIN LITERAL</x:v>
      </x:c>
      <x:c r="H228" s="26" t="str">
        <x:v>Percentage divisor</x:v>
      </x:c>
      <x:c r="I228" s="26" t="str">
        <x:v>Divides percentage points by 100</x:v>
      </x:c>
      <x:c r="J228" s="26" t="str">
        <x:v>v0.21 baseline formula; v0.23 disposition</x:v>
      </x:c>
    </x:row>
    <x:row r="229">
      <x:c r="A229" s="26" t="str">
        <x:v>AB_OS_Project_Data_2024</x:v>
      </x:c>
      <x:c r="B229" s="26" t="str">
        <x:v>AD24</x:v>
      </x:c>
      <x:c r="C229" s="26" t="str">
        <x:v>IF(ABS(H24)&lt;=1000,"PASS","REVIEW")</x:v>
      </x:c>
      <x:c r="D229" s="26" t="str">
        <x:v>1000</x:v>
      </x:c>
      <x:c r="E229" s="26" t="str">
        <x:v>VALIDATION THRESHOLD</x:v>
      </x:c>
      <x:c r="F229" s="26" t="str">
        <x:v>YES</x:v>
      </x:c>
      <x:c r="G229" s="26" t="str">
        <x:v>CENTRALIZED</x:v>
      </x:c>
      <x:c r="H229" s="26" t="str">
        <x:v>P-003</x:v>
      </x:c>
      <x:c r="I229" s="26" t="str">
        <x:v>Internal $1,000 reconciliation tolerance; reviewer approval required</x:v>
      </x:c>
      <x:c r="J229" s="26" t="str">
        <x:v>v0.21 baseline formula; v0.23 disposition</x:v>
      </x:c>
    </x:row>
    <x:row r="230">
      <x:c r="A230" s="26" t="str">
        <x:v>AB_OS_Project_Data_2024</x:v>
      </x:c>
      <x:c r="B230" s="26" t="str">
        <x:v>AE24</x:v>
      </x:c>
      <x:c r="C230" s="26" t="str">
        <x:v>IF(T24&lt;&gt;"NET","N/A",IF(ABS(S24)&lt;=1000,"PASS","REVIEW"))</x:v>
      </x:c>
      <x:c r="D230" s="26" t="str">
        <x:v>1000</x:v>
      </x:c>
      <x:c r="E230" s="26" t="str">
        <x:v>VALIDATION THRESHOLD</x:v>
      </x:c>
      <x:c r="F230" s="26" t="str">
        <x:v>YES</x:v>
      </x:c>
      <x:c r="G230" s="26" t="str">
        <x:v>CENTRALIZED</x:v>
      </x:c>
      <x:c r="H230" s="26" t="str">
        <x:v>P-003</x:v>
      </x:c>
      <x:c r="I230" s="26" t="str">
        <x:v>Internal $1,000 reconciliation tolerance; reviewer approval required</x:v>
      </x:c>
      <x:c r="J230" s="26" t="str">
        <x:v>v0.21 baseline formula; v0.23 disposition</x:v>
      </x:c>
    </x:row>
    <x:row r="231">
      <x:c r="A231" s="26" t="str">
        <x:v>AB_OS_Project_Data_2024</x:v>
      </x:c>
      <x:c r="B231" s="26" t="str">
        <x:v>AF24</x:v>
      </x:c>
      <x:c r="C231" s="26" t="str">
        <x:v>IF(ABS(X24)&lt;=1000,"WITHIN $1K","DISPLAY RATE / ADJUSTMENT")</x:v>
      </x:c>
      <x:c r="D231" s="26" t="str">
        <x:v>1000</x:v>
      </x:c>
      <x:c r="E231" s="26" t="str">
        <x:v>VALIDATION THRESHOLD</x:v>
      </x:c>
      <x:c r="F231" s="26" t="str">
        <x:v>YES</x:v>
      </x:c>
      <x:c r="G231" s="26" t="str">
        <x:v>CENTRALIZED</x:v>
      </x:c>
      <x:c r="H231" s="26" t="str">
        <x:v>P-003</x:v>
      </x:c>
      <x:c r="I231" s="26" t="str">
        <x:v>Internal $1,000 reconciliation tolerance; reviewer approval required</x:v>
      </x:c>
      <x:c r="J231" s="26" t="str">
        <x:v>v0.21 baseline formula; v0.23 disposition</x:v>
      </x:c>
    </x:row>
    <x:row r="232">
      <x:c r="A232" s="26" t="str">
        <x:v>AB_OS_Project_Data_2024</x:v>
      </x:c>
      <x:c r="B232" s="26" t="str">
        <x:v>W25</x:v>
      </x:c>
      <x:c r="C232" s="26" t="str">
        <x:v>IF(T25="NET",Q25*U25/100,G25*U25/100)</x:v>
      </x:c>
      <x:c r="D232" s="26" t="str">
        <x:v>100, 100</x:v>
      </x:c>
      <x:c r="E232" s="26" t="str">
        <x:v>UNIT CONVERSION</x:v>
      </x:c>
      <x:c r="F232" s="26" t="str">
        <x:v>NO</x:v>
      </x:c>
      <x:c r="G232" s="26" t="str">
        <x:v>RETAIN LITERAL</x:v>
      </x:c>
      <x:c r="H232" s="26" t="str">
        <x:v>Percentage divisor</x:v>
      </x:c>
      <x:c r="I232" s="26" t="str">
        <x:v>Divides percentage points by 100</x:v>
      </x:c>
      <x:c r="J232" s="26" t="str">
        <x:v>v0.21 baseline formula; v0.23 disposition</x:v>
      </x:c>
    </x:row>
    <x:row r="233">
      <x:c r="A233" s="26" t="str">
        <x:v>AB_OS_Project_Data_2024</x:v>
      </x:c>
      <x:c r="B233" s="26" t="str">
        <x:v>AD25</x:v>
      </x:c>
      <x:c r="C233" s="26" t="str">
        <x:v>IF(ABS(H25)&lt;=1000,"PASS","REVIEW")</x:v>
      </x:c>
      <x:c r="D233" s="26" t="str">
        <x:v>1000</x:v>
      </x:c>
      <x:c r="E233" s="26" t="str">
        <x:v>VALIDATION THRESHOLD</x:v>
      </x:c>
      <x:c r="F233" s="26" t="str">
        <x:v>YES</x:v>
      </x:c>
      <x:c r="G233" s="26" t="str">
        <x:v>CENTRALIZED</x:v>
      </x:c>
      <x:c r="H233" s="26" t="str">
        <x:v>P-003</x:v>
      </x:c>
      <x:c r="I233" s="26" t="str">
        <x:v>Internal $1,000 reconciliation tolerance; reviewer approval required</x:v>
      </x:c>
      <x:c r="J233" s="26" t="str">
        <x:v>v0.21 baseline formula; v0.23 disposition</x:v>
      </x:c>
    </x:row>
    <x:row r="234">
      <x:c r="A234" s="26" t="str">
        <x:v>AB_OS_Project_Data_2024</x:v>
      </x:c>
      <x:c r="B234" s="26" t="str">
        <x:v>AE25</x:v>
      </x:c>
      <x:c r="C234" s="26" t="str">
        <x:v>IF(T25&lt;&gt;"NET","N/A",IF(ABS(S25)&lt;=1000,"PASS","REVIEW"))</x:v>
      </x:c>
      <x:c r="D234" s="26" t="str">
        <x:v>1000</x:v>
      </x:c>
      <x:c r="E234" s="26" t="str">
        <x:v>VALIDATION THRESHOLD</x:v>
      </x:c>
      <x:c r="F234" s="26" t="str">
        <x:v>YES</x:v>
      </x:c>
      <x:c r="G234" s="26" t="str">
        <x:v>CENTRALIZED</x:v>
      </x:c>
      <x:c r="H234" s="26" t="str">
        <x:v>P-003</x:v>
      </x:c>
      <x:c r="I234" s="26" t="str">
        <x:v>Internal $1,000 reconciliation tolerance; reviewer approval required</x:v>
      </x:c>
      <x:c r="J234" s="26" t="str">
        <x:v>v0.21 baseline formula; v0.23 disposition</x:v>
      </x:c>
    </x:row>
    <x:row r="235">
      <x:c r="A235" s="26" t="str">
        <x:v>AB_OS_Project_Data_2024</x:v>
      </x:c>
      <x:c r="B235" s="26" t="str">
        <x:v>AF25</x:v>
      </x:c>
      <x:c r="C235" s="26" t="str">
        <x:v>IF(ABS(X25)&lt;=1000,"WITHIN $1K","DISPLAY RATE / ADJUSTMENT")</x:v>
      </x:c>
      <x:c r="D235" s="26" t="str">
        <x:v>1000</x:v>
      </x:c>
      <x:c r="E235" s="26" t="str">
        <x:v>VALIDATION THRESHOLD</x:v>
      </x:c>
      <x:c r="F235" s="26" t="str">
        <x:v>YES</x:v>
      </x:c>
      <x:c r="G235" s="26" t="str">
        <x:v>CENTRALIZED</x:v>
      </x:c>
      <x:c r="H235" s="26" t="str">
        <x:v>P-003</x:v>
      </x:c>
      <x:c r="I235" s="26" t="str">
        <x:v>Internal $1,000 reconciliation tolerance; reviewer approval required</x:v>
      </x:c>
      <x:c r="J235" s="26" t="str">
        <x:v>v0.21 baseline formula; v0.23 disposition</x:v>
      </x:c>
    </x:row>
    <x:row r="236">
      <x:c r="A236" s="26" t="str">
        <x:v>AB_OS_Project_Data_2024</x:v>
      </x:c>
      <x:c r="B236" s="26" t="str">
        <x:v>W26</x:v>
      </x:c>
      <x:c r="C236" s="26" t="str">
        <x:v>IF(T26="NET",Q26*U26/100,G26*U26/100)</x:v>
      </x:c>
      <x:c r="D236" s="26" t="str">
        <x:v>100, 100</x:v>
      </x:c>
      <x:c r="E236" s="26" t="str">
        <x:v>UNIT CONVERSION</x:v>
      </x:c>
      <x:c r="F236" s="26" t="str">
        <x:v>NO</x:v>
      </x:c>
      <x:c r="G236" s="26" t="str">
        <x:v>RETAIN LITERAL</x:v>
      </x:c>
      <x:c r="H236" s="26" t="str">
        <x:v>Percentage divisor</x:v>
      </x:c>
      <x:c r="I236" s="26" t="str">
        <x:v>Divides percentage points by 100</x:v>
      </x:c>
      <x:c r="J236" s="26" t="str">
        <x:v>v0.21 baseline formula; v0.23 disposition</x:v>
      </x:c>
    </x:row>
    <x:row r="237">
      <x:c r="A237" s="26" t="str">
        <x:v>AB_OS_Project_Data_2024</x:v>
      </x:c>
      <x:c r="B237" s="26" t="str">
        <x:v>AD26</x:v>
      </x:c>
      <x:c r="C237" s="26" t="str">
        <x:v>IF(ABS(H26)&lt;=1000,"PASS","REVIEW")</x:v>
      </x:c>
      <x:c r="D237" s="26" t="str">
        <x:v>1000</x:v>
      </x:c>
      <x:c r="E237" s="26" t="str">
        <x:v>VALIDATION THRESHOLD</x:v>
      </x:c>
      <x:c r="F237" s="26" t="str">
        <x:v>YES</x:v>
      </x:c>
      <x:c r="G237" s="26" t="str">
        <x:v>CENTRALIZED</x:v>
      </x:c>
      <x:c r="H237" s="26" t="str">
        <x:v>P-003</x:v>
      </x:c>
      <x:c r="I237" s="26" t="str">
        <x:v>Internal $1,000 reconciliation tolerance; reviewer approval required</x:v>
      </x:c>
      <x:c r="J237" s="26" t="str">
        <x:v>v0.21 baseline formula; v0.23 disposition</x:v>
      </x:c>
    </x:row>
    <x:row r="238">
      <x:c r="A238" s="26" t="str">
        <x:v>AB_OS_Project_Data_2024</x:v>
      </x:c>
      <x:c r="B238" s="26" t="str">
        <x:v>AE26</x:v>
      </x:c>
      <x:c r="C238" s="26" t="str">
        <x:v>IF(T26&lt;&gt;"NET","N/A",IF(ABS(S26)&lt;=1000,"PASS","REVIEW"))</x:v>
      </x:c>
      <x:c r="D238" s="26" t="str">
        <x:v>1000</x:v>
      </x:c>
      <x:c r="E238" s="26" t="str">
        <x:v>VALIDATION THRESHOLD</x:v>
      </x:c>
      <x:c r="F238" s="26" t="str">
        <x:v>YES</x:v>
      </x:c>
      <x:c r="G238" s="26" t="str">
        <x:v>CENTRALIZED</x:v>
      </x:c>
      <x:c r="H238" s="26" t="str">
        <x:v>P-003</x:v>
      </x:c>
      <x:c r="I238" s="26" t="str">
        <x:v>Internal $1,000 reconciliation tolerance; reviewer approval required</x:v>
      </x:c>
      <x:c r="J238" s="26" t="str">
        <x:v>v0.21 baseline formula; v0.23 disposition</x:v>
      </x:c>
    </x:row>
    <x:row r="239">
      <x:c r="A239" s="26" t="str">
        <x:v>AB_OS_Project_Data_2024</x:v>
      </x:c>
      <x:c r="B239" s="26" t="str">
        <x:v>AF26</x:v>
      </x:c>
      <x:c r="C239" s="26" t="str">
        <x:v>IF(ABS(X26)&lt;=1000,"WITHIN $1K","DISPLAY RATE / ADJUSTMENT")</x:v>
      </x:c>
      <x:c r="D239" s="26" t="str">
        <x:v>1000</x:v>
      </x:c>
      <x:c r="E239" s="26" t="str">
        <x:v>VALIDATION THRESHOLD</x:v>
      </x:c>
      <x:c r="F239" s="26" t="str">
        <x:v>YES</x:v>
      </x:c>
      <x:c r="G239" s="26" t="str">
        <x:v>CENTRALIZED</x:v>
      </x:c>
      <x:c r="H239" s="26" t="str">
        <x:v>P-003</x:v>
      </x:c>
      <x:c r="I239" s="26" t="str">
        <x:v>Internal $1,000 reconciliation tolerance; reviewer approval required</x:v>
      </x:c>
      <x:c r="J239" s="26" t="str">
        <x:v>v0.21 baseline formula; v0.23 disposition</x:v>
      </x:c>
    </x:row>
    <x:row r="240">
      <x:c r="A240" s="26" t="str">
        <x:v>AB_OS_Project_Data_2024</x:v>
      </x:c>
      <x:c r="B240" s="26" t="str">
        <x:v>W27</x:v>
      </x:c>
      <x:c r="C240" s="26" t="str">
        <x:v>IF(T27="NET",Q27*U27/100,G27*U27/100)</x:v>
      </x:c>
      <x:c r="D240" s="26" t="str">
        <x:v>100, 100</x:v>
      </x:c>
      <x:c r="E240" s="26" t="str">
        <x:v>UNIT CONVERSION</x:v>
      </x:c>
      <x:c r="F240" s="26" t="str">
        <x:v>NO</x:v>
      </x:c>
      <x:c r="G240" s="26" t="str">
        <x:v>RETAIN LITERAL</x:v>
      </x:c>
      <x:c r="H240" s="26" t="str">
        <x:v>Percentage divisor</x:v>
      </x:c>
      <x:c r="I240" s="26" t="str">
        <x:v>Divides percentage points by 100</x:v>
      </x:c>
      <x:c r="J240" s="26" t="str">
        <x:v>v0.21 baseline formula; v0.23 disposition</x:v>
      </x:c>
    </x:row>
    <x:row r="241">
      <x:c r="A241" s="26" t="str">
        <x:v>AB_OS_Project_Data_2024</x:v>
      </x:c>
      <x:c r="B241" s="26" t="str">
        <x:v>AD27</x:v>
      </x:c>
      <x:c r="C241" s="26" t="str">
        <x:v>IF(ABS(H27)&lt;=1000,"PASS","REVIEW")</x:v>
      </x:c>
      <x:c r="D241" s="26" t="str">
        <x:v>1000</x:v>
      </x:c>
      <x:c r="E241" s="26" t="str">
        <x:v>VALIDATION THRESHOLD</x:v>
      </x:c>
      <x:c r="F241" s="26" t="str">
        <x:v>YES</x:v>
      </x:c>
      <x:c r="G241" s="26" t="str">
        <x:v>CENTRALIZED</x:v>
      </x:c>
      <x:c r="H241" s="26" t="str">
        <x:v>P-003</x:v>
      </x:c>
      <x:c r="I241" s="26" t="str">
        <x:v>Internal $1,000 reconciliation tolerance; reviewer approval required</x:v>
      </x:c>
      <x:c r="J241" s="26" t="str">
        <x:v>v0.21 baseline formula; v0.23 disposition</x:v>
      </x:c>
    </x:row>
    <x:row r="242">
      <x:c r="A242" s="26" t="str">
        <x:v>AB_OS_Project_Data_2024</x:v>
      </x:c>
      <x:c r="B242" s="26" t="str">
        <x:v>AE27</x:v>
      </x:c>
      <x:c r="C242" s="26" t="str">
        <x:v>IF(T27&lt;&gt;"NET","N/A",IF(ABS(S27)&lt;=1000,"PASS","REVIEW"))</x:v>
      </x:c>
      <x:c r="D242" s="26" t="str">
        <x:v>1000</x:v>
      </x:c>
      <x:c r="E242" s="26" t="str">
        <x:v>VALIDATION THRESHOLD</x:v>
      </x:c>
      <x:c r="F242" s="26" t="str">
        <x:v>YES</x:v>
      </x:c>
      <x:c r="G242" s="26" t="str">
        <x:v>CENTRALIZED</x:v>
      </x:c>
      <x:c r="H242" s="26" t="str">
        <x:v>P-003</x:v>
      </x:c>
      <x:c r="I242" s="26" t="str">
        <x:v>Internal $1,000 reconciliation tolerance; reviewer approval required</x:v>
      </x:c>
      <x:c r="J242" s="26" t="str">
        <x:v>v0.21 baseline formula; v0.23 disposition</x:v>
      </x:c>
    </x:row>
    <x:row r="243">
      <x:c r="A243" s="26" t="str">
        <x:v>AB_OS_Project_Data_2024</x:v>
      </x:c>
      <x:c r="B243" s="26" t="str">
        <x:v>AF27</x:v>
      </x:c>
      <x:c r="C243" s="26" t="str">
        <x:v>IF(ABS(X27)&lt;=1000,"WITHIN $1K","DISPLAY RATE / ADJUSTMENT")</x:v>
      </x:c>
      <x:c r="D243" s="26" t="str">
        <x:v>1000</x:v>
      </x:c>
      <x:c r="E243" s="26" t="str">
        <x:v>VALIDATION THRESHOLD</x:v>
      </x:c>
      <x:c r="F243" s="26" t="str">
        <x:v>YES</x:v>
      </x:c>
      <x:c r="G243" s="26" t="str">
        <x:v>CENTRALIZED</x:v>
      </x:c>
      <x:c r="H243" s="26" t="str">
        <x:v>P-003</x:v>
      </x:c>
      <x:c r="I243" s="26" t="str">
        <x:v>Internal $1,000 reconciliation tolerance; reviewer approval required</x:v>
      </x:c>
      <x:c r="J243" s="26" t="str">
        <x:v>v0.21 baseline formula; v0.23 disposition</x:v>
      </x:c>
    </x:row>
    <x:row r="244">
      <x:c r="A244" s="26" t="str">
        <x:v>AB_OS_Project_Data_2024</x:v>
      </x:c>
      <x:c r="B244" s="26" t="str">
        <x:v>W28</x:v>
      </x:c>
      <x:c r="C244" s="26" t="str">
        <x:v>IF(T28="NET",Q28*U28/100,G28*U28/100)</x:v>
      </x:c>
      <x:c r="D244" s="26" t="str">
        <x:v>100, 100</x:v>
      </x:c>
      <x:c r="E244" s="26" t="str">
        <x:v>UNIT CONVERSION</x:v>
      </x:c>
      <x:c r="F244" s="26" t="str">
        <x:v>NO</x:v>
      </x:c>
      <x:c r="G244" s="26" t="str">
        <x:v>RETAIN LITERAL</x:v>
      </x:c>
      <x:c r="H244" s="26" t="str">
        <x:v>Percentage divisor</x:v>
      </x:c>
      <x:c r="I244" s="26" t="str">
        <x:v>Divides percentage points by 100</x:v>
      </x:c>
      <x:c r="J244" s="26" t="str">
        <x:v>v0.21 baseline formula; v0.23 disposition</x:v>
      </x:c>
    </x:row>
    <x:row r="245">
      <x:c r="A245" s="26" t="str">
        <x:v>AB_OS_Project_Data_2024</x:v>
      </x:c>
      <x:c r="B245" s="26" t="str">
        <x:v>AD28</x:v>
      </x:c>
      <x:c r="C245" s="26" t="str">
        <x:v>IF(ABS(H28)&lt;=1000,"PASS","REVIEW")</x:v>
      </x:c>
      <x:c r="D245" s="26" t="str">
        <x:v>1000</x:v>
      </x:c>
      <x:c r="E245" s="26" t="str">
        <x:v>VALIDATION THRESHOLD</x:v>
      </x:c>
      <x:c r="F245" s="26" t="str">
        <x:v>YES</x:v>
      </x:c>
      <x:c r="G245" s="26" t="str">
        <x:v>CENTRALIZED</x:v>
      </x:c>
      <x:c r="H245" s="26" t="str">
        <x:v>P-003</x:v>
      </x:c>
      <x:c r="I245" s="26" t="str">
        <x:v>Internal $1,000 reconciliation tolerance; reviewer approval required</x:v>
      </x:c>
      <x:c r="J245" s="26" t="str">
        <x:v>v0.21 baseline formula; v0.23 disposition</x:v>
      </x:c>
    </x:row>
    <x:row r="246">
      <x:c r="A246" s="26" t="str">
        <x:v>AB_OS_Project_Data_2024</x:v>
      </x:c>
      <x:c r="B246" s="26" t="str">
        <x:v>AE28</x:v>
      </x:c>
      <x:c r="C246" s="26" t="str">
        <x:v>IF(T28&lt;&gt;"NET","N/A",IF(ABS(S28)&lt;=1000,"PASS","REVIEW"))</x:v>
      </x:c>
      <x:c r="D246" s="26" t="str">
        <x:v>1000</x:v>
      </x:c>
      <x:c r="E246" s="26" t="str">
        <x:v>VALIDATION THRESHOLD</x:v>
      </x:c>
      <x:c r="F246" s="26" t="str">
        <x:v>YES</x:v>
      </x:c>
      <x:c r="G246" s="26" t="str">
        <x:v>CENTRALIZED</x:v>
      </x:c>
      <x:c r="H246" s="26" t="str">
        <x:v>P-003</x:v>
      </x:c>
      <x:c r="I246" s="26" t="str">
        <x:v>Internal $1,000 reconciliation tolerance; reviewer approval required</x:v>
      </x:c>
      <x:c r="J246" s="26" t="str">
        <x:v>v0.21 baseline formula; v0.23 disposition</x:v>
      </x:c>
    </x:row>
    <x:row r="247">
      <x:c r="A247" s="26" t="str">
        <x:v>AB_OS_Project_Data_2024</x:v>
      </x:c>
      <x:c r="B247" s="26" t="str">
        <x:v>AF28</x:v>
      </x:c>
      <x:c r="C247" s="26" t="str">
        <x:v>IF(ABS(X28)&lt;=1000,"WITHIN $1K","DISPLAY RATE / ADJUSTMENT")</x:v>
      </x:c>
      <x:c r="D247" s="26" t="str">
        <x:v>1000</x:v>
      </x:c>
      <x:c r="E247" s="26" t="str">
        <x:v>VALIDATION THRESHOLD</x:v>
      </x:c>
      <x:c r="F247" s="26" t="str">
        <x:v>YES</x:v>
      </x:c>
      <x:c r="G247" s="26" t="str">
        <x:v>CENTRALIZED</x:v>
      </x:c>
      <x:c r="H247" s="26" t="str">
        <x:v>P-003</x:v>
      </x:c>
      <x:c r="I247" s="26" t="str">
        <x:v>Internal $1,000 reconciliation tolerance; reviewer approval required</x:v>
      </x:c>
      <x:c r="J247" s="26" t="str">
        <x:v>v0.21 baseline formula; v0.23 disposition</x:v>
      </x:c>
    </x:row>
    <x:row r="248">
      <x:c r="A248" s="26" t="str">
        <x:v>AB_OS_Project_Data_2024</x:v>
      </x:c>
      <x:c r="B248" s="26" t="str">
        <x:v>W29</x:v>
      </x:c>
      <x:c r="C248" s="26" t="str">
        <x:v>IF(T29="NET",Q29*U29/100,G29*U29/100)</x:v>
      </x:c>
      <x:c r="D248" s="26" t="str">
        <x:v>100, 100</x:v>
      </x:c>
      <x:c r="E248" s="26" t="str">
        <x:v>UNIT CONVERSION</x:v>
      </x:c>
      <x:c r="F248" s="26" t="str">
        <x:v>NO</x:v>
      </x:c>
      <x:c r="G248" s="26" t="str">
        <x:v>RETAIN LITERAL</x:v>
      </x:c>
      <x:c r="H248" s="26" t="str">
        <x:v>Percentage divisor</x:v>
      </x:c>
      <x:c r="I248" s="26" t="str">
        <x:v>Divides percentage points by 100</x:v>
      </x:c>
      <x:c r="J248" s="26" t="str">
        <x:v>v0.21 baseline formula; v0.23 disposition</x:v>
      </x:c>
    </x:row>
    <x:row r="249">
      <x:c r="A249" s="26" t="str">
        <x:v>AB_OS_Project_Data_2024</x:v>
      </x:c>
      <x:c r="B249" s="26" t="str">
        <x:v>AD29</x:v>
      </x:c>
      <x:c r="C249" s="26" t="str">
        <x:v>IF(ABS(H29)&lt;=1000,"PASS","REVIEW")</x:v>
      </x:c>
      <x:c r="D249" s="26" t="str">
        <x:v>1000</x:v>
      </x:c>
      <x:c r="E249" s="26" t="str">
        <x:v>VALIDATION THRESHOLD</x:v>
      </x:c>
      <x:c r="F249" s="26" t="str">
        <x:v>YES</x:v>
      </x:c>
      <x:c r="G249" s="26" t="str">
        <x:v>CENTRALIZED</x:v>
      </x:c>
      <x:c r="H249" s="26" t="str">
        <x:v>P-003</x:v>
      </x:c>
      <x:c r="I249" s="26" t="str">
        <x:v>Internal $1,000 reconciliation tolerance; reviewer approval required</x:v>
      </x:c>
      <x:c r="J249" s="26" t="str">
        <x:v>v0.21 baseline formula; v0.23 disposition</x:v>
      </x:c>
    </x:row>
    <x:row r="250">
      <x:c r="A250" s="26" t="str">
        <x:v>AB_OS_Project_Data_2024</x:v>
      </x:c>
      <x:c r="B250" s="26" t="str">
        <x:v>AE29</x:v>
      </x:c>
      <x:c r="C250" s="26" t="str">
        <x:v>IF(T29&lt;&gt;"NET","N/A",IF(ABS(S29)&lt;=1000,"PASS","REVIEW"))</x:v>
      </x:c>
      <x:c r="D250" s="26" t="str">
        <x:v>1000</x:v>
      </x:c>
      <x:c r="E250" s="26" t="str">
        <x:v>VALIDATION THRESHOLD</x:v>
      </x:c>
      <x:c r="F250" s="26" t="str">
        <x:v>YES</x:v>
      </x:c>
      <x:c r="G250" s="26" t="str">
        <x:v>CENTRALIZED</x:v>
      </x:c>
      <x:c r="H250" s="26" t="str">
        <x:v>P-003</x:v>
      </x:c>
      <x:c r="I250" s="26" t="str">
        <x:v>Internal $1,000 reconciliation tolerance; reviewer approval required</x:v>
      </x:c>
      <x:c r="J250" s="26" t="str">
        <x:v>v0.21 baseline formula; v0.23 disposition</x:v>
      </x:c>
    </x:row>
    <x:row r="251">
      <x:c r="A251" s="26" t="str">
        <x:v>AB_OS_Project_Data_2024</x:v>
      </x:c>
      <x:c r="B251" s="26" t="str">
        <x:v>AF29</x:v>
      </x:c>
      <x:c r="C251" s="26" t="str">
        <x:v>IF(ABS(X29)&lt;=1000,"WITHIN $1K","DISPLAY RATE / ADJUSTMENT")</x:v>
      </x:c>
      <x:c r="D251" s="26" t="str">
        <x:v>1000</x:v>
      </x:c>
      <x:c r="E251" s="26" t="str">
        <x:v>VALIDATION THRESHOLD</x:v>
      </x:c>
      <x:c r="F251" s="26" t="str">
        <x:v>YES</x:v>
      </x:c>
      <x:c r="G251" s="26" t="str">
        <x:v>CENTRALIZED</x:v>
      </x:c>
      <x:c r="H251" s="26" t="str">
        <x:v>P-003</x:v>
      </x:c>
      <x:c r="I251" s="26" t="str">
        <x:v>Internal $1,000 reconciliation tolerance; reviewer approval required</x:v>
      </x:c>
      <x:c r="J251" s="26" t="str">
        <x:v>v0.21 baseline formula; v0.23 disposition</x:v>
      </x:c>
    </x:row>
    <x:row r="252">
      <x:c r="A252" s="26" t="str">
        <x:v>AB_OS_Project_Data_2024</x:v>
      </x:c>
      <x:c r="B252" s="26" t="str">
        <x:v>W30</x:v>
      </x:c>
      <x:c r="C252" s="26" t="str">
        <x:v>IF(T30="NET",Q30*U30/100,G30*U30/100)</x:v>
      </x:c>
      <x:c r="D252" s="26" t="str">
        <x:v>100, 100</x:v>
      </x:c>
      <x:c r="E252" s="26" t="str">
        <x:v>UNIT CONVERSION</x:v>
      </x:c>
      <x:c r="F252" s="26" t="str">
        <x:v>NO</x:v>
      </x:c>
      <x:c r="G252" s="26" t="str">
        <x:v>RETAIN LITERAL</x:v>
      </x:c>
      <x:c r="H252" s="26" t="str">
        <x:v>Percentage divisor</x:v>
      </x:c>
      <x:c r="I252" s="26" t="str">
        <x:v>Divides percentage points by 100</x:v>
      </x:c>
      <x:c r="J252" s="26" t="str">
        <x:v>v0.21 baseline formula; v0.23 disposition</x:v>
      </x:c>
    </x:row>
    <x:row r="253">
      <x:c r="A253" s="26" t="str">
        <x:v>AB_OS_Project_Data_2024</x:v>
      </x:c>
      <x:c r="B253" s="26" t="str">
        <x:v>AD30</x:v>
      </x:c>
      <x:c r="C253" s="26" t="str">
        <x:v>IF(ABS(H30)&lt;=1000,"PASS","REVIEW")</x:v>
      </x:c>
      <x:c r="D253" s="26" t="str">
        <x:v>1000</x:v>
      </x:c>
      <x:c r="E253" s="26" t="str">
        <x:v>VALIDATION THRESHOLD</x:v>
      </x:c>
      <x:c r="F253" s="26" t="str">
        <x:v>YES</x:v>
      </x:c>
      <x:c r="G253" s="26" t="str">
        <x:v>CENTRALIZED</x:v>
      </x:c>
      <x:c r="H253" s="26" t="str">
        <x:v>P-003</x:v>
      </x:c>
      <x:c r="I253" s="26" t="str">
        <x:v>Internal $1,000 reconciliation tolerance; reviewer approval required</x:v>
      </x:c>
      <x:c r="J253" s="26" t="str">
        <x:v>v0.21 baseline formula; v0.23 disposition</x:v>
      </x:c>
    </x:row>
    <x:row r="254">
      <x:c r="A254" s="26" t="str">
        <x:v>AB_OS_Project_Data_2024</x:v>
      </x:c>
      <x:c r="B254" s="26" t="str">
        <x:v>AE30</x:v>
      </x:c>
      <x:c r="C254" s="26" t="str">
        <x:v>IF(T30&lt;&gt;"NET","N/A",IF(ABS(S30)&lt;=1000,"PASS","REVIEW"))</x:v>
      </x:c>
      <x:c r="D254" s="26" t="str">
        <x:v>1000</x:v>
      </x:c>
      <x:c r="E254" s="26" t="str">
        <x:v>VALIDATION THRESHOLD</x:v>
      </x:c>
      <x:c r="F254" s="26" t="str">
        <x:v>YES</x:v>
      </x:c>
      <x:c r="G254" s="26" t="str">
        <x:v>CENTRALIZED</x:v>
      </x:c>
      <x:c r="H254" s="26" t="str">
        <x:v>P-003</x:v>
      </x:c>
      <x:c r="I254" s="26" t="str">
        <x:v>Internal $1,000 reconciliation tolerance; reviewer approval required</x:v>
      </x:c>
      <x:c r="J254" s="26" t="str">
        <x:v>v0.21 baseline formula; v0.23 disposition</x:v>
      </x:c>
    </x:row>
    <x:row r="255">
      <x:c r="A255" s="26" t="str">
        <x:v>AB_OS_Project_Data_2024</x:v>
      </x:c>
      <x:c r="B255" s="26" t="str">
        <x:v>AF30</x:v>
      </x:c>
      <x:c r="C255" s="26" t="str">
        <x:v>IF(ABS(X30)&lt;=1000,"WITHIN $1K","DISPLAY RATE / ADJUSTMENT")</x:v>
      </x:c>
      <x:c r="D255" s="26" t="str">
        <x:v>1000</x:v>
      </x:c>
      <x:c r="E255" s="26" t="str">
        <x:v>VALIDATION THRESHOLD</x:v>
      </x:c>
      <x:c r="F255" s="26" t="str">
        <x:v>YES</x:v>
      </x:c>
      <x:c r="G255" s="26" t="str">
        <x:v>CENTRALIZED</x:v>
      </x:c>
      <x:c r="H255" s="26" t="str">
        <x:v>P-003</x:v>
      </x:c>
      <x:c r="I255" s="26" t="str">
        <x:v>Internal $1,000 reconciliation tolerance; reviewer approval required</x:v>
      </x:c>
      <x:c r="J255" s="26" t="str">
        <x:v>v0.21 baseline formula; v0.23 disposition</x:v>
      </x:c>
    </x:row>
    <x:row r="256">
      <x:c r="A256" s="26" t="str">
        <x:v>AB_OS_Project_Data_2024</x:v>
      </x:c>
      <x:c r="B256" s="26" t="str">
        <x:v>W31</x:v>
      </x:c>
      <x:c r="C256" s="26" t="str">
        <x:v>IF(T31="NET",Q31*U31/100,G31*U31/100)</x:v>
      </x:c>
      <x:c r="D256" s="26" t="str">
        <x:v>100, 100</x:v>
      </x:c>
      <x:c r="E256" s="26" t="str">
        <x:v>UNIT CONVERSION</x:v>
      </x:c>
      <x:c r="F256" s="26" t="str">
        <x:v>NO</x:v>
      </x:c>
      <x:c r="G256" s="26" t="str">
        <x:v>RETAIN LITERAL</x:v>
      </x:c>
      <x:c r="H256" s="26" t="str">
        <x:v>Percentage divisor</x:v>
      </x:c>
      <x:c r="I256" s="26" t="str">
        <x:v>Divides percentage points by 100</x:v>
      </x:c>
      <x:c r="J256" s="26" t="str">
        <x:v>v0.21 baseline formula; v0.23 disposition</x:v>
      </x:c>
    </x:row>
    <x:row r="257">
      <x:c r="A257" s="26" t="str">
        <x:v>AB_OS_Project_Data_2024</x:v>
      </x:c>
      <x:c r="B257" s="26" t="str">
        <x:v>AD31</x:v>
      </x:c>
      <x:c r="C257" s="26" t="str">
        <x:v>IF(ABS(H31)&lt;=1000,"PASS","REVIEW")</x:v>
      </x:c>
      <x:c r="D257" s="26" t="str">
        <x:v>1000</x:v>
      </x:c>
      <x:c r="E257" s="26" t="str">
        <x:v>VALIDATION THRESHOLD</x:v>
      </x:c>
      <x:c r="F257" s="26" t="str">
        <x:v>YES</x:v>
      </x:c>
      <x:c r="G257" s="26" t="str">
        <x:v>CENTRALIZED</x:v>
      </x:c>
      <x:c r="H257" s="26" t="str">
        <x:v>P-003</x:v>
      </x:c>
      <x:c r="I257" s="26" t="str">
        <x:v>Internal $1,000 reconciliation tolerance; reviewer approval required</x:v>
      </x:c>
      <x:c r="J257" s="26" t="str">
        <x:v>v0.21 baseline formula; v0.23 disposition</x:v>
      </x:c>
    </x:row>
    <x:row r="258">
      <x:c r="A258" s="26" t="str">
        <x:v>AB_OS_Project_Data_2024</x:v>
      </x:c>
      <x:c r="B258" s="26" t="str">
        <x:v>AE31</x:v>
      </x:c>
      <x:c r="C258" s="26" t="str">
        <x:v>IF(T31&lt;&gt;"NET","N/A",IF(ABS(S31)&lt;=1000,"PASS","REVIEW"))</x:v>
      </x:c>
      <x:c r="D258" s="26" t="str">
        <x:v>1000</x:v>
      </x:c>
      <x:c r="E258" s="26" t="str">
        <x:v>VALIDATION THRESHOLD</x:v>
      </x:c>
      <x:c r="F258" s="26" t="str">
        <x:v>YES</x:v>
      </x:c>
      <x:c r="G258" s="26" t="str">
        <x:v>CENTRALIZED</x:v>
      </x:c>
      <x:c r="H258" s="26" t="str">
        <x:v>P-003</x:v>
      </x:c>
      <x:c r="I258" s="26" t="str">
        <x:v>Internal $1,000 reconciliation tolerance; reviewer approval required</x:v>
      </x:c>
      <x:c r="J258" s="26" t="str">
        <x:v>v0.21 baseline formula; v0.23 disposition</x:v>
      </x:c>
    </x:row>
    <x:row r="259">
      <x:c r="A259" s="26" t="str">
        <x:v>AB_OS_Project_Data_2024</x:v>
      </x:c>
      <x:c r="B259" s="26" t="str">
        <x:v>AF31</x:v>
      </x:c>
      <x:c r="C259" s="26" t="str">
        <x:v>IF(ABS(X31)&lt;=1000,"WITHIN $1K","DISPLAY RATE / ADJUSTMENT")</x:v>
      </x:c>
      <x:c r="D259" s="26" t="str">
        <x:v>1000</x:v>
      </x:c>
      <x:c r="E259" s="26" t="str">
        <x:v>VALIDATION THRESHOLD</x:v>
      </x:c>
      <x:c r="F259" s="26" t="str">
        <x:v>YES</x:v>
      </x:c>
      <x:c r="G259" s="26" t="str">
        <x:v>CENTRALIZED</x:v>
      </x:c>
      <x:c r="H259" s="26" t="str">
        <x:v>P-003</x:v>
      </x:c>
      <x:c r="I259" s="26" t="str">
        <x:v>Internal $1,000 reconciliation tolerance; reviewer approval required</x:v>
      </x:c>
      <x:c r="J259" s="26" t="str">
        <x:v>v0.21 baseline formula; v0.23 disposition</x:v>
      </x:c>
    </x:row>
    <x:row r="260">
      <x:c r="A260" s="26" t="str">
        <x:v>AB_OS_Project_Data_2024</x:v>
      </x:c>
      <x:c r="B260" s="26" t="str">
        <x:v>W32</x:v>
      </x:c>
      <x:c r="C260" s="26" t="str">
        <x:v>IF(T32="NET",Q32*U32/100,G32*U32/100)</x:v>
      </x:c>
      <x:c r="D260" s="26" t="str">
        <x:v>100, 100</x:v>
      </x:c>
      <x:c r="E260" s="26" t="str">
        <x:v>UNIT CONVERSION</x:v>
      </x:c>
      <x:c r="F260" s="26" t="str">
        <x:v>NO</x:v>
      </x:c>
      <x:c r="G260" s="26" t="str">
        <x:v>RETAIN LITERAL</x:v>
      </x:c>
      <x:c r="H260" s="26" t="str">
        <x:v>Percentage divisor</x:v>
      </x:c>
      <x:c r="I260" s="26" t="str">
        <x:v>Divides percentage points by 100</x:v>
      </x:c>
      <x:c r="J260" s="26" t="str">
        <x:v>v0.21 baseline formula; v0.23 disposition</x:v>
      </x:c>
    </x:row>
    <x:row r="261">
      <x:c r="A261" s="26" t="str">
        <x:v>AB_OS_Project_Data_2024</x:v>
      </x:c>
      <x:c r="B261" s="26" t="str">
        <x:v>AD32</x:v>
      </x:c>
      <x:c r="C261" s="26" t="str">
        <x:v>IF(ABS(H32)&lt;=1000,"PASS","REVIEW")</x:v>
      </x:c>
      <x:c r="D261" s="26" t="str">
        <x:v>1000</x:v>
      </x:c>
      <x:c r="E261" s="26" t="str">
        <x:v>VALIDATION THRESHOLD</x:v>
      </x:c>
      <x:c r="F261" s="26" t="str">
        <x:v>YES</x:v>
      </x:c>
      <x:c r="G261" s="26" t="str">
        <x:v>CENTRALIZED</x:v>
      </x:c>
      <x:c r="H261" s="26" t="str">
        <x:v>P-003</x:v>
      </x:c>
      <x:c r="I261" s="26" t="str">
        <x:v>Internal $1,000 reconciliation tolerance; reviewer approval required</x:v>
      </x:c>
      <x:c r="J261" s="26" t="str">
        <x:v>v0.21 baseline formula; v0.23 disposition</x:v>
      </x:c>
    </x:row>
    <x:row r="262">
      <x:c r="A262" s="26" t="str">
        <x:v>AB_OS_Project_Data_2024</x:v>
      </x:c>
      <x:c r="B262" s="26" t="str">
        <x:v>AE32</x:v>
      </x:c>
      <x:c r="C262" s="26" t="str">
        <x:v>IF(T32&lt;&gt;"NET","N/A",IF(ABS(S32)&lt;=1000,"PASS","REVIEW"))</x:v>
      </x:c>
      <x:c r="D262" s="26" t="str">
        <x:v>1000</x:v>
      </x:c>
      <x:c r="E262" s="26" t="str">
        <x:v>VALIDATION THRESHOLD</x:v>
      </x:c>
      <x:c r="F262" s="26" t="str">
        <x:v>YES</x:v>
      </x:c>
      <x:c r="G262" s="26" t="str">
        <x:v>CENTRALIZED</x:v>
      </x:c>
      <x:c r="H262" s="26" t="str">
        <x:v>P-003</x:v>
      </x:c>
      <x:c r="I262" s="26" t="str">
        <x:v>Internal $1,000 reconciliation tolerance; reviewer approval required</x:v>
      </x:c>
      <x:c r="J262" s="26" t="str">
        <x:v>v0.21 baseline formula; v0.23 disposition</x:v>
      </x:c>
    </x:row>
    <x:row r="263">
      <x:c r="A263" s="26" t="str">
        <x:v>AB_OS_Project_Data_2024</x:v>
      </x:c>
      <x:c r="B263" s="26" t="str">
        <x:v>AF32</x:v>
      </x:c>
      <x:c r="C263" s="26" t="str">
        <x:v>IF(ABS(X32)&lt;=1000,"WITHIN $1K","DISPLAY RATE / ADJUSTMENT")</x:v>
      </x:c>
      <x:c r="D263" s="26" t="str">
        <x:v>1000</x:v>
      </x:c>
      <x:c r="E263" s="26" t="str">
        <x:v>VALIDATION THRESHOLD</x:v>
      </x:c>
      <x:c r="F263" s="26" t="str">
        <x:v>YES</x:v>
      </x:c>
      <x:c r="G263" s="26" t="str">
        <x:v>CENTRALIZED</x:v>
      </x:c>
      <x:c r="H263" s="26" t="str">
        <x:v>P-003</x:v>
      </x:c>
      <x:c r="I263" s="26" t="str">
        <x:v>Internal $1,000 reconciliation tolerance; reviewer approval required</x:v>
      </x:c>
      <x:c r="J263" s="26" t="str">
        <x:v>v0.21 baseline formula; v0.23 disposition</x:v>
      </x:c>
    </x:row>
    <x:row r="264">
      <x:c r="A264" s="26" t="str">
        <x:v>AB_OS_Project_Data_2024</x:v>
      </x:c>
      <x:c r="B264" s="26" t="str">
        <x:v>W33</x:v>
      </x:c>
      <x:c r="C264" s="26" t="str">
        <x:v>IF(T33="NET",Q33*U33/100,G33*U33/100)</x:v>
      </x:c>
      <x:c r="D264" s="26" t="str">
        <x:v>100, 100</x:v>
      </x:c>
      <x:c r="E264" s="26" t="str">
        <x:v>UNIT CONVERSION</x:v>
      </x:c>
      <x:c r="F264" s="26" t="str">
        <x:v>NO</x:v>
      </x:c>
      <x:c r="G264" s="26" t="str">
        <x:v>RETAIN LITERAL</x:v>
      </x:c>
      <x:c r="H264" s="26" t="str">
        <x:v>Percentage divisor</x:v>
      </x:c>
      <x:c r="I264" s="26" t="str">
        <x:v>Divides percentage points by 100</x:v>
      </x:c>
      <x:c r="J264" s="26" t="str">
        <x:v>v0.21 baseline formula; v0.23 disposition</x:v>
      </x:c>
    </x:row>
    <x:row r="265">
      <x:c r="A265" s="26" t="str">
        <x:v>AB_OS_Project_Data_2024</x:v>
      </x:c>
      <x:c r="B265" s="26" t="str">
        <x:v>AD33</x:v>
      </x:c>
      <x:c r="C265" s="26" t="str">
        <x:v>IF(ABS(H33)&lt;=1000,"PASS","REVIEW")</x:v>
      </x:c>
      <x:c r="D265" s="26" t="str">
        <x:v>1000</x:v>
      </x:c>
      <x:c r="E265" s="26" t="str">
        <x:v>VALIDATION THRESHOLD</x:v>
      </x:c>
      <x:c r="F265" s="26" t="str">
        <x:v>YES</x:v>
      </x:c>
      <x:c r="G265" s="26" t="str">
        <x:v>CENTRALIZED</x:v>
      </x:c>
      <x:c r="H265" s="26" t="str">
        <x:v>P-003</x:v>
      </x:c>
      <x:c r="I265" s="26" t="str">
        <x:v>Internal $1,000 reconciliation tolerance; reviewer approval required</x:v>
      </x:c>
      <x:c r="J265" s="26" t="str">
        <x:v>v0.21 baseline formula; v0.23 disposition</x:v>
      </x:c>
    </x:row>
    <x:row r="266">
      <x:c r="A266" s="26" t="str">
        <x:v>AB_OS_Project_Data_2024</x:v>
      </x:c>
      <x:c r="B266" s="26" t="str">
        <x:v>AE33</x:v>
      </x:c>
      <x:c r="C266" s="26" t="str">
        <x:v>IF(T33&lt;&gt;"NET","N/A",IF(ABS(S33)&lt;=1000,"PASS","REVIEW"))</x:v>
      </x:c>
      <x:c r="D266" s="26" t="str">
        <x:v>1000</x:v>
      </x:c>
      <x:c r="E266" s="26" t="str">
        <x:v>VALIDATION THRESHOLD</x:v>
      </x:c>
      <x:c r="F266" s="26" t="str">
        <x:v>YES</x:v>
      </x:c>
      <x:c r="G266" s="26" t="str">
        <x:v>CENTRALIZED</x:v>
      </x:c>
      <x:c r="H266" s="26" t="str">
        <x:v>P-003</x:v>
      </x:c>
      <x:c r="I266" s="26" t="str">
        <x:v>Internal $1,000 reconciliation tolerance; reviewer approval required</x:v>
      </x:c>
      <x:c r="J266" s="26" t="str">
        <x:v>v0.21 baseline formula; v0.23 disposition</x:v>
      </x:c>
    </x:row>
    <x:row r="267">
      <x:c r="A267" s="26" t="str">
        <x:v>AB_OS_Project_Data_2024</x:v>
      </x:c>
      <x:c r="B267" s="26" t="str">
        <x:v>AF33</x:v>
      </x:c>
      <x:c r="C267" s="26" t="str">
        <x:v>IF(ABS(X33)&lt;=1000,"WITHIN $1K","DISPLAY RATE / ADJUSTMENT")</x:v>
      </x:c>
      <x:c r="D267" s="26" t="str">
        <x:v>1000</x:v>
      </x:c>
      <x:c r="E267" s="26" t="str">
        <x:v>VALIDATION THRESHOLD</x:v>
      </x:c>
      <x:c r="F267" s="26" t="str">
        <x:v>YES</x:v>
      </x:c>
      <x:c r="G267" s="26" t="str">
        <x:v>CENTRALIZED</x:v>
      </x:c>
      <x:c r="H267" s="26" t="str">
        <x:v>P-003</x:v>
      </x:c>
      <x:c r="I267" s="26" t="str">
        <x:v>Internal $1,000 reconciliation tolerance; reviewer approval required</x:v>
      </x:c>
      <x:c r="J267" s="26" t="str">
        <x:v>v0.21 baseline formula; v0.23 disposition</x:v>
      </x:c>
    </x:row>
    <x:row r="268">
      <x:c r="A268" s="26" t="str">
        <x:v>AB_OS_Project_Data_2024</x:v>
      </x:c>
      <x:c r="B268" s="26" t="str">
        <x:v>W34</x:v>
      </x:c>
      <x:c r="C268" s="26" t="str">
        <x:v>IF(T34="NET",Q34*U34/100,G34*U34/100)</x:v>
      </x:c>
      <x:c r="D268" s="26" t="str">
        <x:v>100, 100</x:v>
      </x:c>
      <x:c r="E268" s="26" t="str">
        <x:v>UNIT CONVERSION</x:v>
      </x:c>
      <x:c r="F268" s="26" t="str">
        <x:v>NO</x:v>
      </x:c>
      <x:c r="G268" s="26" t="str">
        <x:v>RETAIN LITERAL</x:v>
      </x:c>
      <x:c r="H268" s="26" t="str">
        <x:v>Percentage divisor</x:v>
      </x:c>
      <x:c r="I268" s="26" t="str">
        <x:v>Divides percentage points by 100</x:v>
      </x:c>
      <x:c r="J268" s="26" t="str">
        <x:v>v0.21 baseline formula; v0.23 disposition</x:v>
      </x:c>
    </x:row>
    <x:row r="269">
      <x:c r="A269" s="26" t="str">
        <x:v>AB_OS_Project_Data_2024</x:v>
      </x:c>
      <x:c r="B269" s="26" t="str">
        <x:v>AD34</x:v>
      </x:c>
      <x:c r="C269" s="26" t="str">
        <x:v>IF(ABS(H34)&lt;=1000,"PASS","REVIEW")</x:v>
      </x:c>
      <x:c r="D269" s="26" t="str">
        <x:v>1000</x:v>
      </x:c>
      <x:c r="E269" s="26" t="str">
        <x:v>VALIDATION THRESHOLD</x:v>
      </x:c>
      <x:c r="F269" s="26" t="str">
        <x:v>YES</x:v>
      </x:c>
      <x:c r="G269" s="26" t="str">
        <x:v>CENTRALIZED</x:v>
      </x:c>
      <x:c r="H269" s="26" t="str">
        <x:v>P-003</x:v>
      </x:c>
      <x:c r="I269" s="26" t="str">
        <x:v>Internal $1,000 reconciliation tolerance; reviewer approval required</x:v>
      </x:c>
      <x:c r="J269" s="26" t="str">
        <x:v>v0.21 baseline formula; v0.23 disposition</x:v>
      </x:c>
    </x:row>
    <x:row r="270">
      <x:c r="A270" s="26" t="str">
        <x:v>AB_OS_Project_Data_2024</x:v>
      </x:c>
      <x:c r="B270" s="26" t="str">
        <x:v>AE34</x:v>
      </x:c>
      <x:c r="C270" s="26" t="str">
        <x:v>IF(T34&lt;&gt;"NET","N/A",IF(ABS(S34)&lt;=1000,"PASS","REVIEW"))</x:v>
      </x:c>
      <x:c r="D270" s="26" t="str">
        <x:v>1000</x:v>
      </x:c>
      <x:c r="E270" s="26" t="str">
        <x:v>VALIDATION THRESHOLD</x:v>
      </x:c>
      <x:c r="F270" s="26" t="str">
        <x:v>YES</x:v>
      </x:c>
      <x:c r="G270" s="26" t="str">
        <x:v>CENTRALIZED</x:v>
      </x:c>
      <x:c r="H270" s="26" t="str">
        <x:v>P-003</x:v>
      </x:c>
      <x:c r="I270" s="26" t="str">
        <x:v>Internal $1,000 reconciliation tolerance; reviewer approval required</x:v>
      </x:c>
      <x:c r="J270" s="26" t="str">
        <x:v>v0.21 baseline formula; v0.23 disposition</x:v>
      </x:c>
    </x:row>
    <x:row r="271">
      <x:c r="A271" s="26" t="str">
        <x:v>AB_OS_Project_Data_2024</x:v>
      </x:c>
      <x:c r="B271" s="26" t="str">
        <x:v>AF34</x:v>
      </x:c>
      <x:c r="C271" s="26" t="str">
        <x:v>IF(ABS(X34)&lt;=1000,"WITHIN $1K","DISPLAY RATE / ADJUSTMENT")</x:v>
      </x:c>
      <x:c r="D271" s="26" t="str">
        <x:v>1000</x:v>
      </x:c>
      <x:c r="E271" s="26" t="str">
        <x:v>VALIDATION THRESHOLD</x:v>
      </x:c>
      <x:c r="F271" s="26" t="str">
        <x:v>YES</x:v>
      </x:c>
      <x:c r="G271" s="26" t="str">
        <x:v>CENTRALIZED</x:v>
      </x:c>
      <x:c r="H271" s="26" t="str">
        <x:v>P-003</x:v>
      </x:c>
      <x:c r="I271" s="26" t="str">
        <x:v>Internal $1,000 reconciliation tolerance; reviewer approval required</x:v>
      </x:c>
      <x:c r="J271" s="26" t="str">
        <x:v>v0.21 baseline formula; v0.23 disposition</x:v>
      </x:c>
    </x:row>
    <x:row r="272">
      <x:c r="A272" s="26" t="str">
        <x:v>AB_OS_Project_Data_2024</x:v>
      </x:c>
      <x:c r="B272" s="26" t="str">
        <x:v>W35</x:v>
      </x:c>
      <x:c r="C272" s="26" t="str">
        <x:v>IF(T35="NET",Q35*U35/100,G35*U35/100)</x:v>
      </x:c>
      <x:c r="D272" s="26" t="str">
        <x:v>100, 100</x:v>
      </x:c>
      <x:c r="E272" s="26" t="str">
        <x:v>UNIT CONVERSION</x:v>
      </x:c>
      <x:c r="F272" s="26" t="str">
        <x:v>NO</x:v>
      </x:c>
      <x:c r="G272" s="26" t="str">
        <x:v>RETAIN LITERAL</x:v>
      </x:c>
      <x:c r="H272" s="26" t="str">
        <x:v>Percentage divisor</x:v>
      </x:c>
      <x:c r="I272" s="26" t="str">
        <x:v>Divides percentage points by 100</x:v>
      </x:c>
      <x:c r="J272" s="26" t="str">
        <x:v>v0.21 baseline formula; v0.23 disposition</x:v>
      </x:c>
    </x:row>
    <x:row r="273">
      <x:c r="A273" s="26" t="str">
        <x:v>AB_OS_Project_Data_2024</x:v>
      </x:c>
      <x:c r="B273" s="26" t="str">
        <x:v>AD35</x:v>
      </x:c>
      <x:c r="C273" s="26" t="str">
        <x:v>IF(ABS(H35)&lt;=1000,"PASS","REVIEW")</x:v>
      </x:c>
      <x:c r="D273" s="26" t="str">
        <x:v>1000</x:v>
      </x:c>
      <x:c r="E273" s="26" t="str">
        <x:v>VALIDATION THRESHOLD</x:v>
      </x:c>
      <x:c r="F273" s="26" t="str">
        <x:v>YES</x:v>
      </x:c>
      <x:c r="G273" s="26" t="str">
        <x:v>CENTRALIZED</x:v>
      </x:c>
      <x:c r="H273" s="26" t="str">
        <x:v>P-003</x:v>
      </x:c>
      <x:c r="I273" s="26" t="str">
        <x:v>Internal $1,000 reconciliation tolerance; reviewer approval required</x:v>
      </x:c>
      <x:c r="J273" s="26" t="str">
        <x:v>v0.21 baseline formula; v0.23 disposition</x:v>
      </x:c>
    </x:row>
    <x:row r="274">
      <x:c r="A274" s="26" t="str">
        <x:v>AB_OS_Project_Data_2024</x:v>
      </x:c>
      <x:c r="B274" s="26" t="str">
        <x:v>AE35</x:v>
      </x:c>
      <x:c r="C274" s="26" t="str">
        <x:v>IF(T35&lt;&gt;"NET","N/A",IF(ABS(S35)&lt;=1000,"PASS","REVIEW"))</x:v>
      </x:c>
      <x:c r="D274" s="26" t="str">
        <x:v>1000</x:v>
      </x:c>
      <x:c r="E274" s="26" t="str">
        <x:v>VALIDATION THRESHOLD</x:v>
      </x:c>
      <x:c r="F274" s="26" t="str">
        <x:v>YES</x:v>
      </x:c>
      <x:c r="G274" s="26" t="str">
        <x:v>CENTRALIZED</x:v>
      </x:c>
      <x:c r="H274" s="26" t="str">
        <x:v>P-003</x:v>
      </x:c>
      <x:c r="I274" s="26" t="str">
        <x:v>Internal $1,000 reconciliation tolerance; reviewer approval required</x:v>
      </x:c>
      <x:c r="J274" s="26" t="str">
        <x:v>v0.21 baseline formula; v0.23 disposition</x:v>
      </x:c>
    </x:row>
    <x:row r="275">
      <x:c r="A275" s="26" t="str">
        <x:v>AB_OS_Project_Data_2024</x:v>
      </x:c>
      <x:c r="B275" s="26" t="str">
        <x:v>AF35</x:v>
      </x:c>
      <x:c r="C275" s="26" t="str">
        <x:v>IF(ABS(X35)&lt;=1000,"WITHIN $1K","DISPLAY RATE / ADJUSTMENT")</x:v>
      </x:c>
      <x:c r="D275" s="26" t="str">
        <x:v>1000</x:v>
      </x:c>
      <x:c r="E275" s="26" t="str">
        <x:v>VALIDATION THRESHOLD</x:v>
      </x:c>
      <x:c r="F275" s="26" t="str">
        <x:v>YES</x:v>
      </x:c>
      <x:c r="G275" s="26" t="str">
        <x:v>CENTRALIZED</x:v>
      </x:c>
      <x:c r="H275" s="26" t="str">
        <x:v>P-003</x:v>
      </x:c>
      <x:c r="I275" s="26" t="str">
        <x:v>Internal $1,000 reconciliation tolerance; reviewer approval required</x:v>
      </x:c>
      <x:c r="J275" s="26" t="str">
        <x:v>v0.21 baseline formula; v0.23 disposition</x:v>
      </x:c>
    </x:row>
    <x:row r="276">
      <x:c r="A276" s="26" t="str">
        <x:v>AB_OS_Project_Data_2024</x:v>
      </x:c>
      <x:c r="B276" s="26" t="str">
        <x:v>W36</x:v>
      </x:c>
      <x:c r="C276" s="26" t="str">
        <x:v>IF(T36="NET",Q36*U36/100,G36*U36/100)</x:v>
      </x:c>
      <x:c r="D276" s="26" t="str">
        <x:v>100, 100</x:v>
      </x:c>
      <x:c r="E276" s="26" t="str">
        <x:v>UNIT CONVERSION</x:v>
      </x:c>
      <x:c r="F276" s="26" t="str">
        <x:v>NO</x:v>
      </x:c>
      <x:c r="G276" s="26" t="str">
        <x:v>RETAIN LITERAL</x:v>
      </x:c>
      <x:c r="H276" s="26" t="str">
        <x:v>Percentage divisor</x:v>
      </x:c>
      <x:c r="I276" s="26" t="str">
        <x:v>Divides percentage points by 100</x:v>
      </x:c>
      <x:c r="J276" s="26" t="str">
        <x:v>v0.21 baseline formula; v0.23 disposition</x:v>
      </x:c>
    </x:row>
    <x:row r="277">
      <x:c r="A277" s="26" t="str">
        <x:v>AB_OS_Project_Data_2024</x:v>
      </x:c>
      <x:c r="B277" s="26" t="str">
        <x:v>AD36</x:v>
      </x:c>
      <x:c r="C277" s="26" t="str">
        <x:v>IF(ABS(H36)&lt;=1000,"PASS","REVIEW")</x:v>
      </x:c>
      <x:c r="D277" s="26" t="str">
        <x:v>1000</x:v>
      </x:c>
      <x:c r="E277" s="26" t="str">
        <x:v>VALIDATION THRESHOLD</x:v>
      </x:c>
      <x:c r="F277" s="26" t="str">
        <x:v>YES</x:v>
      </x:c>
      <x:c r="G277" s="26" t="str">
        <x:v>CENTRALIZED</x:v>
      </x:c>
      <x:c r="H277" s="26" t="str">
        <x:v>P-003</x:v>
      </x:c>
      <x:c r="I277" s="26" t="str">
        <x:v>Internal $1,000 reconciliation tolerance; reviewer approval required</x:v>
      </x:c>
      <x:c r="J277" s="26" t="str">
        <x:v>v0.21 baseline formula; v0.23 disposition</x:v>
      </x:c>
    </x:row>
    <x:row r="278">
      <x:c r="A278" s="26" t="str">
        <x:v>AB_OS_Project_Data_2024</x:v>
      </x:c>
      <x:c r="B278" s="26" t="str">
        <x:v>AE36</x:v>
      </x:c>
      <x:c r="C278" s="26" t="str">
        <x:v>IF(T36&lt;&gt;"NET","N/A",IF(ABS(S36)&lt;=1000,"PASS","REVIEW"))</x:v>
      </x:c>
      <x:c r="D278" s="26" t="str">
        <x:v>1000</x:v>
      </x:c>
      <x:c r="E278" s="26" t="str">
        <x:v>VALIDATION THRESHOLD</x:v>
      </x:c>
      <x:c r="F278" s="26" t="str">
        <x:v>YES</x:v>
      </x:c>
      <x:c r="G278" s="26" t="str">
        <x:v>CENTRALIZED</x:v>
      </x:c>
      <x:c r="H278" s="26" t="str">
        <x:v>P-003</x:v>
      </x:c>
      <x:c r="I278" s="26" t="str">
        <x:v>Internal $1,000 reconciliation tolerance; reviewer approval required</x:v>
      </x:c>
      <x:c r="J278" s="26" t="str">
        <x:v>v0.21 baseline formula; v0.23 disposition</x:v>
      </x:c>
    </x:row>
    <x:row r="279">
      <x:c r="A279" s="26" t="str">
        <x:v>AB_OS_Project_Data_2024</x:v>
      </x:c>
      <x:c r="B279" s="26" t="str">
        <x:v>AF36</x:v>
      </x:c>
      <x:c r="C279" s="26" t="str">
        <x:v>IF(ABS(X36)&lt;=1000,"WITHIN $1K","DISPLAY RATE / ADJUSTMENT")</x:v>
      </x:c>
      <x:c r="D279" s="26" t="str">
        <x:v>1000</x:v>
      </x:c>
      <x:c r="E279" s="26" t="str">
        <x:v>VALIDATION THRESHOLD</x:v>
      </x:c>
      <x:c r="F279" s="26" t="str">
        <x:v>YES</x:v>
      </x:c>
      <x:c r="G279" s="26" t="str">
        <x:v>CENTRALIZED</x:v>
      </x:c>
      <x:c r="H279" s="26" t="str">
        <x:v>P-003</x:v>
      </x:c>
      <x:c r="I279" s="26" t="str">
        <x:v>Internal $1,000 reconciliation tolerance; reviewer approval required</x:v>
      </x:c>
      <x:c r="J279" s="26" t="str">
        <x:v>v0.21 baseline formula; v0.23 disposition</x:v>
      </x:c>
    </x:row>
    <x:row r="280">
      <x:c r="A280" s="26" t="str">
        <x:v>AB_OS_Project_Data_2024</x:v>
      </x:c>
      <x:c r="B280" s="26" t="str">
        <x:v>W37</x:v>
      </x:c>
      <x:c r="C280" s="26" t="str">
        <x:v>IF(T37="NET",Q37*U37/100,G37*U37/100)</x:v>
      </x:c>
      <x:c r="D280" s="26" t="str">
        <x:v>100, 100</x:v>
      </x:c>
      <x:c r="E280" s="26" t="str">
        <x:v>UNIT CONVERSION</x:v>
      </x:c>
      <x:c r="F280" s="26" t="str">
        <x:v>NO</x:v>
      </x:c>
      <x:c r="G280" s="26" t="str">
        <x:v>RETAIN LITERAL</x:v>
      </x:c>
      <x:c r="H280" s="26" t="str">
        <x:v>Percentage divisor</x:v>
      </x:c>
      <x:c r="I280" s="26" t="str">
        <x:v>Divides percentage points by 100</x:v>
      </x:c>
      <x:c r="J280" s="26" t="str">
        <x:v>v0.21 baseline formula; v0.23 disposition</x:v>
      </x:c>
    </x:row>
    <x:row r="281">
      <x:c r="A281" s="26" t="str">
        <x:v>AB_OS_Project_Data_2024</x:v>
      </x:c>
      <x:c r="B281" s="26" t="str">
        <x:v>AD37</x:v>
      </x:c>
      <x:c r="C281" s="26" t="str">
        <x:v>IF(ABS(H37)&lt;=1000,"PASS","REVIEW")</x:v>
      </x:c>
      <x:c r="D281" s="26" t="str">
        <x:v>1000</x:v>
      </x:c>
      <x:c r="E281" s="26" t="str">
        <x:v>VALIDATION THRESHOLD</x:v>
      </x:c>
      <x:c r="F281" s="26" t="str">
        <x:v>YES</x:v>
      </x:c>
      <x:c r="G281" s="26" t="str">
        <x:v>CENTRALIZED</x:v>
      </x:c>
      <x:c r="H281" s="26" t="str">
        <x:v>P-003</x:v>
      </x:c>
      <x:c r="I281" s="26" t="str">
        <x:v>Internal $1,000 reconciliation tolerance; reviewer approval required</x:v>
      </x:c>
      <x:c r="J281" s="26" t="str">
        <x:v>v0.21 baseline formula; v0.23 disposition</x:v>
      </x:c>
    </x:row>
    <x:row r="282">
      <x:c r="A282" s="26" t="str">
        <x:v>AB_OS_Project_Data_2024</x:v>
      </x:c>
      <x:c r="B282" s="26" t="str">
        <x:v>AE37</x:v>
      </x:c>
      <x:c r="C282" s="26" t="str">
        <x:v>IF(T37&lt;&gt;"NET","N/A",IF(ABS(S37)&lt;=1000,"PASS","REVIEW"))</x:v>
      </x:c>
      <x:c r="D282" s="26" t="str">
        <x:v>1000</x:v>
      </x:c>
      <x:c r="E282" s="26" t="str">
        <x:v>VALIDATION THRESHOLD</x:v>
      </x:c>
      <x:c r="F282" s="26" t="str">
        <x:v>YES</x:v>
      </x:c>
      <x:c r="G282" s="26" t="str">
        <x:v>CENTRALIZED</x:v>
      </x:c>
      <x:c r="H282" s="26" t="str">
        <x:v>P-003</x:v>
      </x:c>
      <x:c r="I282" s="26" t="str">
        <x:v>Internal $1,000 reconciliation tolerance; reviewer approval required</x:v>
      </x:c>
      <x:c r="J282" s="26" t="str">
        <x:v>v0.21 baseline formula; v0.23 disposition</x:v>
      </x:c>
    </x:row>
    <x:row r="283">
      <x:c r="A283" s="26" t="str">
        <x:v>AB_OS_Project_Data_2024</x:v>
      </x:c>
      <x:c r="B283" s="26" t="str">
        <x:v>AF37</x:v>
      </x:c>
      <x:c r="C283" s="26" t="str">
        <x:v>IF(ABS(X37)&lt;=1000,"WITHIN $1K","DISPLAY RATE / ADJUSTMENT")</x:v>
      </x:c>
      <x:c r="D283" s="26" t="str">
        <x:v>1000</x:v>
      </x:c>
      <x:c r="E283" s="26" t="str">
        <x:v>VALIDATION THRESHOLD</x:v>
      </x:c>
      <x:c r="F283" s="26" t="str">
        <x:v>YES</x:v>
      </x:c>
      <x:c r="G283" s="26" t="str">
        <x:v>CENTRALIZED</x:v>
      </x:c>
      <x:c r="H283" s="26" t="str">
        <x:v>P-003</x:v>
      </x:c>
      <x:c r="I283" s="26" t="str">
        <x:v>Internal $1,000 reconciliation tolerance; reviewer approval required</x:v>
      </x:c>
      <x:c r="J283" s="26" t="str">
        <x:v>v0.21 baseline formula; v0.23 disposition</x:v>
      </x:c>
    </x:row>
    <x:row r="284">
      <x:c r="A284" s="26" t="str">
        <x:v>AB_OS_Project_Data_2024</x:v>
      </x:c>
      <x:c r="B284" s="26" t="str">
        <x:v>W38</x:v>
      </x:c>
      <x:c r="C284" s="26" t="str">
        <x:v>IF(T38="NET",Q38*U38/100,G38*U38/100)</x:v>
      </x:c>
      <x:c r="D284" s="26" t="str">
        <x:v>100, 100</x:v>
      </x:c>
      <x:c r="E284" s="26" t="str">
        <x:v>UNIT CONVERSION</x:v>
      </x:c>
      <x:c r="F284" s="26" t="str">
        <x:v>NO</x:v>
      </x:c>
      <x:c r="G284" s="26" t="str">
        <x:v>RETAIN LITERAL</x:v>
      </x:c>
      <x:c r="H284" s="26" t="str">
        <x:v>Percentage divisor</x:v>
      </x:c>
      <x:c r="I284" s="26" t="str">
        <x:v>Divides percentage points by 100</x:v>
      </x:c>
      <x:c r="J284" s="26" t="str">
        <x:v>v0.21 baseline formula; v0.23 disposition</x:v>
      </x:c>
    </x:row>
    <x:row r="285">
      <x:c r="A285" s="26" t="str">
        <x:v>AB_OS_Project_Data_2024</x:v>
      </x:c>
      <x:c r="B285" s="26" t="str">
        <x:v>AD38</x:v>
      </x:c>
      <x:c r="C285" s="26" t="str">
        <x:v>IF(ABS(H38)&lt;=1000,"PASS","REVIEW")</x:v>
      </x:c>
      <x:c r="D285" s="26" t="str">
        <x:v>1000</x:v>
      </x:c>
      <x:c r="E285" s="26" t="str">
        <x:v>VALIDATION THRESHOLD</x:v>
      </x:c>
      <x:c r="F285" s="26" t="str">
        <x:v>YES</x:v>
      </x:c>
      <x:c r="G285" s="26" t="str">
        <x:v>CENTRALIZED</x:v>
      </x:c>
      <x:c r="H285" s="26" t="str">
        <x:v>P-003</x:v>
      </x:c>
      <x:c r="I285" s="26" t="str">
        <x:v>Internal $1,000 reconciliation tolerance; reviewer approval required</x:v>
      </x:c>
      <x:c r="J285" s="26" t="str">
        <x:v>v0.21 baseline formula; v0.23 disposition</x:v>
      </x:c>
    </x:row>
    <x:row r="286">
      <x:c r="A286" s="26" t="str">
        <x:v>AB_OS_Project_Data_2024</x:v>
      </x:c>
      <x:c r="B286" s="26" t="str">
        <x:v>AE38</x:v>
      </x:c>
      <x:c r="C286" s="26" t="str">
        <x:v>IF(T38&lt;&gt;"NET","N/A",IF(ABS(S38)&lt;=1000,"PASS","REVIEW"))</x:v>
      </x:c>
      <x:c r="D286" s="26" t="str">
        <x:v>1000</x:v>
      </x:c>
      <x:c r="E286" s="26" t="str">
        <x:v>VALIDATION THRESHOLD</x:v>
      </x:c>
      <x:c r="F286" s="26" t="str">
        <x:v>YES</x:v>
      </x:c>
      <x:c r="G286" s="26" t="str">
        <x:v>CENTRALIZED</x:v>
      </x:c>
      <x:c r="H286" s="26" t="str">
        <x:v>P-003</x:v>
      </x:c>
      <x:c r="I286" s="26" t="str">
        <x:v>Internal $1,000 reconciliation tolerance; reviewer approval required</x:v>
      </x:c>
      <x:c r="J286" s="26" t="str">
        <x:v>v0.21 baseline formula; v0.23 disposition</x:v>
      </x:c>
    </x:row>
    <x:row r="287">
      <x:c r="A287" s="26" t="str">
        <x:v>AB_OS_Project_Data_2024</x:v>
      </x:c>
      <x:c r="B287" s="26" t="str">
        <x:v>AF38</x:v>
      </x:c>
      <x:c r="C287" s="26" t="str">
        <x:v>IF(ABS(X38)&lt;=1000,"WITHIN $1K","DISPLAY RATE / ADJUSTMENT")</x:v>
      </x:c>
      <x:c r="D287" s="26" t="str">
        <x:v>1000</x:v>
      </x:c>
      <x:c r="E287" s="26" t="str">
        <x:v>VALIDATION THRESHOLD</x:v>
      </x:c>
      <x:c r="F287" s="26" t="str">
        <x:v>YES</x:v>
      </x:c>
      <x:c r="G287" s="26" t="str">
        <x:v>CENTRALIZED</x:v>
      </x:c>
      <x:c r="H287" s="26" t="str">
        <x:v>P-003</x:v>
      </x:c>
      <x:c r="I287" s="26" t="str">
        <x:v>Internal $1,000 reconciliation tolerance; reviewer approval required</x:v>
      </x:c>
      <x:c r="J287" s="26" t="str">
        <x:v>v0.21 baseline formula; v0.23 disposition</x:v>
      </x:c>
    </x:row>
    <x:row r="288">
      <x:c r="A288" s="26" t="str">
        <x:v>AB_OS_Project_Data_2024</x:v>
      </x:c>
      <x:c r="B288" s="26" t="str">
        <x:v>W39</x:v>
      </x:c>
      <x:c r="C288" s="26" t="str">
        <x:v>IF(T39="NET",Q39*U39/100,G39*U39/100)</x:v>
      </x:c>
      <x:c r="D288" s="26" t="str">
        <x:v>100, 100</x:v>
      </x:c>
      <x:c r="E288" s="26" t="str">
        <x:v>UNIT CONVERSION</x:v>
      </x:c>
      <x:c r="F288" s="26" t="str">
        <x:v>NO</x:v>
      </x:c>
      <x:c r="G288" s="26" t="str">
        <x:v>RETAIN LITERAL</x:v>
      </x:c>
      <x:c r="H288" s="26" t="str">
        <x:v>Percentage divisor</x:v>
      </x:c>
      <x:c r="I288" s="26" t="str">
        <x:v>Divides percentage points by 100</x:v>
      </x:c>
      <x:c r="J288" s="26" t="str">
        <x:v>v0.21 baseline formula; v0.23 disposition</x:v>
      </x:c>
    </x:row>
    <x:row r="289">
      <x:c r="A289" s="26" t="str">
        <x:v>AB_OS_Project_Data_2024</x:v>
      </x:c>
      <x:c r="B289" s="26" t="str">
        <x:v>AD39</x:v>
      </x:c>
      <x:c r="C289" s="26" t="str">
        <x:v>IF(ABS(H39)&lt;=1000,"PASS","REVIEW")</x:v>
      </x:c>
      <x:c r="D289" s="26" t="str">
        <x:v>1000</x:v>
      </x:c>
      <x:c r="E289" s="26" t="str">
        <x:v>VALIDATION THRESHOLD</x:v>
      </x:c>
      <x:c r="F289" s="26" t="str">
        <x:v>YES</x:v>
      </x:c>
      <x:c r="G289" s="26" t="str">
        <x:v>CENTRALIZED</x:v>
      </x:c>
      <x:c r="H289" s="26" t="str">
        <x:v>P-003</x:v>
      </x:c>
      <x:c r="I289" s="26" t="str">
        <x:v>Internal $1,000 reconciliation tolerance; reviewer approval required</x:v>
      </x:c>
      <x:c r="J289" s="26" t="str">
        <x:v>v0.21 baseline formula; v0.23 disposition</x:v>
      </x:c>
    </x:row>
    <x:row r="290">
      <x:c r="A290" s="26" t="str">
        <x:v>AB_OS_Project_Data_2024</x:v>
      </x:c>
      <x:c r="B290" s="26" t="str">
        <x:v>AE39</x:v>
      </x:c>
      <x:c r="C290" s="26" t="str">
        <x:v>IF(T39&lt;&gt;"NET","N/A",IF(ABS(S39)&lt;=1000,"PASS","REVIEW"))</x:v>
      </x:c>
      <x:c r="D290" s="26" t="str">
        <x:v>1000</x:v>
      </x:c>
      <x:c r="E290" s="26" t="str">
        <x:v>VALIDATION THRESHOLD</x:v>
      </x:c>
      <x:c r="F290" s="26" t="str">
        <x:v>YES</x:v>
      </x:c>
      <x:c r="G290" s="26" t="str">
        <x:v>CENTRALIZED</x:v>
      </x:c>
      <x:c r="H290" s="26" t="str">
        <x:v>P-003</x:v>
      </x:c>
      <x:c r="I290" s="26" t="str">
        <x:v>Internal $1,000 reconciliation tolerance; reviewer approval required</x:v>
      </x:c>
      <x:c r="J290" s="26" t="str">
        <x:v>v0.21 baseline formula; v0.23 disposition</x:v>
      </x:c>
    </x:row>
    <x:row r="291">
      <x:c r="A291" s="26" t="str">
        <x:v>AB_OS_Project_Data_2024</x:v>
      </x:c>
      <x:c r="B291" s="26" t="str">
        <x:v>AF39</x:v>
      </x:c>
      <x:c r="C291" s="26" t="str">
        <x:v>IF(ABS(X39)&lt;=1000,"WITHIN $1K","DISPLAY RATE / ADJUSTMENT")</x:v>
      </x:c>
      <x:c r="D291" s="26" t="str">
        <x:v>1000</x:v>
      </x:c>
      <x:c r="E291" s="26" t="str">
        <x:v>VALIDATION THRESHOLD</x:v>
      </x:c>
      <x:c r="F291" s="26" t="str">
        <x:v>YES</x:v>
      </x:c>
      <x:c r="G291" s="26" t="str">
        <x:v>CENTRALIZED</x:v>
      </x:c>
      <x:c r="H291" s="26" t="str">
        <x:v>P-003</x:v>
      </x:c>
      <x:c r="I291" s="26" t="str">
        <x:v>Internal $1,000 reconciliation tolerance; reviewer approval required</x:v>
      </x:c>
      <x:c r="J291" s="26" t="str">
        <x:v>v0.21 baseline formula; v0.23 disposition</x:v>
      </x:c>
    </x:row>
    <x:row r="292">
      <x:c r="A292" s="26" t="str">
        <x:v>AB_OS_Project_Data_2024</x:v>
      </x:c>
      <x:c r="B292" s="26" t="str">
        <x:v>W40</x:v>
      </x:c>
      <x:c r="C292" s="26" t="str">
        <x:v>IF(T40="NET",Q40*U40/100,G40*U40/100)</x:v>
      </x:c>
      <x:c r="D292" s="26" t="str">
        <x:v>100, 100</x:v>
      </x:c>
      <x:c r="E292" s="26" t="str">
        <x:v>UNIT CONVERSION</x:v>
      </x:c>
      <x:c r="F292" s="26" t="str">
        <x:v>NO</x:v>
      </x:c>
      <x:c r="G292" s="26" t="str">
        <x:v>RETAIN LITERAL</x:v>
      </x:c>
      <x:c r="H292" s="26" t="str">
        <x:v>Percentage divisor</x:v>
      </x:c>
      <x:c r="I292" s="26" t="str">
        <x:v>Divides percentage points by 100</x:v>
      </x:c>
      <x:c r="J292" s="26" t="str">
        <x:v>v0.21 baseline formula; v0.23 disposition</x:v>
      </x:c>
    </x:row>
    <x:row r="293">
      <x:c r="A293" s="26" t="str">
        <x:v>AB_OS_Project_Data_2024</x:v>
      </x:c>
      <x:c r="B293" s="26" t="str">
        <x:v>AD40</x:v>
      </x:c>
      <x:c r="C293" s="26" t="str">
        <x:v>IF(ABS(H40)&lt;=1000,"PASS","REVIEW")</x:v>
      </x:c>
      <x:c r="D293" s="26" t="str">
        <x:v>1000</x:v>
      </x:c>
      <x:c r="E293" s="26" t="str">
        <x:v>VALIDATION THRESHOLD</x:v>
      </x:c>
      <x:c r="F293" s="26" t="str">
        <x:v>YES</x:v>
      </x:c>
      <x:c r="G293" s="26" t="str">
        <x:v>CENTRALIZED</x:v>
      </x:c>
      <x:c r="H293" s="26" t="str">
        <x:v>P-003</x:v>
      </x:c>
      <x:c r="I293" s="26" t="str">
        <x:v>Internal $1,000 reconciliation tolerance; reviewer approval required</x:v>
      </x:c>
      <x:c r="J293" s="26" t="str">
        <x:v>v0.21 baseline formula; v0.23 disposition</x:v>
      </x:c>
    </x:row>
    <x:row r="294">
      <x:c r="A294" s="26" t="str">
        <x:v>AB_OS_Project_Data_2024</x:v>
      </x:c>
      <x:c r="B294" s="26" t="str">
        <x:v>AE40</x:v>
      </x:c>
      <x:c r="C294" s="26" t="str">
        <x:v>IF(T40&lt;&gt;"NET","N/A",IF(ABS(S40)&lt;=1000,"PASS","REVIEW"))</x:v>
      </x:c>
      <x:c r="D294" s="26" t="str">
        <x:v>1000</x:v>
      </x:c>
      <x:c r="E294" s="26" t="str">
        <x:v>VALIDATION THRESHOLD</x:v>
      </x:c>
      <x:c r="F294" s="26" t="str">
        <x:v>YES</x:v>
      </x:c>
      <x:c r="G294" s="26" t="str">
        <x:v>CENTRALIZED</x:v>
      </x:c>
      <x:c r="H294" s="26" t="str">
        <x:v>P-003</x:v>
      </x:c>
      <x:c r="I294" s="26" t="str">
        <x:v>Internal $1,000 reconciliation tolerance; reviewer approval required</x:v>
      </x:c>
      <x:c r="J294" s="26" t="str">
        <x:v>v0.21 baseline formula; v0.23 disposition</x:v>
      </x:c>
    </x:row>
    <x:row r="295">
      <x:c r="A295" s="26" t="str">
        <x:v>AB_OS_Project_Data_2024</x:v>
      </x:c>
      <x:c r="B295" s="26" t="str">
        <x:v>AF40</x:v>
      </x:c>
      <x:c r="C295" s="26" t="str">
        <x:v>IF(ABS(X40)&lt;=1000,"WITHIN $1K","DISPLAY RATE / ADJUSTMENT")</x:v>
      </x:c>
      <x:c r="D295" s="26" t="str">
        <x:v>1000</x:v>
      </x:c>
      <x:c r="E295" s="26" t="str">
        <x:v>VALIDATION THRESHOLD</x:v>
      </x:c>
      <x:c r="F295" s="26" t="str">
        <x:v>YES</x:v>
      </x:c>
      <x:c r="G295" s="26" t="str">
        <x:v>CENTRALIZED</x:v>
      </x:c>
      <x:c r="H295" s="26" t="str">
        <x:v>P-003</x:v>
      </x:c>
      <x:c r="I295" s="26" t="str">
        <x:v>Internal $1,000 reconciliation tolerance; reviewer approval required</x:v>
      </x:c>
      <x:c r="J295" s="26" t="str">
        <x:v>v0.21 baseline formula; v0.23 disposition</x:v>
      </x:c>
    </x:row>
    <x:row r="296">
      <x:c r="A296" s="26" t="str">
        <x:v>AB_OS_Project_Data_2024</x:v>
      </x:c>
      <x:c r="B296" s="26" t="str">
        <x:v>W41</x:v>
      </x:c>
      <x:c r="C296" s="26" t="str">
        <x:v>IF(T41="NET",Q41*U41/100,G41*U41/100)</x:v>
      </x:c>
      <x:c r="D296" s="26" t="str">
        <x:v>100, 100</x:v>
      </x:c>
      <x:c r="E296" s="26" t="str">
        <x:v>UNIT CONVERSION</x:v>
      </x:c>
      <x:c r="F296" s="26" t="str">
        <x:v>NO</x:v>
      </x:c>
      <x:c r="G296" s="26" t="str">
        <x:v>RETAIN LITERAL</x:v>
      </x:c>
      <x:c r="H296" s="26" t="str">
        <x:v>Percentage divisor</x:v>
      </x:c>
      <x:c r="I296" s="26" t="str">
        <x:v>Divides percentage points by 100</x:v>
      </x:c>
      <x:c r="J296" s="26" t="str">
        <x:v>v0.21 baseline formula; v0.23 disposition</x:v>
      </x:c>
    </x:row>
    <x:row r="297">
      <x:c r="A297" s="26" t="str">
        <x:v>AB_OS_Project_Data_2024</x:v>
      </x:c>
      <x:c r="B297" s="26" t="str">
        <x:v>AD41</x:v>
      </x:c>
      <x:c r="C297" s="26" t="str">
        <x:v>IF(ABS(H41)&lt;=1000,"PASS","REVIEW")</x:v>
      </x:c>
      <x:c r="D297" s="26" t="str">
        <x:v>1000</x:v>
      </x:c>
      <x:c r="E297" s="26" t="str">
        <x:v>VALIDATION THRESHOLD</x:v>
      </x:c>
      <x:c r="F297" s="26" t="str">
        <x:v>YES</x:v>
      </x:c>
      <x:c r="G297" s="26" t="str">
        <x:v>CENTRALIZED</x:v>
      </x:c>
      <x:c r="H297" s="26" t="str">
        <x:v>P-003</x:v>
      </x:c>
      <x:c r="I297" s="26" t="str">
        <x:v>Internal $1,000 reconciliation tolerance; reviewer approval required</x:v>
      </x:c>
      <x:c r="J297" s="26" t="str">
        <x:v>v0.21 baseline formula; v0.23 disposition</x:v>
      </x:c>
    </x:row>
    <x:row r="298">
      <x:c r="A298" s="26" t="str">
        <x:v>AB_OS_Project_Data_2024</x:v>
      </x:c>
      <x:c r="B298" s="26" t="str">
        <x:v>AE41</x:v>
      </x:c>
      <x:c r="C298" s="26" t="str">
        <x:v>IF(T41&lt;&gt;"NET","N/A",IF(ABS(S41)&lt;=1000,"PASS","REVIEW"))</x:v>
      </x:c>
      <x:c r="D298" s="26" t="str">
        <x:v>1000</x:v>
      </x:c>
      <x:c r="E298" s="26" t="str">
        <x:v>VALIDATION THRESHOLD</x:v>
      </x:c>
      <x:c r="F298" s="26" t="str">
        <x:v>YES</x:v>
      </x:c>
      <x:c r="G298" s="26" t="str">
        <x:v>CENTRALIZED</x:v>
      </x:c>
      <x:c r="H298" s="26" t="str">
        <x:v>P-003</x:v>
      </x:c>
      <x:c r="I298" s="26" t="str">
        <x:v>Internal $1,000 reconciliation tolerance; reviewer approval required</x:v>
      </x:c>
      <x:c r="J298" s="26" t="str">
        <x:v>v0.21 baseline formula; v0.23 disposition</x:v>
      </x:c>
    </x:row>
    <x:row r="299">
      <x:c r="A299" s="26" t="str">
        <x:v>AB_OS_Project_Data_2024</x:v>
      </x:c>
      <x:c r="B299" s="26" t="str">
        <x:v>AF41</x:v>
      </x:c>
      <x:c r="C299" s="26" t="str">
        <x:v>IF(ABS(X41)&lt;=1000,"WITHIN $1K","DISPLAY RATE / ADJUSTMENT")</x:v>
      </x:c>
      <x:c r="D299" s="26" t="str">
        <x:v>1000</x:v>
      </x:c>
      <x:c r="E299" s="26" t="str">
        <x:v>VALIDATION THRESHOLD</x:v>
      </x:c>
      <x:c r="F299" s="26" t="str">
        <x:v>YES</x:v>
      </x:c>
      <x:c r="G299" s="26" t="str">
        <x:v>CENTRALIZED</x:v>
      </x:c>
      <x:c r="H299" s="26" t="str">
        <x:v>P-003</x:v>
      </x:c>
      <x:c r="I299" s="26" t="str">
        <x:v>Internal $1,000 reconciliation tolerance; reviewer approval required</x:v>
      </x:c>
      <x:c r="J299" s="26" t="str">
        <x:v>v0.21 baseline formula; v0.23 disposition</x:v>
      </x:c>
    </x:row>
    <x:row r="300">
      <x:c r="A300" s="26" t="str">
        <x:v>AB_OS_Project_Data_2024</x:v>
      </x:c>
      <x:c r="B300" s="26" t="str">
        <x:v>W42</x:v>
      </x:c>
      <x:c r="C300" s="26" t="str">
        <x:v>IF(T42="NET",Q42*U42/100,G42*U42/100)</x:v>
      </x:c>
      <x:c r="D300" s="26" t="str">
        <x:v>100, 100</x:v>
      </x:c>
      <x:c r="E300" s="26" t="str">
        <x:v>UNIT CONVERSION</x:v>
      </x:c>
      <x:c r="F300" s="26" t="str">
        <x:v>NO</x:v>
      </x:c>
      <x:c r="G300" s="26" t="str">
        <x:v>RETAIN LITERAL</x:v>
      </x:c>
      <x:c r="H300" s="26" t="str">
        <x:v>Percentage divisor</x:v>
      </x:c>
      <x:c r="I300" s="26" t="str">
        <x:v>Divides percentage points by 100</x:v>
      </x:c>
      <x:c r="J300" s="26" t="str">
        <x:v>v0.21 baseline formula; v0.23 disposition</x:v>
      </x:c>
    </x:row>
    <x:row r="301">
      <x:c r="A301" s="26" t="str">
        <x:v>AB_OS_Project_Data_2024</x:v>
      </x:c>
      <x:c r="B301" s="26" t="str">
        <x:v>AD42</x:v>
      </x:c>
      <x:c r="C301" s="26" t="str">
        <x:v>IF(ABS(H42)&lt;=1000,"PASS","REVIEW")</x:v>
      </x:c>
      <x:c r="D301" s="26" t="str">
        <x:v>1000</x:v>
      </x:c>
      <x:c r="E301" s="26" t="str">
        <x:v>VALIDATION THRESHOLD</x:v>
      </x:c>
      <x:c r="F301" s="26" t="str">
        <x:v>YES</x:v>
      </x:c>
      <x:c r="G301" s="26" t="str">
        <x:v>CENTRALIZED</x:v>
      </x:c>
      <x:c r="H301" s="26" t="str">
        <x:v>P-003</x:v>
      </x:c>
      <x:c r="I301" s="26" t="str">
        <x:v>Internal $1,000 reconciliation tolerance; reviewer approval required</x:v>
      </x:c>
      <x:c r="J301" s="26" t="str">
        <x:v>v0.21 baseline formula; v0.23 disposition</x:v>
      </x:c>
    </x:row>
    <x:row r="302">
      <x:c r="A302" s="26" t="str">
        <x:v>AB_OS_Project_Data_2024</x:v>
      </x:c>
      <x:c r="B302" s="26" t="str">
        <x:v>AE42</x:v>
      </x:c>
      <x:c r="C302" s="26" t="str">
        <x:v>IF(T42&lt;&gt;"NET","N/A",IF(ABS(S42)&lt;=1000,"PASS","REVIEW"))</x:v>
      </x:c>
      <x:c r="D302" s="26" t="str">
        <x:v>1000</x:v>
      </x:c>
      <x:c r="E302" s="26" t="str">
        <x:v>VALIDATION THRESHOLD</x:v>
      </x:c>
      <x:c r="F302" s="26" t="str">
        <x:v>YES</x:v>
      </x:c>
      <x:c r="G302" s="26" t="str">
        <x:v>CENTRALIZED</x:v>
      </x:c>
      <x:c r="H302" s="26" t="str">
        <x:v>P-003</x:v>
      </x:c>
      <x:c r="I302" s="26" t="str">
        <x:v>Internal $1,000 reconciliation tolerance; reviewer approval required</x:v>
      </x:c>
      <x:c r="J302" s="26" t="str">
        <x:v>v0.21 baseline formula; v0.23 disposition</x:v>
      </x:c>
    </x:row>
    <x:row r="303">
      <x:c r="A303" s="26" t="str">
        <x:v>AB_OS_Project_Data_2024</x:v>
      </x:c>
      <x:c r="B303" s="26" t="str">
        <x:v>AF42</x:v>
      </x:c>
      <x:c r="C303" s="26" t="str">
        <x:v>IF(ABS(X42)&lt;=1000,"WITHIN $1K","DISPLAY RATE / ADJUSTMENT")</x:v>
      </x:c>
      <x:c r="D303" s="26" t="str">
        <x:v>1000</x:v>
      </x:c>
      <x:c r="E303" s="26" t="str">
        <x:v>VALIDATION THRESHOLD</x:v>
      </x:c>
      <x:c r="F303" s="26" t="str">
        <x:v>YES</x:v>
      </x:c>
      <x:c r="G303" s="26" t="str">
        <x:v>CENTRALIZED</x:v>
      </x:c>
      <x:c r="H303" s="26" t="str">
        <x:v>P-003</x:v>
      </x:c>
      <x:c r="I303" s="26" t="str">
        <x:v>Internal $1,000 reconciliation tolerance; reviewer approval required</x:v>
      </x:c>
      <x:c r="J303" s="26" t="str">
        <x:v>v0.21 baseline formula; v0.23 disposition</x:v>
      </x:c>
    </x:row>
    <x:row r="304">
      <x:c r="A304" s="26" t="str">
        <x:v>AB_OS_Project_Data_2024</x:v>
      </x:c>
      <x:c r="B304" s="26" t="str">
        <x:v>W43</x:v>
      </x:c>
      <x:c r="C304" s="26" t="str">
        <x:v>IF(T43="NET",Q43*U43/100,G43*U43/100)</x:v>
      </x:c>
      <x:c r="D304" s="26" t="str">
        <x:v>100, 100</x:v>
      </x:c>
      <x:c r="E304" s="26" t="str">
        <x:v>UNIT CONVERSION</x:v>
      </x:c>
      <x:c r="F304" s="26" t="str">
        <x:v>NO</x:v>
      </x:c>
      <x:c r="G304" s="26" t="str">
        <x:v>RETAIN LITERAL</x:v>
      </x:c>
      <x:c r="H304" s="26" t="str">
        <x:v>Percentage divisor</x:v>
      </x:c>
      <x:c r="I304" s="26" t="str">
        <x:v>Divides percentage points by 100</x:v>
      </x:c>
      <x:c r="J304" s="26" t="str">
        <x:v>v0.21 baseline formula; v0.23 disposition</x:v>
      </x:c>
    </x:row>
    <x:row r="305">
      <x:c r="A305" s="26" t="str">
        <x:v>AB_OS_Project_Data_2024</x:v>
      </x:c>
      <x:c r="B305" s="26" t="str">
        <x:v>AD43</x:v>
      </x:c>
      <x:c r="C305" s="26" t="str">
        <x:v>IF(ABS(H43)&lt;=1000,"PASS","REVIEW")</x:v>
      </x:c>
      <x:c r="D305" s="26" t="str">
        <x:v>1000</x:v>
      </x:c>
      <x:c r="E305" s="26" t="str">
        <x:v>VALIDATION THRESHOLD</x:v>
      </x:c>
      <x:c r="F305" s="26" t="str">
        <x:v>YES</x:v>
      </x:c>
      <x:c r="G305" s="26" t="str">
        <x:v>CENTRALIZED</x:v>
      </x:c>
      <x:c r="H305" s="26" t="str">
        <x:v>P-003</x:v>
      </x:c>
      <x:c r="I305" s="26" t="str">
        <x:v>Internal $1,000 reconciliation tolerance; reviewer approval required</x:v>
      </x:c>
      <x:c r="J305" s="26" t="str">
        <x:v>v0.21 baseline formula; v0.23 disposition</x:v>
      </x:c>
    </x:row>
    <x:row r="306">
      <x:c r="A306" s="26" t="str">
        <x:v>AB_OS_Project_Data_2024</x:v>
      </x:c>
      <x:c r="B306" s="26" t="str">
        <x:v>AE43</x:v>
      </x:c>
      <x:c r="C306" s="26" t="str">
        <x:v>IF(T43&lt;&gt;"NET","N/A",IF(ABS(S43)&lt;=1000,"PASS","REVIEW"))</x:v>
      </x:c>
      <x:c r="D306" s="26" t="str">
        <x:v>1000</x:v>
      </x:c>
      <x:c r="E306" s="26" t="str">
        <x:v>VALIDATION THRESHOLD</x:v>
      </x:c>
      <x:c r="F306" s="26" t="str">
        <x:v>YES</x:v>
      </x:c>
      <x:c r="G306" s="26" t="str">
        <x:v>CENTRALIZED</x:v>
      </x:c>
      <x:c r="H306" s="26" t="str">
        <x:v>P-003</x:v>
      </x:c>
      <x:c r="I306" s="26" t="str">
        <x:v>Internal $1,000 reconciliation tolerance; reviewer approval required</x:v>
      </x:c>
      <x:c r="J306" s="26" t="str">
        <x:v>v0.21 baseline formula; v0.23 disposition</x:v>
      </x:c>
    </x:row>
    <x:row r="307">
      <x:c r="A307" s="26" t="str">
        <x:v>AB_OS_Project_Data_2024</x:v>
      </x:c>
      <x:c r="B307" s="26" t="str">
        <x:v>AF43</x:v>
      </x:c>
      <x:c r="C307" s="26" t="str">
        <x:v>IF(ABS(X43)&lt;=1000,"WITHIN $1K","DISPLAY RATE / ADJUSTMENT")</x:v>
      </x:c>
      <x:c r="D307" s="26" t="str">
        <x:v>1000</x:v>
      </x:c>
      <x:c r="E307" s="26" t="str">
        <x:v>VALIDATION THRESHOLD</x:v>
      </x:c>
      <x:c r="F307" s="26" t="str">
        <x:v>YES</x:v>
      </x:c>
      <x:c r="G307" s="26" t="str">
        <x:v>CENTRALIZED</x:v>
      </x:c>
      <x:c r="H307" s="26" t="str">
        <x:v>P-003</x:v>
      </x:c>
      <x:c r="I307" s="26" t="str">
        <x:v>Internal $1,000 reconciliation tolerance; reviewer approval required</x:v>
      </x:c>
      <x:c r="J307" s="26" t="str">
        <x:v>v0.21 baseline formula; v0.23 disposition</x:v>
      </x:c>
    </x:row>
    <x:row r="308">
      <x:c r="A308" s="26" t="str">
        <x:v>AB_OS_Project_Data_2024</x:v>
      </x:c>
      <x:c r="B308" s="26" t="str">
        <x:v>W44</x:v>
      </x:c>
      <x:c r="C308" s="26" t="str">
        <x:v>IF(T44="NET",Q44*U44/100,G44*U44/100)</x:v>
      </x:c>
      <x:c r="D308" s="26" t="str">
        <x:v>100, 100</x:v>
      </x:c>
      <x:c r="E308" s="26" t="str">
        <x:v>UNIT CONVERSION</x:v>
      </x:c>
      <x:c r="F308" s="26" t="str">
        <x:v>NO</x:v>
      </x:c>
      <x:c r="G308" s="26" t="str">
        <x:v>RETAIN LITERAL</x:v>
      </x:c>
      <x:c r="H308" s="26" t="str">
        <x:v>Percentage divisor</x:v>
      </x:c>
      <x:c r="I308" s="26" t="str">
        <x:v>Divides percentage points by 100</x:v>
      </x:c>
      <x:c r="J308" s="26" t="str">
        <x:v>v0.21 baseline formula; v0.23 disposition</x:v>
      </x:c>
    </x:row>
    <x:row r="309">
      <x:c r="A309" s="26" t="str">
        <x:v>AB_OS_Project_Data_2024</x:v>
      </x:c>
      <x:c r="B309" s="26" t="str">
        <x:v>AD44</x:v>
      </x:c>
      <x:c r="C309" s="26" t="str">
        <x:v>IF(ABS(H44)&lt;=1000,"PASS","REVIEW")</x:v>
      </x:c>
      <x:c r="D309" s="26" t="str">
        <x:v>1000</x:v>
      </x:c>
      <x:c r="E309" s="26" t="str">
        <x:v>VALIDATION THRESHOLD</x:v>
      </x:c>
      <x:c r="F309" s="26" t="str">
        <x:v>YES</x:v>
      </x:c>
      <x:c r="G309" s="26" t="str">
        <x:v>CENTRALIZED</x:v>
      </x:c>
      <x:c r="H309" s="26" t="str">
        <x:v>P-003</x:v>
      </x:c>
      <x:c r="I309" s="26" t="str">
        <x:v>Internal $1,000 reconciliation tolerance; reviewer approval required</x:v>
      </x:c>
      <x:c r="J309" s="26" t="str">
        <x:v>v0.21 baseline formula; v0.23 disposition</x:v>
      </x:c>
    </x:row>
    <x:row r="310">
      <x:c r="A310" s="26" t="str">
        <x:v>AB_OS_Project_Data_2024</x:v>
      </x:c>
      <x:c r="B310" s="26" t="str">
        <x:v>AE44</x:v>
      </x:c>
      <x:c r="C310" s="26" t="str">
        <x:v>IF(T44&lt;&gt;"NET","N/A",IF(ABS(S44)&lt;=1000,"PASS","REVIEW"))</x:v>
      </x:c>
      <x:c r="D310" s="26" t="str">
        <x:v>1000</x:v>
      </x:c>
      <x:c r="E310" s="26" t="str">
        <x:v>VALIDATION THRESHOLD</x:v>
      </x:c>
      <x:c r="F310" s="26" t="str">
        <x:v>YES</x:v>
      </x:c>
      <x:c r="G310" s="26" t="str">
        <x:v>CENTRALIZED</x:v>
      </x:c>
      <x:c r="H310" s="26" t="str">
        <x:v>P-003</x:v>
      </x:c>
      <x:c r="I310" s="26" t="str">
        <x:v>Internal $1,000 reconciliation tolerance; reviewer approval required</x:v>
      </x:c>
      <x:c r="J310" s="26" t="str">
        <x:v>v0.21 baseline formula; v0.23 disposition</x:v>
      </x:c>
    </x:row>
    <x:row r="311">
      <x:c r="A311" s="26" t="str">
        <x:v>AB_OS_Project_Data_2024</x:v>
      </x:c>
      <x:c r="B311" s="26" t="str">
        <x:v>AF44</x:v>
      </x:c>
      <x:c r="C311" s="26" t="str">
        <x:v>IF(ABS(X44)&lt;=1000,"WITHIN $1K","DISPLAY RATE / ADJUSTMENT")</x:v>
      </x:c>
      <x:c r="D311" s="26" t="str">
        <x:v>1000</x:v>
      </x:c>
      <x:c r="E311" s="26" t="str">
        <x:v>VALIDATION THRESHOLD</x:v>
      </x:c>
      <x:c r="F311" s="26" t="str">
        <x:v>YES</x:v>
      </x:c>
      <x:c r="G311" s="26" t="str">
        <x:v>CENTRALIZED</x:v>
      </x:c>
      <x:c r="H311" s="26" t="str">
        <x:v>P-003</x:v>
      </x:c>
      <x:c r="I311" s="26" t="str">
        <x:v>Internal $1,000 reconciliation tolerance; reviewer approval required</x:v>
      </x:c>
      <x:c r="J311" s="26" t="str">
        <x:v>v0.21 baseline formula; v0.23 disposition</x:v>
      </x:c>
    </x:row>
    <x:row r="312">
      <x:c r="A312" s="26" t="str">
        <x:v>AB_OS_Project_Data_2024</x:v>
      </x:c>
      <x:c r="B312" s="26" t="str">
        <x:v>W45</x:v>
      </x:c>
      <x:c r="C312" s="26" t="str">
        <x:v>IF(T45="NET",Q45*U45/100,G45*U45/100)</x:v>
      </x:c>
      <x:c r="D312" s="26" t="str">
        <x:v>100, 100</x:v>
      </x:c>
      <x:c r="E312" s="26" t="str">
        <x:v>UNIT CONVERSION</x:v>
      </x:c>
      <x:c r="F312" s="26" t="str">
        <x:v>NO</x:v>
      </x:c>
      <x:c r="G312" s="26" t="str">
        <x:v>RETAIN LITERAL</x:v>
      </x:c>
      <x:c r="H312" s="26" t="str">
        <x:v>Percentage divisor</x:v>
      </x:c>
      <x:c r="I312" s="26" t="str">
        <x:v>Divides percentage points by 100</x:v>
      </x:c>
      <x:c r="J312" s="26" t="str">
        <x:v>v0.21 baseline formula; v0.23 disposition</x:v>
      </x:c>
    </x:row>
    <x:row r="313">
      <x:c r="A313" s="26" t="str">
        <x:v>AB_OS_Project_Data_2024</x:v>
      </x:c>
      <x:c r="B313" s="26" t="str">
        <x:v>AD45</x:v>
      </x:c>
      <x:c r="C313" s="26" t="str">
        <x:v>IF(ABS(H45)&lt;=1000,"PASS","REVIEW")</x:v>
      </x:c>
      <x:c r="D313" s="26" t="str">
        <x:v>1000</x:v>
      </x:c>
      <x:c r="E313" s="26" t="str">
        <x:v>VALIDATION THRESHOLD</x:v>
      </x:c>
      <x:c r="F313" s="26" t="str">
        <x:v>YES</x:v>
      </x:c>
      <x:c r="G313" s="26" t="str">
        <x:v>CENTRALIZED</x:v>
      </x:c>
      <x:c r="H313" s="26" t="str">
        <x:v>P-003</x:v>
      </x:c>
      <x:c r="I313" s="26" t="str">
        <x:v>Internal $1,000 reconciliation tolerance; reviewer approval required</x:v>
      </x:c>
      <x:c r="J313" s="26" t="str">
        <x:v>v0.21 baseline formula; v0.23 disposition</x:v>
      </x:c>
    </x:row>
    <x:row r="314">
      <x:c r="A314" s="26" t="str">
        <x:v>AB_OS_Project_Data_2024</x:v>
      </x:c>
      <x:c r="B314" s="26" t="str">
        <x:v>AE45</x:v>
      </x:c>
      <x:c r="C314" s="26" t="str">
        <x:v>IF(T45&lt;&gt;"NET","N/A",IF(ABS(S45)&lt;=1000,"PASS","REVIEW"))</x:v>
      </x:c>
      <x:c r="D314" s="26" t="str">
        <x:v>1000</x:v>
      </x:c>
      <x:c r="E314" s="26" t="str">
        <x:v>VALIDATION THRESHOLD</x:v>
      </x:c>
      <x:c r="F314" s="26" t="str">
        <x:v>YES</x:v>
      </x:c>
      <x:c r="G314" s="26" t="str">
        <x:v>CENTRALIZED</x:v>
      </x:c>
      <x:c r="H314" s="26" t="str">
        <x:v>P-003</x:v>
      </x:c>
      <x:c r="I314" s="26" t="str">
        <x:v>Internal $1,000 reconciliation tolerance; reviewer approval required</x:v>
      </x:c>
      <x:c r="J314" s="26" t="str">
        <x:v>v0.21 baseline formula; v0.23 disposition</x:v>
      </x:c>
    </x:row>
    <x:row r="315">
      <x:c r="A315" s="26" t="str">
        <x:v>AB_OS_Project_Data_2024</x:v>
      </x:c>
      <x:c r="B315" s="26" t="str">
        <x:v>AF45</x:v>
      </x:c>
      <x:c r="C315" s="26" t="str">
        <x:v>IF(ABS(X45)&lt;=1000,"WITHIN $1K","DISPLAY RATE / ADJUSTMENT")</x:v>
      </x:c>
      <x:c r="D315" s="26" t="str">
        <x:v>1000</x:v>
      </x:c>
      <x:c r="E315" s="26" t="str">
        <x:v>VALIDATION THRESHOLD</x:v>
      </x:c>
      <x:c r="F315" s="26" t="str">
        <x:v>YES</x:v>
      </x:c>
      <x:c r="G315" s="26" t="str">
        <x:v>CENTRALIZED</x:v>
      </x:c>
      <x:c r="H315" s="26" t="str">
        <x:v>P-003</x:v>
      </x:c>
      <x:c r="I315" s="26" t="str">
        <x:v>Internal $1,000 reconciliation tolerance; reviewer approval required</x:v>
      </x:c>
      <x:c r="J315" s="26" t="str">
        <x:v>v0.21 baseline formula; v0.23 disposition</x:v>
      </x:c>
    </x:row>
    <x:row r="316">
      <x:c r="A316" s="26" t="str">
        <x:v>AB_OS_Project_Data_2024</x:v>
      </x:c>
      <x:c r="B316" s="26" t="str">
        <x:v>W46</x:v>
      </x:c>
      <x:c r="C316" s="26" t="str">
        <x:v>IF(T46="NET",Q46*U46/100,G46*U46/100)</x:v>
      </x:c>
      <x:c r="D316" s="26" t="str">
        <x:v>100, 100</x:v>
      </x:c>
      <x:c r="E316" s="26" t="str">
        <x:v>UNIT CONVERSION</x:v>
      </x:c>
      <x:c r="F316" s="26" t="str">
        <x:v>NO</x:v>
      </x:c>
      <x:c r="G316" s="26" t="str">
        <x:v>RETAIN LITERAL</x:v>
      </x:c>
      <x:c r="H316" s="26" t="str">
        <x:v>Percentage divisor</x:v>
      </x:c>
      <x:c r="I316" s="26" t="str">
        <x:v>Divides percentage points by 100</x:v>
      </x:c>
      <x:c r="J316" s="26" t="str">
        <x:v>v0.21 baseline formula; v0.23 disposition</x:v>
      </x:c>
    </x:row>
    <x:row r="317">
      <x:c r="A317" s="26" t="str">
        <x:v>AB_OS_Project_Data_2024</x:v>
      </x:c>
      <x:c r="B317" s="26" t="str">
        <x:v>AD46</x:v>
      </x:c>
      <x:c r="C317" s="26" t="str">
        <x:v>IF(ABS(H46)&lt;=1000,"PASS","REVIEW")</x:v>
      </x:c>
      <x:c r="D317" s="26" t="str">
        <x:v>1000</x:v>
      </x:c>
      <x:c r="E317" s="26" t="str">
        <x:v>VALIDATION THRESHOLD</x:v>
      </x:c>
      <x:c r="F317" s="26" t="str">
        <x:v>YES</x:v>
      </x:c>
      <x:c r="G317" s="26" t="str">
        <x:v>CENTRALIZED</x:v>
      </x:c>
      <x:c r="H317" s="26" t="str">
        <x:v>P-003</x:v>
      </x:c>
      <x:c r="I317" s="26" t="str">
        <x:v>Internal $1,000 reconciliation tolerance; reviewer approval required</x:v>
      </x:c>
      <x:c r="J317" s="26" t="str">
        <x:v>v0.21 baseline formula; v0.23 disposition</x:v>
      </x:c>
    </x:row>
    <x:row r="318">
      <x:c r="A318" s="26" t="str">
        <x:v>AB_OS_Project_Data_2024</x:v>
      </x:c>
      <x:c r="B318" s="26" t="str">
        <x:v>AE46</x:v>
      </x:c>
      <x:c r="C318" s="26" t="str">
        <x:v>IF(T46&lt;&gt;"NET","N/A",IF(ABS(S46)&lt;=1000,"PASS","REVIEW"))</x:v>
      </x:c>
      <x:c r="D318" s="26" t="str">
        <x:v>1000</x:v>
      </x:c>
      <x:c r="E318" s="26" t="str">
        <x:v>VALIDATION THRESHOLD</x:v>
      </x:c>
      <x:c r="F318" s="26" t="str">
        <x:v>YES</x:v>
      </x:c>
      <x:c r="G318" s="26" t="str">
        <x:v>CENTRALIZED</x:v>
      </x:c>
      <x:c r="H318" s="26" t="str">
        <x:v>P-003</x:v>
      </x:c>
      <x:c r="I318" s="26" t="str">
        <x:v>Internal $1,000 reconciliation tolerance; reviewer approval required</x:v>
      </x:c>
      <x:c r="J318" s="26" t="str">
        <x:v>v0.21 baseline formula; v0.23 disposition</x:v>
      </x:c>
    </x:row>
    <x:row r="319">
      <x:c r="A319" s="26" t="str">
        <x:v>AB_OS_Project_Data_2024</x:v>
      </x:c>
      <x:c r="B319" s="26" t="str">
        <x:v>AF46</x:v>
      </x:c>
      <x:c r="C319" s="26" t="str">
        <x:v>IF(ABS(X46)&lt;=1000,"WITHIN $1K","DISPLAY RATE / ADJUSTMENT")</x:v>
      </x:c>
      <x:c r="D319" s="26" t="str">
        <x:v>1000</x:v>
      </x:c>
      <x:c r="E319" s="26" t="str">
        <x:v>VALIDATION THRESHOLD</x:v>
      </x:c>
      <x:c r="F319" s="26" t="str">
        <x:v>YES</x:v>
      </x:c>
      <x:c r="G319" s="26" t="str">
        <x:v>CENTRALIZED</x:v>
      </x:c>
      <x:c r="H319" s="26" t="str">
        <x:v>P-003</x:v>
      </x:c>
      <x:c r="I319" s="26" t="str">
        <x:v>Internal $1,000 reconciliation tolerance; reviewer approval required</x:v>
      </x:c>
      <x:c r="J319" s="26" t="str">
        <x:v>v0.21 baseline formula; v0.23 disposition</x:v>
      </x:c>
    </x:row>
    <x:row r="320">
      <x:c r="A320" s="26" t="str">
        <x:v>AB_OS_Project_Data_2024</x:v>
      </x:c>
      <x:c r="B320" s="26" t="str">
        <x:v>W47</x:v>
      </x:c>
      <x:c r="C320" s="26" t="str">
        <x:v>IF(T47="NET",Q47*U47/100,G47*U47/100)</x:v>
      </x:c>
      <x:c r="D320" s="26" t="str">
        <x:v>100, 100</x:v>
      </x:c>
      <x:c r="E320" s="26" t="str">
        <x:v>UNIT CONVERSION</x:v>
      </x:c>
      <x:c r="F320" s="26" t="str">
        <x:v>NO</x:v>
      </x:c>
      <x:c r="G320" s="26" t="str">
        <x:v>RETAIN LITERAL</x:v>
      </x:c>
      <x:c r="H320" s="26" t="str">
        <x:v>Percentage divisor</x:v>
      </x:c>
      <x:c r="I320" s="26" t="str">
        <x:v>Divides percentage points by 100</x:v>
      </x:c>
      <x:c r="J320" s="26" t="str">
        <x:v>v0.21 baseline formula; v0.23 disposition</x:v>
      </x:c>
    </x:row>
    <x:row r="321">
      <x:c r="A321" s="26" t="str">
        <x:v>AB_OS_Project_Data_2024</x:v>
      </x:c>
      <x:c r="B321" s="26" t="str">
        <x:v>AD47</x:v>
      </x:c>
      <x:c r="C321" s="26" t="str">
        <x:v>IF(ABS(H47)&lt;=1000,"PASS","REVIEW")</x:v>
      </x:c>
      <x:c r="D321" s="26" t="str">
        <x:v>1000</x:v>
      </x:c>
      <x:c r="E321" s="26" t="str">
        <x:v>VALIDATION THRESHOLD</x:v>
      </x:c>
      <x:c r="F321" s="26" t="str">
        <x:v>YES</x:v>
      </x:c>
      <x:c r="G321" s="26" t="str">
        <x:v>CENTRALIZED</x:v>
      </x:c>
      <x:c r="H321" s="26" t="str">
        <x:v>P-003</x:v>
      </x:c>
      <x:c r="I321" s="26" t="str">
        <x:v>Internal $1,000 reconciliation tolerance; reviewer approval required</x:v>
      </x:c>
      <x:c r="J321" s="26" t="str">
        <x:v>v0.21 baseline formula; v0.23 disposition</x:v>
      </x:c>
    </x:row>
    <x:row r="322">
      <x:c r="A322" s="26" t="str">
        <x:v>AB_OS_Project_Data_2024</x:v>
      </x:c>
      <x:c r="B322" s="26" t="str">
        <x:v>AE47</x:v>
      </x:c>
      <x:c r="C322" s="26" t="str">
        <x:v>IF(T47&lt;&gt;"NET","N/A",IF(ABS(S47)&lt;=1000,"PASS","REVIEW"))</x:v>
      </x:c>
      <x:c r="D322" s="26" t="str">
        <x:v>1000</x:v>
      </x:c>
      <x:c r="E322" s="26" t="str">
        <x:v>VALIDATION THRESHOLD</x:v>
      </x:c>
      <x:c r="F322" s="26" t="str">
        <x:v>YES</x:v>
      </x:c>
      <x:c r="G322" s="26" t="str">
        <x:v>CENTRALIZED</x:v>
      </x:c>
      <x:c r="H322" s="26" t="str">
        <x:v>P-003</x:v>
      </x:c>
      <x:c r="I322" s="26" t="str">
        <x:v>Internal $1,000 reconciliation tolerance; reviewer approval required</x:v>
      </x:c>
      <x:c r="J322" s="26" t="str">
        <x:v>v0.21 baseline formula; v0.23 disposition</x:v>
      </x:c>
    </x:row>
    <x:row r="323">
      <x:c r="A323" s="26" t="str">
        <x:v>AB_OS_Project_Data_2024</x:v>
      </x:c>
      <x:c r="B323" s="26" t="str">
        <x:v>AF47</x:v>
      </x:c>
      <x:c r="C323" s="26" t="str">
        <x:v>IF(ABS(X47)&lt;=1000,"WITHIN $1K","DISPLAY RATE / ADJUSTMENT")</x:v>
      </x:c>
      <x:c r="D323" s="26" t="str">
        <x:v>1000</x:v>
      </x:c>
      <x:c r="E323" s="26" t="str">
        <x:v>VALIDATION THRESHOLD</x:v>
      </x:c>
      <x:c r="F323" s="26" t="str">
        <x:v>YES</x:v>
      </x:c>
      <x:c r="G323" s="26" t="str">
        <x:v>CENTRALIZED</x:v>
      </x:c>
      <x:c r="H323" s="26" t="str">
        <x:v>P-003</x:v>
      </x:c>
      <x:c r="I323" s="26" t="str">
        <x:v>Internal $1,000 reconciliation tolerance; reviewer approval required</x:v>
      </x:c>
      <x:c r="J323" s="26" t="str">
        <x:v>v0.21 baseline formula; v0.23 disposition</x:v>
      </x:c>
    </x:row>
    <x:row r="324">
      <x:c r="A324" s="26" t="str">
        <x:v>AB_OS_Project_Data_2024</x:v>
      </x:c>
      <x:c r="B324" s="26" t="str">
        <x:v>W48</x:v>
      </x:c>
      <x:c r="C324" s="26" t="str">
        <x:v>IF(T48="NET",Q48*U48/100,G48*U48/100)</x:v>
      </x:c>
      <x:c r="D324" s="26" t="str">
        <x:v>100, 100</x:v>
      </x:c>
      <x:c r="E324" s="26" t="str">
        <x:v>UNIT CONVERSION</x:v>
      </x:c>
      <x:c r="F324" s="26" t="str">
        <x:v>NO</x:v>
      </x:c>
      <x:c r="G324" s="26" t="str">
        <x:v>RETAIN LITERAL</x:v>
      </x:c>
      <x:c r="H324" s="26" t="str">
        <x:v>Percentage divisor</x:v>
      </x:c>
      <x:c r="I324" s="26" t="str">
        <x:v>Divides percentage points by 100</x:v>
      </x:c>
      <x:c r="J324" s="26" t="str">
        <x:v>v0.21 baseline formula; v0.23 disposition</x:v>
      </x:c>
    </x:row>
    <x:row r="325">
      <x:c r="A325" s="26" t="str">
        <x:v>AB_OS_Project_Data_2024</x:v>
      </x:c>
      <x:c r="B325" s="26" t="str">
        <x:v>AD48</x:v>
      </x:c>
      <x:c r="C325" s="26" t="str">
        <x:v>IF(ABS(H48)&lt;=1000,"PASS","REVIEW")</x:v>
      </x:c>
      <x:c r="D325" s="26" t="str">
        <x:v>1000</x:v>
      </x:c>
      <x:c r="E325" s="26" t="str">
        <x:v>VALIDATION THRESHOLD</x:v>
      </x:c>
      <x:c r="F325" s="26" t="str">
        <x:v>YES</x:v>
      </x:c>
      <x:c r="G325" s="26" t="str">
        <x:v>CENTRALIZED</x:v>
      </x:c>
      <x:c r="H325" s="26" t="str">
        <x:v>P-003</x:v>
      </x:c>
      <x:c r="I325" s="26" t="str">
        <x:v>Internal $1,000 reconciliation tolerance; reviewer approval required</x:v>
      </x:c>
      <x:c r="J325" s="26" t="str">
        <x:v>v0.21 baseline formula; v0.23 disposition</x:v>
      </x:c>
    </x:row>
    <x:row r="326">
      <x:c r="A326" s="26" t="str">
        <x:v>AB_OS_Project_Data_2024</x:v>
      </x:c>
      <x:c r="B326" s="26" t="str">
        <x:v>AE48</x:v>
      </x:c>
      <x:c r="C326" s="26" t="str">
        <x:v>IF(T48&lt;&gt;"NET","N/A",IF(ABS(S48)&lt;=1000,"PASS","REVIEW"))</x:v>
      </x:c>
      <x:c r="D326" s="26" t="str">
        <x:v>1000</x:v>
      </x:c>
      <x:c r="E326" s="26" t="str">
        <x:v>VALIDATION THRESHOLD</x:v>
      </x:c>
      <x:c r="F326" s="26" t="str">
        <x:v>YES</x:v>
      </x:c>
      <x:c r="G326" s="26" t="str">
        <x:v>CENTRALIZED</x:v>
      </x:c>
      <x:c r="H326" s="26" t="str">
        <x:v>P-003</x:v>
      </x:c>
      <x:c r="I326" s="26" t="str">
        <x:v>Internal $1,000 reconciliation tolerance; reviewer approval required</x:v>
      </x:c>
      <x:c r="J326" s="26" t="str">
        <x:v>v0.21 baseline formula; v0.23 disposition</x:v>
      </x:c>
    </x:row>
    <x:row r="327">
      <x:c r="A327" s="26" t="str">
        <x:v>AB_OS_Project_Data_2024</x:v>
      </x:c>
      <x:c r="B327" s="26" t="str">
        <x:v>AF48</x:v>
      </x:c>
      <x:c r="C327" s="26" t="str">
        <x:v>IF(ABS(X48)&lt;=1000,"WITHIN $1K","DISPLAY RATE / ADJUSTMENT")</x:v>
      </x:c>
      <x:c r="D327" s="26" t="str">
        <x:v>1000</x:v>
      </x:c>
      <x:c r="E327" s="26" t="str">
        <x:v>VALIDATION THRESHOLD</x:v>
      </x:c>
      <x:c r="F327" s="26" t="str">
        <x:v>YES</x:v>
      </x:c>
      <x:c r="G327" s="26" t="str">
        <x:v>CENTRALIZED</x:v>
      </x:c>
      <x:c r="H327" s="26" t="str">
        <x:v>P-003</x:v>
      </x:c>
      <x:c r="I327" s="26" t="str">
        <x:v>Internal $1,000 reconciliation tolerance; reviewer approval required</x:v>
      </x:c>
      <x:c r="J327" s="26" t="str">
        <x:v>v0.21 baseline formula; v0.23 disposition</x:v>
      </x:c>
    </x:row>
    <x:row r="328">
      <x:c r="A328" s="26" t="str">
        <x:v>AB_OS_Project_Data_2024</x:v>
      </x:c>
      <x:c r="B328" s="26" t="str">
        <x:v>W49</x:v>
      </x:c>
      <x:c r="C328" s="26" t="str">
        <x:v>IF(T49="NET",Q49*U49/100,G49*U49/100)</x:v>
      </x:c>
      <x:c r="D328" s="26" t="str">
        <x:v>100, 100</x:v>
      </x:c>
      <x:c r="E328" s="26" t="str">
        <x:v>UNIT CONVERSION</x:v>
      </x:c>
      <x:c r="F328" s="26" t="str">
        <x:v>NO</x:v>
      </x:c>
      <x:c r="G328" s="26" t="str">
        <x:v>RETAIN LITERAL</x:v>
      </x:c>
      <x:c r="H328" s="26" t="str">
        <x:v>Percentage divisor</x:v>
      </x:c>
      <x:c r="I328" s="26" t="str">
        <x:v>Divides percentage points by 100</x:v>
      </x:c>
      <x:c r="J328" s="26" t="str">
        <x:v>v0.21 baseline formula; v0.23 disposition</x:v>
      </x:c>
    </x:row>
    <x:row r="329">
      <x:c r="A329" s="26" t="str">
        <x:v>AB_OS_Project_Data_2024</x:v>
      </x:c>
      <x:c r="B329" s="26" t="str">
        <x:v>AD49</x:v>
      </x:c>
      <x:c r="C329" s="26" t="str">
        <x:v>IF(ABS(H49)&lt;=1000,"PASS","REVIEW")</x:v>
      </x:c>
      <x:c r="D329" s="26" t="str">
        <x:v>1000</x:v>
      </x:c>
      <x:c r="E329" s="26" t="str">
        <x:v>VALIDATION THRESHOLD</x:v>
      </x:c>
      <x:c r="F329" s="26" t="str">
        <x:v>YES</x:v>
      </x:c>
      <x:c r="G329" s="26" t="str">
        <x:v>CENTRALIZED</x:v>
      </x:c>
      <x:c r="H329" s="26" t="str">
        <x:v>P-003</x:v>
      </x:c>
      <x:c r="I329" s="26" t="str">
        <x:v>Internal $1,000 reconciliation tolerance; reviewer approval required</x:v>
      </x:c>
      <x:c r="J329" s="26" t="str">
        <x:v>v0.21 baseline formula; v0.23 disposition</x:v>
      </x:c>
    </x:row>
    <x:row r="330">
      <x:c r="A330" s="26" t="str">
        <x:v>AB_OS_Project_Data_2024</x:v>
      </x:c>
      <x:c r="B330" s="26" t="str">
        <x:v>AE49</x:v>
      </x:c>
      <x:c r="C330" s="26" t="str">
        <x:v>IF(T49&lt;&gt;"NET","N/A",IF(ABS(S49)&lt;=1000,"PASS","REVIEW"))</x:v>
      </x:c>
      <x:c r="D330" s="26" t="str">
        <x:v>1000</x:v>
      </x:c>
      <x:c r="E330" s="26" t="str">
        <x:v>VALIDATION THRESHOLD</x:v>
      </x:c>
      <x:c r="F330" s="26" t="str">
        <x:v>YES</x:v>
      </x:c>
      <x:c r="G330" s="26" t="str">
        <x:v>CENTRALIZED</x:v>
      </x:c>
      <x:c r="H330" s="26" t="str">
        <x:v>P-003</x:v>
      </x:c>
      <x:c r="I330" s="26" t="str">
        <x:v>Internal $1,000 reconciliation tolerance; reviewer approval required</x:v>
      </x:c>
      <x:c r="J330" s="26" t="str">
        <x:v>v0.21 baseline formula; v0.23 disposition</x:v>
      </x:c>
    </x:row>
    <x:row r="331">
      <x:c r="A331" s="26" t="str">
        <x:v>AB_OS_Project_Data_2024</x:v>
      </x:c>
      <x:c r="B331" s="26" t="str">
        <x:v>AF49</x:v>
      </x:c>
      <x:c r="C331" s="26" t="str">
        <x:v>IF(ABS(X49)&lt;=1000,"WITHIN $1K","DISPLAY RATE / ADJUSTMENT")</x:v>
      </x:c>
      <x:c r="D331" s="26" t="str">
        <x:v>1000</x:v>
      </x:c>
      <x:c r="E331" s="26" t="str">
        <x:v>VALIDATION THRESHOLD</x:v>
      </x:c>
      <x:c r="F331" s="26" t="str">
        <x:v>YES</x:v>
      </x:c>
      <x:c r="G331" s="26" t="str">
        <x:v>CENTRALIZED</x:v>
      </x:c>
      <x:c r="H331" s="26" t="str">
        <x:v>P-003</x:v>
      </x:c>
      <x:c r="I331" s="26" t="str">
        <x:v>Internal $1,000 reconciliation tolerance; reviewer approval required</x:v>
      </x:c>
      <x:c r="J331" s="26" t="str">
        <x:v>v0.21 baseline formula; v0.23 disposition</x:v>
      </x:c>
    </x:row>
    <x:row r="332">
      <x:c r="A332" s="26" t="str">
        <x:v>AB_OS_Project_Data_2024</x:v>
      </x:c>
      <x:c r="B332" s="26" t="str">
        <x:v>W50</x:v>
      </x:c>
      <x:c r="C332" s="26" t="str">
        <x:v>IF(T50="NET",Q50*U50/100,G50*U50/100)</x:v>
      </x:c>
      <x:c r="D332" s="26" t="str">
        <x:v>100, 100</x:v>
      </x:c>
      <x:c r="E332" s="26" t="str">
        <x:v>UNIT CONVERSION</x:v>
      </x:c>
      <x:c r="F332" s="26" t="str">
        <x:v>NO</x:v>
      </x:c>
      <x:c r="G332" s="26" t="str">
        <x:v>RETAIN LITERAL</x:v>
      </x:c>
      <x:c r="H332" s="26" t="str">
        <x:v>Percentage divisor</x:v>
      </x:c>
      <x:c r="I332" s="26" t="str">
        <x:v>Divides percentage points by 100</x:v>
      </x:c>
      <x:c r="J332" s="26" t="str">
        <x:v>v0.21 baseline formula; v0.23 disposition</x:v>
      </x:c>
    </x:row>
    <x:row r="333">
      <x:c r="A333" s="26" t="str">
        <x:v>AB_OS_Project_Data_2024</x:v>
      </x:c>
      <x:c r="B333" s="26" t="str">
        <x:v>AD50</x:v>
      </x:c>
      <x:c r="C333" s="26" t="str">
        <x:v>IF(ABS(H50)&lt;=1000,"PASS","REVIEW")</x:v>
      </x:c>
      <x:c r="D333" s="26" t="str">
        <x:v>1000</x:v>
      </x:c>
      <x:c r="E333" s="26" t="str">
        <x:v>VALIDATION THRESHOLD</x:v>
      </x:c>
      <x:c r="F333" s="26" t="str">
        <x:v>YES</x:v>
      </x:c>
      <x:c r="G333" s="26" t="str">
        <x:v>CENTRALIZED</x:v>
      </x:c>
      <x:c r="H333" s="26" t="str">
        <x:v>P-003</x:v>
      </x:c>
      <x:c r="I333" s="26" t="str">
        <x:v>Internal $1,000 reconciliation tolerance; reviewer approval required</x:v>
      </x:c>
      <x:c r="J333" s="26" t="str">
        <x:v>v0.21 baseline formula; v0.23 disposition</x:v>
      </x:c>
    </x:row>
    <x:row r="334">
      <x:c r="A334" s="26" t="str">
        <x:v>AB_OS_Project_Data_2024</x:v>
      </x:c>
      <x:c r="B334" s="26" t="str">
        <x:v>AE50</x:v>
      </x:c>
      <x:c r="C334" s="26" t="str">
        <x:v>IF(T50&lt;&gt;"NET","N/A",IF(ABS(S50)&lt;=1000,"PASS","REVIEW"))</x:v>
      </x:c>
      <x:c r="D334" s="26" t="str">
        <x:v>1000</x:v>
      </x:c>
      <x:c r="E334" s="26" t="str">
        <x:v>VALIDATION THRESHOLD</x:v>
      </x:c>
      <x:c r="F334" s="26" t="str">
        <x:v>YES</x:v>
      </x:c>
      <x:c r="G334" s="26" t="str">
        <x:v>CENTRALIZED</x:v>
      </x:c>
      <x:c r="H334" s="26" t="str">
        <x:v>P-003</x:v>
      </x:c>
      <x:c r="I334" s="26" t="str">
        <x:v>Internal $1,000 reconciliation tolerance; reviewer approval required</x:v>
      </x:c>
      <x:c r="J334" s="26" t="str">
        <x:v>v0.21 baseline formula; v0.23 disposition</x:v>
      </x:c>
    </x:row>
    <x:row r="335">
      <x:c r="A335" s="26" t="str">
        <x:v>AB_OS_Project_Data_2024</x:v>
      </x:c>
      <x:c r="B335" s="26" t="str">
        <x:v>AF50</x:v>
      </x:c>
      <x:c r="C335" s="26" t="str">
        <x:v>IF(ABS(X50)&lt;=1000,"WITHIN $1K","DISPLAY RATE / ADJUSTMENT")</x:v>
      </x:c>
      <x:c r="D335" s="26" t="str">
        <x:v>1000</x:v>
      </x:c>
      <x:c r="E335" s="26" t="str">
        <x:v>VALIDATION THRESHOLD</x:v>
      </x:c>
      <x:c r="F335" s="26" t="str">
        <x:v>YES</x:v>
      </x:c>
      <x:c r="G335" s="26" t="str">
        <x:v>CENTRALIZED</x:v>
      </x:c>
      <x:c r="H335" s="26" t="str">
        <x:v>P-003</x:v>
      </x:c>
      <x:c r="I335" s="26" t="str">
        <x:v>Internal $1,000 reconciliation tolerance; reviewer approval required</x:v>
      </x:c>
      <x:c r="J335" s="26" t="str">
        <x:v>v0.21 baseline formula; v0.23 disposition</x:v>
      </x:c>
    </x:row>
    <x:row r="336">
      <x:c r="A336" s="26" t="str">
        <x:v>AB_OS_Project_Data_2024</x:v>
      </x:c>
      <x:c r="B336" s="26" t="str">
        <x:v>W51</x:v>
      </x:c>
      <x:c r="C336" s="26" t="str">
        <x:v>IF(T51="NET",Q51*U51/100,G51*U51/100)</x:v>
      </x:c>
      <x:c r="D336" s="26" t="str">
        <x:v>100, 100</x:v>
      </x:c>
      <x:c r="E336" s="26" t="str">
        <x:v>UNIT CONVERSION</x:v>
      </x:c>
      <x:c r="F336" s="26" t="str">
        <x:v>NO</x:v>
      </x:c>
      <x:c r="G336" s="26" t="str">
        <x:v>RETAIN LITERAL</x:v>
      </x:c>
      <x:c r="H336" s="26" t="str">
        <x:v>Percentage divisor</x:v>
      </x:c>
      <x:c r="I336" s="26" t="str">
        <x:v>Divides percentage points by 100</x:v>
      </x:c>
      <x:c r="J336" s="26" t="str">
        <x:v>v0.21 baseline formula; v0.23 disposition</x:v>
      </x:c>
    </x:row>
    <x:row r="337">
      <x:c r="A337" s="26" t="str">
        <x:v>AB_OS_Project_Data_2024</x:v>
      </x:c>
      <x:c r="B337" s="26" t="str">
        <x:v>AD51</x:v>
      </x:c>
      <x:c r="C337" s="26" t="str">
        <x:v>IF(ABS(H51)&lt;=1000,"PASS","REVIEW")</x:v>
      </x:c>
      <x:c r="D337" s="26" t="str">
        <x:v>1000</x:v>
      </x:c>
      <x:c r="E337" s="26" t="str">
        <x:v>VALIDATION THRESHOLD</x:v>
      </x:c>
      <x:c r="F337" s="26" t="str">
        <x:v>YES</x:v>
      </x:c>
      <x:c r="G337" s="26" t="str">
        <x:v>CENTRALIZED</x:v>
      </x:c>
      <x:c r="H337" s="26" t="str">
        <x:v>P-003</x:v>
      </x:c>
      <x:c r="I337" s="26" t="str">
        <x:v>Internal $1,000 reconciliation tolerance; reviewer approval required</x:v>
      </x:c>
      <x:c r="J337" s="26" t="str">
        <x:v>v0.21 baseline formula; v0.23 disposition</x:v>
      </x:c>
    </x:row>
    <x:row r="338">
      <x:c r="A338" s="26" t="str">
        <x:v>AB_OS_Project_Data_2024</x:v>
      </x:c>
      <x:c r="B338" s="26" t="str">
        <x:v>AE51</x:v>
      </x:c>
      <x:c r="C338" s="26" t="str">
        <x:v>IF(T51&lt;&gt;"NET","N/A",IF(ABS(S51)&lt;=1000,"PASS","REVIEW"))</x:v>
      </x:c>
      <x:c r="D338" s="26" t="str">
        <x:v>1000</x:v>
      </x:c>
      <x:c r="E338" s="26" t="str">
        <x:v>VALIDATION THRESHOLD</x:v>
      </x:c>
      <x:c r="F338" s="26" t="str">
        <x:v>YES</x:v>
      </x:c>
      <x:c r="G338" s="26" t="str">
        <x:v>CENTRALIZED</x:v>
      </x:c>
      <x:c r="H338" s="26" t="str">
        <x:v>P-003</x:v>
      </x:c>
      <x:c r="I338" s="26" t="str">
        <x:v>Internal $1,000 reconciliation tolerance; reviewer approval required</x:v>
      </x:c>
      <x:c r="J338" s="26" t="str">
        <x:v>v0.21 baseline formula; v0.23 disposition</x:v>
      </x:c>
    </x:row>
    <x:row r="339">
      <x:c r="A339" s="26" t="str">
        <x:v>AB_OS_Project_Data_2024</x:v>
      </x:c>
      <x:c r="B339" s="26" t="str">
        <x:v>AF51</x:v>
      </x:c>
      <x:c r="C339" s="26" t="str">
        <x:v>IF(ABS(X51)&lt;=1000,"WITHIN $1K","DISPLAY RATE / ADJUSTMENT")</x:v>
      </x:c>
      <x:c r="D339" s="26" t="str">
        <x:v>1000</x:v>
      </x:c>
      <x:c r="E339" s="26" t="str">
        <x:v>VALIDATION THRESHOLD</x:v>
      </x:c>
      <x:c r="F339" s="26" t="str">
        <x:v>YES</x:v>
      </x:c>
      <x:c r="G339" s="26" t="str">
        <x:v>CENTRALIZED</x:v>
      </x:c>
      <x:c r="H339" s="26" t="str">
        <x:v>P-003</x:v>
      </x:c>
      <x:c r="I339" s="26" t="str">
        <x:v>Internal $1,000 reconciliation tolerance; reviewer approval required</x:v>
      </x:c>
      <x:c r="J339" s="26" t="str">
        <x:v>v0.21 baseline formula; v0.23 disposition</x:v>
      </x:c>
    </x:row>
    <x:row r="340">
      <x:c r="A340" s="26" t="str">
        <x:v>AB_OS_Project_Data_2024</x:v>
      </x:c>
      <x:c r="B340" s="26" t="str">
        <x:v>W52</x:v>
      </x:c>
      <x:c r="C340" s="26" t="str">
        <x:v>IF(T52="NET",Q52*U52/100,G52*U52/100)</x:v>
      </x:c>
      <x:c r="D340" s="26" t="str">
        <x:v>100, 100</x:v>
      </x:c>
      <x:c r="E340" s="26" t="str">
        <x:v>UNIT CONVERSION</x:v>
      </x:c>
      <x:c r="F340" s="26" t="str">
        <x:v>NO</x:v>
      </x:c>
      <x:c r="G340" s="26" t="str">
        <x:v>RETAIN LITERAL</x:v>
      </x:c>
      <x:c r="H340" s="26" t="str">
        <x:v>Percentage divisor</x:v>
      </x:c>
      <x:c r="I340" s="26" t="str">
        <x:v>Divides percentage points by 100</x:v>
      </x:c>
      <x:c r="J340" s="26" t="str">
        <x:v>v0.21 baseline formula; v0.23 disposition</x:v>
      </x:c>
    </x:row>
    <x:row r="341">
      <x:c r="A341" s="26" t="str">
        <x:v>AB_OS_Project_Data_2024</x:v>
      </x:c>
      <x:c r="B341" s="26" t="str">
        <x:v>AD52</x:v>
      </x:c>
      <x:c r="C341" s="26" t="str">
        <x:v>IF(ABS(H52)&lt;=1000,"PASS","REVIEW")</x:v>
      </x:c>
      <x:c r="D341" s="26" t="str">
        <x:v>1000</x:v>
      </x:c>
      <x:c r="E341" s="26" t="str">
        <x:v>VALIDATION THRESHOLD</x:v>
      </x:c>
      <x:c r="F341" s="26" t="str">
        <x:v>YES</x:v>
      </x:c>
      <x:c r="G341" s="26" t="str">
        <x:v>CENTRALIZED</x:v>
      </x:c>
      <x:c r="H341" s="26" t="str">
        <x:v>P-003</x:v>
      </x:c>
      <x:c r="I341" s="26" t="str">
        <x:v>Internal $1,000 reconciliation tolerance; reviewer approval required</x:v>
      </x:c>
      <x:c r="J341" s="26" t="str">
        <x:v>v0.21 baseline formula; v0.23 disposition</x:v>
      </x:c>
    </x:row>
    <x:row r="342">
      <x:c r="A342" s="26" t="str">
        <x:v>AB_OS_Project_Data_2024</x:v>
      </x:c>
      <x:c r="B342" s="26" t="str">
        <x:v>AE52</x:v>
      </x:c>
      <x:c r="C342" s="26" t="str">
        <x:v>IF(T52&lt;&gt;"NET","N/A",IF(ABS(S52)&lt;=1000,"PASS","REVIEW"))</x:v>
      </x:c>
      <x:c r="D342" s="26" t="str">
        <x:v>1000</x:v>
      </x:c>
      <x:c r="E342" s="26" t="str">
        <x:v>VALIDATION THRESHOLD</x:v>
      </x:c>
      <x:c r="F342" s="26" t="str">
        <x:v>YES</x:v>
      </x:c>
      <x:c r="G342" s="26" t="str">
        <x:v>CENTRALIZED</x:v>
      </x:c>
      <x:c r="H342" s="26" t="str">
        <x:v>P-003</x:v>
      </x:c>
      <x:c r="I342" s="26" t="str">
        <x:v>Internal $1,000 reconciliation tolerance; reviewer approval required</x:v>
      </x:c>
      <x:c r="J342" s="26" t="str">
        <x:v>v0.21 baseline formula; v0.23 disposition</x:v>
      </x:c>
    </x:row>
    <x:row r="343">
      <x:c r="A343" s="26" t="str">
        <x:v>AB_OS_Project_Data_2024</x:v>
      </x:c>
      <x:c r="B343" s="26" t="str">
        <x:v>AF52</x:v>
      </x:c>
      <x:c r="C343" s="26" t="str">
        <x:v>IF(ABS(X52)&lt;=1000,"WITHIN $1K","DISPLAY RATE / ADJUSTMENT")</x:v>
      </x:c>
      <x:c r="D343" s="26" t="str">
        <x:v>1000</x:v>
      </x:c>
      <x:c r="E343" s="26" t="str">
        <x:v>VALIDATION THRESHOLD</x:v>
      </x:c>
      <x:c r="F343" s="26" t="str">
        <x:v>YES</x:v>
      </x:c>
      <x:c r="G343" s="26" t="str">
        <x:v>CENTRALIZED</x:v>
      </x:c>
      <x:c r="H343" s="26" t="str">
        <x:v>P-003</x:v>
      </x:c>
      <x:c r="I343" s="26" t="str">
        <x:v>Internal $1,000 reconciliation tolerance; reviewer approval required</x:v>
      </x:c>
      <x:c r="J343" s="26" t="str">
        <x:v>v0.21 baseline formula; v0.23 disposition</x:v>
      </x:c>
    </x:row>
    <x:row r="344">
      <x:c r="A344" s="26" t="str">
        <x:v>AB_OS_Project_Data_2024</x:v>
      </x:c>
      <x:c r="B344" s="26" t="str">
        <x:v>W53</x:v>
      </x:c>
      <x:c r="C344" s="26" t="str">
        <x:v>IF(T53="NET",Q53*U53/100,G53*U53/100)</x:v>
      </x:c>
      <x:c r="D344" s="26" t="str">
        <x:v>100, 100</x:v>
      </x:c>
      <x:c r="E344" s="26" t="str">
        <x:v>UNIT CONVERSION</x:v>
      </x:c>
      <x:c r="F344" s="26" t="str">
        <x:v>NO</x:v>
      </x:c>
      <x:c r="G344" s="26" t="str">
        <x:v>RETAIN LITERAL</x:v>
      </x:c>
      <x:c r="H344" s="26" t="str">
        <x:v>Percentage divisor</x:v>
      </x:c>
      <x:c r="I344" s="26" t="str">
        <x:v>Divides percentage points by 100</x:v>
      </x:c>
      <x:c r="J344" s="26" t="str">
        <x:v>v0.21 baseline formula; v0.23 disposition</x:v>
      </x:c>
    </x:row>
    <x:row r="345">
      <x:c r="A345" s="26" t="str">
        <x:v>AB_OS_Project_Data_2024</x:v>
      </x:c>
      <x:c r="B345" s="26" t="str">
        <x:v>AD53</x:v>
      </x:c>
      <x:c r="C345" s="26" t="str">
        <x:v>IF(ABS(H53)&lt;=1000,"PASS","REVIEW")</x:v>
      </x:c>
      <x:c r="D345" s="26" t="str">
        <x:v>1000</x:v>
      </x:c>
      <x:c r="E345" s="26" t="str">
        <x:v>VALIDATION THRESHOLD</x:v>
      </x:c>
      <x:c r="F345" s="26" t="str">
        <x:v>YES</x:v>
      </x:c>
      <x:c r="G345" s="26" t="str">
        <x:v>CENTRALIZED</x:v>
      </x:c>
      <x:c r="H345" s="26" t="str">
        <x:v>P-003</x:v>
      </x:c>
      <x:c r="I345" s="26" t="str">
        <x:v>Internal $1,000 reconciliation tolerance; reviewer approval required</x:v>
      </x:c>
      <x:c r="J345" s="26" t="str">
        <x:v>v0.21 baseline formula; v0.23 disposition</x:v>
      </x:c>
    </x:row>
    <x:row r="346">
      <x:c r="A346" s="26" t="str">
        <x:v>AB_OS_Project_Data_2024</x:v>
      </x:c>
      <x:c r="B346" s="26" t="str">
        <x:v>AE53</x:v>
      </x:c>
      <x:c r="C346" s="26" t="str">
        <x:v>IF(T53&lt;&gt;"NET","N/A",IF(ABS(S53)&lt;=1000,"PASS","REVIEW"))</x:v>
      </x:c>
      <x:c r="D346" s="26" t="str">
        <x:v>1000</x:v>
      </x:c>
      <x:c r="E346" s="26" t="str">
        <x:v>VALIDATION THRESHOLD</x:v>
      </x:c>
      <x:c r="F346" s="26" t="str">
        <x:v>YES</x:v>
      </x:c>
      <x:c r="G346" s="26" t="str">
        <x:v>CENTRALIZED</x:v>
      </x:c>
      <x:c r="H346" s="26" t="str">
        <x:v>P-003</x:v>
      </x:c>
      <x:c r="I346" s="26" t="str">
        <x:v>Internal $1,000 reconciliation tolerance; reviewer approval required</x:v>
      </x:c>
      <x:c r="J346" s="26" t="str">
        <x:v>v0.21 baseline formula; v0.23 disposition</x:v>
      </x:c>
    </x:row>
    <x:row r="347">
      <x:c r="A347" s="26" t="str">
        <x:v>AB_OS_Project_Data_2024</x:v>
      </x:c>
      <x:c r="B347" s="26" t="str">
        <x:v>AF53</x:v>
      </x:c>
      <x:c r="C347" s="26" t="str">
        <x:v>IF(ABS(X53)&lt;=1000,"WITHIN $1K","DISPLAY RATE / ADJUSTMENT")</x:v>
      </x:c>
      <x:c r="D347" s="26" t="str">
        <x:v>1000</x:v>
      </x:c>
      <x:c r="E347" s="26" t="str">
        <x:v>VALIDATION THRESHOLD</x:v>
      </x:c>
      <x:c r="F347" s="26" t="str">
        <x:v>YES</x:v>
      </x:c>
      <x:c r="G347" s="26" t="str">
        <x:v>CENTRALIZED</x:v>
      </x:c>
      <x:c r="H347" s="26" t="str">
        <x:v>P-003</x:v>
      </x:c>
      <x:c r="I347" s="26" t="str">
        <x:v>Internal $1,000 reconciliation tolerance; reviewer approval required</x:v>
      </x:c>
      <x:c r="J347" s="26" t="str">
        <x:v>v0.21 baseline formula; v0.23 disposition</x:v>
      </x:c>
    </x:row>
    <x:row r="348">
      <x:c r="A348" s="26" t="str">
        <x:v>AB_OS_Project_Data_2024</x:v>
      </x:c>
      <x:c r="B348" s="26" t="str">
        <x:v>W54</x:v>
      </x:c>
      <x:c r="C348" s="26" t="str">
        <x:v>IF(T54="NET",Q54*U54/100,G54*U54/100)</x:v>
      </x:c>
      <x:c r="D348" s="26" t="str">
        <x:v>100, 100</x:v>
      </x:c>
      <x:c r="E348" s="26" t="str">
        <x:v>UNIT CONVERSION</x:v>
      </x:c>
      <x:c r="F348" s="26" t="str">
        <x:v>NO</x:v>
      </x:c>
      <x:c r="G348" s="26" t="str">
        <x:v>RETAIN LITERAL</x:v>
      </x:c>
      <x:c r="H348" s="26" t="str">
        <x:v>Percentage divisor</x:v>
      </x:c>
      <x:c r="I348" s="26" t="str">
        <x:v>Divides percentage points by 100</x:v>
      </x:c>
      <x:c r="J348" s="26" t="str">
        <x:v>v0.21 baseline formula; v0.23 disposition</x:v>
      </x:c>
    </x:row>
    <x:row r="349">
      <x:c r="A349" s="26" t="str">
        <x:v>AB_OS_Project_Data_2024</x:v>
      </x:c>
      <x:c r="B349" s="26" t="str">
        <x:v>AD54</x:v>
      </x:c>
      <x:c r="C349" s="26" t="str">
        <x:v>IF(ABS(H54)&lt;=1000,"PASS","REVIEW")</x:v>
      </x:c>
      <x:c r="D349" s="26" t="str">
        <x:v>1000</x:v>
      </x:c>
      <x:c r="E349" s="26" t="str">
        <x:v>VALIDATION THRESHOLD</x:v>
      </x:c>
      <x:c r="F349" s="26" t="str">
        <x:v>YES</x:v>
      </x:c>
      <x:c r="G349" s="26" t="str">
        <x:v>CENTRALIZED</x:v>
      </x:c>
      <x:c r="H349" s="26" t="str">
        <x:v>P-003</x:v>
      </x:c>
      <x:c r="I349" s="26" t="str">
        <x:v>Internal $1,000 reconciliation tolerance; reviewer approval required</x:v>
      </x:c>
      <x:c r="J349" s="26" t="str">
        <x:v>v0.21 baseline formula; v0.23 disposition</x:v>
      </x:c>
    </x:row>
    <x:row r="350">
      <x:c r="A350" s="26" t="str">
        <x:v>AB_OS_Project_Data_2024</x:v>
      </x:c>
      <x:c r="B350" s="26" t="str">
        <x:v>AE54</x:v>
      </x:c>
      <x:c r="C350" s="26" t="str">
        <x:v>IF(T54&lt;&gt;"NET","N/A",IF(ABS(S54)&lt;=1000,"PASS","REVIEW"))</x:v>
      </x:c>
      <x:c r="D350" s="26" t="str">
        <x:v>1000</x:v>
      </x:c>
      <x:c r="E350" s="26" t="str">
        <x:v>VALIDATION THRESHOLD</x:v>
      </x:c>
      <x:c r="F350" s="26" t="str">
        <x:v>YES</x:v>
      </x:c>
      <x:c r="G350" s="26" t="str">
        <x:v>CENTRALIZED</x:v>
      </x:c>
      <x:c r="H350" s="26" t="str">
        <x:v>P-003</x:v>
      </x:c>
      <x:c r="I350" s="26" t="str">
        <x:v>Internal $1,000 reconciliation tolerance; reviewer approval required</x:v>
      </x:c>
      <x:c r="J350" s="26" t="str">
        <x:v>v0.21 baseline formula; v0.23 disposition</x:v>
      </x:c>
    </x:row>
    <x:row r="351">
      <x:c r="A351" s="26" t="str">
        <x:v>AB_OS_Project_Data_2024</x:v>
      </x:c>
      <x:c r="B351" s="26" t="str">
        <x:v>AF54</x:v>
      </x:c>
      <x:c r="C351" s="26" t="str">
        <x:v>IF(ABS(X54)&lt;=1000,"WITHIN $1K","DISPLAY RATE / ADJUSTMENT")</x:v>
      </x:c>
      <x:c r="D351" s="26" t="str">
        <x:v>1000</x:v>
      </x:c>
      <x:c r="E351" s="26" t="str">
        <x:v>VALIDATION THRESHOLD</x:v>
      </x:c>
      <x:c r="F351" s="26" t="str">
        <x:v>YES</x:v>
      </x:c>
      <x:c r="G351" s="26" t="str">
        <x:v>CENTRALIZED</x:v>
      </x:c>
      <x:c r="H351" s="26" t="str">
        <x:v>P-003</x:v>
      </x:c>
      <x:c r="I351" s="26" t="str">
        <x:v>Internal $1,000 reconciliation tolerance; reviewer approval required</x:v>
      </x:c>
      <x:c r="J351" s="26" t="str">
        <x:v>v0.21 baseline formula; v0.23 disposition</x:v>
      </x:c>
    </x:row>
    <x:row r="352">
      <x:c r="A352" s="26" t="str">
        <x:v>AB_OS_Project_Data_2024</x:v>
      </x:c>
      <x:c r="B352" s="26" t="str">
        <x:v>W55</x:v>
      </x:c>
      <x:c r="C352" s="26" t="str">
        <x:v>IF(T55="NET",Q55*U55/100,G55*U55/100)</x:v>
      </x:c>
      <x:c r="D352" s="26" t="str">
        <x:v>100, 100</x:v>
      </x:c>
      <x:c r="E352" s="26" t="str">
        <x:v>UNIT CONVERSION</x:v>
      </x:c>
      <x:c r="F352" s="26" t="str">
        <x:v>NO</x:v>
      </x:c>
      <x:c r="G352" s="26" t="str">
        <x:v>RETAIN LITERAL</x:v>
      </x:c>
      <x:c r="H352" s="26" t="str">
        <x:v>Percentage divisor</x:v>
      </x:c>
      <x:c r="I352" s="26" t="str">
        <x:v>Divides percentage points by 100</x:v>
      </x:c>
      <x:c r="J352" s="26" t="str">
        <x:v>v0.21 baseline formula; v0.23 disposition</x:v>
      </x:c>
    </x:row>
    <x:row r="353">
      <x:c r="A353" s="26" t="str">
        <x:v>AB_OS_Project_Data_2024</x:v>
      </x:c>
      <x:c r="B353" s="26" t="str">
        <x:v>AD55</x:v>
      </x:c>
      <x:c r="C353" s="26" t="str">
        <x:v>IF(ABS(H55)&lt;=1000,"PASS","REVIEW")</x:v>
      </x:c>
      <x:c r="D353" s="26" t="str">
        <x:v>1000</x:v>
      </x:c>
      <x:c r="E353" s="26" t="str">
        <x:v>VALIDATION THRESHOLD</x:v>
      </x:c>
      <x:c r="F353" s="26" t="str">
        <x:v>YES</x:v>
      </x:c>
      <x:c r="G353" s="26" t="str">
        <x:v>CENTRALIZED</x:v>
      </x:c>
      <x:c r="H353" s="26" t="str">
        <x:v>P-003</x:v>
      </x:c>
      <x:c r="I353" s="26" t="str">
        <x:v>Internal $1,000 reconciliation tolerance; reviewer approval required</x:v>
      </x:c>
      <x:c r="J353" s="26" t="str">
        <x:v>v0.21 baseline formula; v0.23 disposition</x:v>
      </x:c>
    </x:row>
    <x:row r="354">
      <x:c r="A354" s="26" t="str">
        <x:v>AB_OS_Project_Data_2024</x:v>
      </x:c>
      <x:c r="B354" s="26" t="str">
        <x:v>AE55</x:v>
      </x:c>
      <x:c r="C354" s="26" t="str">
        <x:v>IF(T55&lt;&gt;"NET","N/A",IF(ABS(S55)&lt;=1000,"PASS","REVIEW"))</x:v>
      </x:c>
      <x:c r="D354" s="26" t="str">
        <x:v>1000</x:v>
      </x:c>
      <x:c r="E354" s="26" t="str">
        <x:v>VALIDATION THRESHOLD</x:v>
      </x:c>
      <x:c r="F354" s="26" t="str">
        <x:v>YES</x:v>
      </x:c>
      <x:c r="G354" s="26" t="str">
        <x:v>CENTRALIZED</x:v>
      </x:c>
      <x:c r="H354" s="26" t="str">
        <x:v>P-003</x:v>
      </x:c>
      <x:c r="I354" s="26" t="str">
        <x:v>Internal $1,000 reconciliation tolerance; reviewer approval required</x:v>
      </x:c>
      <x:c r="J354" s="26" t="str">
        <x:v>v0.21 baseline formula; v0.23 disposition</x:v>
      </x:c>
    </x:row>
    <x:row r="355">
      <x:c r="A355" s="26" t="str">
        <x:v>AB_OS_Project_Data_2024</x:v>
      </x:c>
      <x:c r="B355" s="26" t="str">
        <x:v>AF55</x:v>
      </x:c>
      <x:c r="C355" s="26" t="str">
        <x:v>IF(ABS(X55)&lt;=1000,"WITHIN $1K","DISPLAY RATE / ADJUSTMENT")</x:v>
      </x:c>
      <x:c r="D355" s="26" t="str">
        <x:v>1000</x:v>
      </x:c>
      <x:c r="E355" s="26" t="str">
        <x:v>VALIDATION THRESHOLD</x:v>
      </x:c>
      <x:c r="F355" s="26" t="str">
        <x:v>YES</x:v>
      </x:c>
      <x:c r="G355" s="26" t="str">
        <x:v>CENTRALIZED</x:v>
      </x:c>
      <x:c r="H355" s="26" t="str">
        <x:v>P-003</x:v>
      </x:c>
      <x:c r="I355" s="26" t="str">
        <x:v>Internal $1,000 reconciliation tolerance; reviewer approval required</x:v>
      </x:c>
      <x:c r="J355" s="26" t="str">
        <x:v>v0.21 baseline formula; v0.23 disposition</x:v>
      </x:c>
    </x:row>
    <x:row r="356">
      <x:c r="A356" s="26" t="str">
        <x:v>AB_OS_Project_Data_2024</x:v>
      </x:c>
      <x:c r="B356" s="26" t="str">
        <x:v>W56</x:v>
      </x:c>
      <x:c r="C356" s="26" t="str">
        <x:v>IF(T56="NET",Q56*U56/100,G56*U56/100)</x:v>
      </x:c>
      <x:c r="D356" s="26" t="str">
        <x:v>100, 100</x:v>
      </x:c>
      <x:c r="E356" s="26" t="str">
        <x:v>UNIT CONVERSION</x:v>
      </x:c>
      <x:c r="F356" s="26" t="str">
        <x:v>NO</x:v>
      </x:c>
      <x:c r="G356" s="26" t="str">
        <x:v>RETAIN LITERAL</x:v>
      </x:c>
      <x:c r="H356" s="26" t="str">
        <x:v>Percentage divisor</x:v>
      </x:c>
      <x:c r="I356" s="26" t="str">
        <x:v>Divides percentage points by 100</x:v>
      </x:c>
      <x:c r="J356" s="26" t="str">
        <x:v>v0.21 baseline formula; v0.23 disposition</x:v>
      </x:c>
    </x:row>
    <x:row r="357">
      <x:c r="A357" s="26" t="str">
        <x:v>AB_OS_Project_Data_2024</x:v>
      </x:c>
      <x:c r="B357" s="26" t="str">
        <x:v>AD56</x:v>
      </x:c>
      <x:c r="C357" s="26" t="str">
        <x:v>IF(ABS(H56)&lt;=1000,"PASS","REVIEW")</x:v>
      </x:c>
      <x:c r="D357" s="26" t="str">
        <x:v>1000</x:v>
      </x:c>
      <x:c r="E357" s="26" t="str">
        <x:v>VALIDATION THRESHOLD</x:v>
      </x:c>
      <x:c r="F357" s="26" t="str">
        <x:v>YES</x:v>
      </x:c>
      <x:c r="G357" s="26" t="str">
        <x:v>CENTRALIZED</x:v>
      </x:c>
      <x:c r="H357" s="26" t="str">
        <x:v>P-003</x:v>
      </x:c>
      <x:c r="I357" s="26" t="str">
        <x:v>Internal $1,000 reconciliation tolerance; reviewer approval required</x:v>
      </x:c>
      <x:c r="J357" s="26" t="str">
        <x:v>v0.21 baseline formula; v0.23 disposition</x:v>
      </x:c>
    </x:row>
    <x:row r="358">
      <x:c r="A358" s="26" t="str">
        <x:v>AB_OS_Project_Data_2024</x:v>
      </x:c>
      <x:c r="B358" s="26" t="str">
        <x:v>AE56</x:v>
      </x:c>
      <x:c r="C358" s="26" t="str">
        <x:v>IF(T56&lt;&gt;"NET","N/A",IF(ABS(S56)&lt;=1000,"PASS","REVIEW"))</x:v>
      </x:c>
      <x:c r="D358" s="26" t="str">
        <x:v>1000</x:v>
      </x:c>
      <x:c r="E358" s="26" t="str">
        <x:v>VALIDATION THRESHOLD</x:v>
      </x:c>
      <x:c r="F358" s="26" t="str">
        <x:v>YES</x:v>
      </x:c>
      <x:c r="G358" s="26" t="str">
        <x:v>CENTRALIZED</x:v>
      </x:c>
      <x:c r="H358" s="26" t="str">
        <x:v>P-003</x:v>
      </x:c>
      <x:c r="I358" s="26" t="str">
        <x:v>Internal $1,000 reconciliation tolerance; reviewer approval required</x:v>
      </x:c>
      <x:c r="J358" s="26" t="str">
        <x:v>v0.21 baseline formula; v0.23 disposition</x:v>
      </x:c>
    </x:row>
    <x:row r="359">
      <x:c r="A359" s="26" t="str">
        <x:v>AB_OS_Project_Data_2024</x:v>
      </x:c>
      <x:c r="B359" s="26" t="str">
        <x:v>AF56</x:v>
      </x:c>
      <x:c r="C359" s="26" t="str">
        <x:v>IF(ABS(X56)&lt;=1000,"WITHIN $1K","DISPLAY RATE / ADJUSTMENT")</x:v>
      </x:c>
      <x:c r="D359" s="26" t="str">
        <x:v>1000</x:v>
      </x:c>
      <x:c r="E359" s="26" t="str">
        <x:v>VALIDATION THRESHOLD</x:v>
      </x:c>
      <x:c r="F359" s="26" t="str">
        <x:v>YES</x:v>
      </x:c>
      <x:c r="G359" s="26" t="str">
        <x:v>CENTRALIZED</x:v>
      </x:c>
      <x:c r="H359" s="26" t="str">
        <x:v>P-003</x:v>
      </x:c>
      <x:c r="I359" s="26" t="str">
        <x:v>Internal $1,000 reconciliation tolerance; reviewer approval required</x:v>
      </x:c>
      <x:c r="J359" s="26" t="str">
        <x:v>v0.21 baseline formula; v0.23 disposition</x:v>
      </x:c>
    </x:row>
    <x:row r="360">
      <x:c r="A360" s="26" t="str">
        <x:v>AB_OS_Project_Data_2024</x:v>
      </x:c>
      <x:c r="B360" s="26" t="str">
        <x:v>W57</x:v>
      </x:c>
      <x:c r="C360" s="26" t="str">
        <x:v>IF(T57="NET",Q57*U57/100,G57*U57/100)</x:v>
      </x:c>
      <x:c r="D360" s="26" t="str">
        <x:v>100, 100</x:v>
      </x:c>
      <x:c r="E360" s="26" t="str">
        <x:v>UNIT CONVERSION</x:v>
      </x:c>
      <x:c r="F360" s="26" t="str">
        <x:v>NO</x:v>
      </x:c>
      <x:c r="G360" s="26" t="str">
        <x:v>RETAIN LITERAL</x:v>
      </x:c>
      <x:c r="H360" s="26" t="str">
        <x:v>Percentage divisor</x:v>
      </x:c>
      <x:c r="I360" s="26" t="str">
        <x:v>Divides percentage points by 100</x:v>
      </x:c>
      <x:c r="J360" s="26" t="str">
        <x:v>v0.21 baseline formula; v0.23 disposition</x:v>
      </x:c>
    </x:row>
    <x:row r="361">
      <x:c r="A361" s="26" t="str">
        <x:v>AB_OS_Project_Data_2024</x:v>
      </x:c>
      <x:c r="B361" s="26" t="str">
        <x:v>AD57</x:v>
      </x:c>
      <x:c r="C361" s="26" t="str">
        <x:v>IF(ABS(H57)&lt;=1000,"PASS","REVIEW")</x:v>
      </x:c>
      <x:c r="D361" s="26" t="str">
        <x:v>1000</x:v>
      </x:c>
      <x:c r="E361" s="26" t="str">
        <x:v>VALIDATION THRESHOLD</x:v>
      </x:c>
      <x:c r="F361" s="26" t="str">
        <x:v>YES</x:v>
      </x:c>
      <x:c r="G361" s="26" t="str">
        <x:v>CENTRALIZED</x:v>
      </x:c>
      <x:c r="H361" s="26" t="str">
        <x:v>P-003</x:v>
      </x:c>
      <x:c r="I361" s="26" t="str">
        <x:v>Internal $1,000 reconciliation tolerance; reviewer approval required</x:v>
      </x:c>
      <x:c r="J361" s="26" t="str">
        <x:v>v0.21 baseline formula; v0.23 disposition</x:v>
      </x:c>
    </x:row>
    <x:row r="362">
      <x:c r="A362" s="26" t="str">
        <x:v>AB_OS_Project_Data_2024</x:v>
      </x:c>
      <x:c r="B362" s="26" t="str">
        <x:v>AE57</x:v>
      </x:c>
      <x:c r="C362" s="26" t="str">
        <x:v>IF(T57&lt;&gt;"NET","N/A",IF(ABS(S57)&lt;=1000,"PASS","REVIEW"))</x:v>
      </x:c>
      <x:c r="D362" s="26" t="str">
        <x:v>1000</x:v>
      </x:c>
      <x:c r="E362" s="26" t="str">
        <x:v>VALIDATION THRESHOLD</x:v>
      </x:c>
      <x:c r="F362" s="26" t="str">
        <x:v>YES</x:v>
      </x:c>
      <x:c r="G362" s="26" t="str">
        <x:v>CENTRALIZED</x:v>
      </x:c>
      <x:c r="H362" s="26" t="str">
        <x:v>P-003</x:v>
      </x:c>
      <x:c r="I362" s="26" t="str">
        <x:v>Internal $1,000 reconciliation tolerance; reviewer approval required</x:v>
      </x:c>
      <x:c r="J362" s="26" t="str">
        <x:v>v0.21 baseline formula; v0.23 disposition</x:v>
      </x:c>
    </x:row>
    <x:row r="363">
      <x:c r="A363" s="26" t="str">
        <x:v>AB_OS_Project_Data_2024</x:v>
      </x:c>
      <x:c r="B363" s="26" t="str">
        <x:v>AF57</x:v>
      </x:c>
      <x:c r="C363" s="26" t="str">
        <x:v>IF(ABS(X57)&lt;=1000,"WITHIN $1K","DISPLAY RATE / ADJUSTMENT")</x:v>
      </x:c>
      <x:c r="D363" s="26" t="str">
        <x:v>1000</x:v>
      </x:c>
      <x:c r="E363" s="26" t="str">
        <x:v>VALIDATION THRESHOLD</x:v>
      </x:c>
      <x:c r="F363" s="26" t="str">
        <x:v>YES</x:v>
      </x:c>
      <x:c r="G363" s="26" t="str">
        <x:v>CENTRALIZED</x:v>
      </x:c>
      <x:c r="H363" s="26" t="str">
        <x:v>P-003</x:v>
      </x:c>
      <x:c r="I363" s="26" t="str">
        <x:v>Internal $1,000 reconciliation tolerance; reviewer approval required</x:v>
      </x:c>
      <x:c r="J363" s="26" t="str">
        <x:v>v0.21 baseline formula; v0.23 disposition</x:v>
      </x:c>
    </x:row>
    <x:row r="364">
      <x:c r="A364" s="26" t="str">
        <x:v>AB_OS_Project_Data_2024</x:v>
      </x:c>
      <x:c r="B364" s="26" t="str">
        <x:v>W58</x:v>
      </x:c>
      <x:c r="C364" s="26" t="str">
        <x:v>IF(T58="NET",Q58*U58/100,G58*U58/100)</x:v>
      </x:c>
      <x:c r="D364" s="26" t="str">
        <x:v>100, 100</x:v>
      </x:c>
      <x:c r="E364" s="26" t="str">
        <x:v>UNIT CONVERSION</x:v>
      </x:c>
      <x:c r="F364" s="26" t="str">
        <x:v>NO</x:v>
      </x:c>
      <x:c r="G364" s="26" t="str">
        <x:v>RETAIN LITERAL</x:v>
      </x:c>
      <x:c r="H364" s="26" t="str">
        <x:v>Percentage divisor</x:v>
      </x:c>
      <x:c r="I364" s="26" t="str">
        <x:v>Divides percentage points by 100</x:v>
      </x:c>
      <x:c r="J364" s="26" t="str">
        <x:v>v0.21 baseline formula; v0.23 disposition</x:v>
      </x:c>
    </x:row>
    <x:row r="365">
      <x:c r="A365" s="26" t="str">
        <x:v>AB_OS_Project_Data_2024</x:v>
      </x:c>
      <x:c r="B365" s="26" t="str">
        <x:v>AD58</x:v>
      </x:c>
      <x:c r="C365" s="26" t="str">
        <x:v>IF(ABS(H58)&lt;=1000,"PASS","REVIEW")</x:v>
      </x:c>
      <x:c r="D365" s="26" t="str">
        <x:v>1000</x:v>
      </x:c>
      <x:c r="E365" s="26" t="str">
        <x:v>VALIDATION THRESHOLD</x:v>
      </x:c>
      <x:c r="F365" s="26" t="str">
        <x:v>YES</x:v>
      </x:c>
      <x:c r="G365" s="26" t="str">
        <x:v>CENTRALIZED</x:v>
      </x:c>
      <x:c r="H365" s="26" t="str">
        <x:v>P-003</x:v>
      </x:c>
      <x:c r="I365" s="26" t="str">
        <x:v>Internal $1,000 reconciliation tolerance; reviewer approval required</x:v>
      </x:c>
      <x:c r="J365" s="26" t="str">
        <x:v>v0.21 baseline formula; v0.23 disposition</x:v>
      </x:c>
    </x:row>
    <x:row r="366">
      <x:c r="A366" s="26" t="str">
        <x:v>AB_OS_Project_Data_2024</x:v>
      </x:c>
      <x:c r="B366" s="26" t="str">
        <x:v>AE58</x:v>
      </x:c>
      <x:c r="C366" s="26" t="str">
        <x:v>IF(T58&lt;&gt;"NET","N/A",IF(ABS(S58)&lt;=1000,"PASS","REVIEW"))</x:v>
      </x:c>
      <x:c r="D366" s="26" t="str">
        <x:v>1000</x:v>
      </x:c>
      <x:c r="E366" s="26" t="str">
        <x:v>VALIDATION THRESHOLD</x:v>
      </x:c>
      <x:c r="F366" s="26" t="str">
        <x:v>YES</x:v>
      </x:c>
      <x:c r="G366" s="26" t="str">
        <x:v>CENTRALIZED</x:v>
      </x:c>
      <x:c r="H366" s="26" t="str">
        <x:v>P-003</x:v>
      </x:c>
      <x:c r="I366" s="26" t="str">
        <x:v>Internal $1,000 reconciliation tolerance; reviewer approval required</x:v>
      </x:c>
      <x:c r="J366" s="26" t="str">
        <x:v>v0.21 baseline formula; v0.23 disposition</x:v>
      </x:c>
    </x:row>
    <x:row r="367">
      <x:c r="A367" s="26" t="str">
        <x:v>AB_OS_Project_Data_2024</x:v>
      </x:c>
      <x:c r="B367" s="26" t="str">
        <x:v>AF58</x:v>
      </x:c>
      <x:c r="C367" s="26" t="str">
        <x:v>IF(ABS(X58)&lt;=1000,"WITHIN $1K","DISPLAY RATE / ADJUSTMENT")</x:v>
      </x:c>
      <x:c r="D367" s="26" t="str">
        <x:v>1000</x:v>
      </x:c>
      <x:c r="E367" s="26" t="str">
        <x:v>VALIDATION THRESHOLD</x:v>
      </x:c>
      <x:c r="F367" s="26" t="str">
        <x:v>YES</x:v>
      </x:c>
      <x:c r="G367" s="26" t="str">
        <x:v>CENTRALIZED</x:v>
      </x:c>
      <x:c r="H367" s="26" t="str">
        <x:v>P-003</x:v>
      </x:c>
      <x:c r="I367" s="26" t="str">
        <x:v>Internal $1,000 reconciliation tolerance; reviewer approval required</x:v>
      </x:c>
      <x:c r="J367" s="26" t="str">
        <x:v>v0.21 baseline formula; v0.23 disposition</x:v>
      </x:c>
    </x:row>
    <x:row r="368">
      <x:c r="A368" s="26" t="str">
        <x:v>AB_OS_Project_Data_2024</x:v>
      </x:c>
      <x:c r="B368" s="26" t="str">
        <x:v>W59</x:v>
      </x:c>
      <x:c r="C368" s="26" t="str">
        <x:v>IF(T59="NET",Q59*U59/100,G59*U59/100)</x:v>
      </x:c>
      <x:c r="D368" s="26" t="str">
        <x:v>100, 100</x:v>
      </x:c>
      <x:c r="E368" s="26" t="str">
        <x:v>UNIT CONVERSION</x:v>
      </x:c>
      <x:c r="F368" s="26" t="str">
        <x:v>NO</x:v>
      </x:c>
      <x:c r="G368" s="26" t="str">
        <x:v>RETAIN LITERAL</x:v>
      </x:c>
      <x:c r="H368" s="26" t="str">
        <x:v>Percentage divisor</x:v>
      </x:c>
      <x:c r="I368" s="26" t="str">
        <x:v>Divides percentage points by 100</x:v>
      </x:c>
      <x:c r="J368" s="26" t="str">
        <x:v>v0.21 baseline formula; v0.23 disposition</x:v>
      </x:c>
    </x:row>
    <x:row r="369">
      <x:c r="A369" s="26" t="str">
        <x:v>AB_OS_Project_Data_2024</x:v>
      </x:c>
      <x:c r="B369" s="26" t="str">
        <x:v>AD59</x:v>
      </x:c>
      <x:c r="C369" s="26" t="str">
        <x:v>IF(ABS(H59)&lt;=1000,"PASS","REVIEW")</x:v>
      </x:c>
      <x:c r="D369" s="26" t="str">
        <x:v>1000</x:v>
      </x:c>
      <x:c r="E369" s="26" t="str">
        <x:v>VALIDATION THRESHOLD</x:v>
      </x:c>
      <x:c r="F369" s="26" t="str">
        <x:v>YES</x:v>
      </x:c>
      <x:c r="G369" s="26" t="str">
        <x:v>CENTRALIZED</x:v>
      </x:c>
      <x:c r="H369" s="26" t="str">
        <x:v>P-003</x:v>
      </x:c>
      <x:c r="I369" s="26" t="str">
        <x:v>Internal $1,000 reconciliation tolerance; reviewer approval required</x:v>
      </x:c>
      <x:c r="J369" s="26" t="str">
        <x:v>v0.21 baseline formula; v0.23 disposition</x:v>
      </x:c>
    </x:row>
    <x:row r="370">
      <x:c r="A370" s="26" t="str">
        <x:v>AB_OS_Project_Data_2024</x:v>
      </x:c>
      <x:c r="B370" s="26" t="str">
        <x:v>AE59</x:v>
      </x:c>
      <x:c r="C370" s="26" t="str">
        <x:v>IF(T59&lt;&gt;"NET","N/A",IF(ABS(S59)&lt;=1000,"PASS","REVIEW"))</x:v>
      </x:c>
      <x:c r="D370" s="26" t="str">
        <x:v>1000</x:v>
      </x:c>
      <x:c r="E370" s="26" t="str">
        <x:v>VALIDATION THRESHOLD</x:v>
      </x:c>
      <x:c r="F370" s="26" t="str">
        <x:v>YES</x:v>
      </x:c>
      <x:c r="G370" s="26" t="str">
        <x:v>CENTRALIZED</x:v>
      </x:c>
      <x:c r="H370" s="26" t="str">
        <x:v>P-003</x:v>
      </x:c>
      <x:c r="I370" s="26" t="str">
        <x:v>Internal $1,000 reconciliation tolerance; reviewer approval required</x:v>
      </x:c>
      <x:c r="J370" s="26" t="str">
        <x:v>v0.21 baseline formula; v0.23 disposition</x:v>
      </x:c>
    </x:row>
    <x:row r="371">
      <x:c r="A371" s="26" t="str">
        <x:v>AB_OS_Project_Data_2024</x:v>
      </x:c>
      <x:c r="B371" s="26" t="str">
        <x:v>AF59</x:v>
      </x:c>
      <x:c r="C371" s="26" t="str">
        <x:v>IF(ABS(X59)&lt;=1000,"WITHIN $1K","DISPLAY RATE / ADJUSTMENT")</x:v>
      </x:c>
      <x:c r="D371" s="26" t="str">
        <x:v>1000</x:v>
      </x:c>
      <x:c r="E371" s="26" t="str">
        <x:v>VALIDATION THRESHOLD</x:v>
      </x:c>
      <x:c r="F371" s="26" t="str">
        <x:v>YES</x:v>
      </x:c>
      <x:c r="G371" s="26" t="str">
        <x:v>CENTRALIZED</x:v>
      </x:c>
      <x:c r="H371" s="26" t="str">
        <x:v>P-003</x:v>
      </x:c>
      <x:c r="I371" s="26" t="str">
        <x:v>Internal $1,000 reconciliation tolerance; reviewer approval required</x:v>
      </x:c>
      <x:c r="J371" s="26" t="str">
        <x:v>v0.21 baseline formula; v0.23 disposition</x:v>
      </x:c>
    </x:row>
    <x:row r="372">
      <x:c r="A372" s="26" t="str">
        <x:v>AB_OS_Project_Data_2024</x:v>
      </x:c>
      <x:c r="B372" s="26" t="str">
        <x:v>W60</x:v>
      </x:c>
      <x:c r="C372" s="26" t="str">
        <x:v>IF(T60="NET",Q60*U60/100,G60*U60/100)</x:v>
      </x:c>
      <x:c r="D372" s="26" t="str">
        <x:v>100, 100</x:v>
      </x:c>
      <x:c r="E372" s="26" t="str">
        <x:v>UNIT CONVERSION</x:v>
      </x:c>
      <x:c r="F372" s="26" t="str">
        <x:v>NO</x:v>
      </x:c>
      <x:c r="G372" s="26" t="str">
        <x:v>RETAIN LITERAL</x:v>
      </x:c>
      <x:c r="H372" s="26" t="str">
        <x:v>Percentage divisor</x:v>
      </x:c>
      <x:c r="I372" s="26" t="str">
        <x:v>Divides percentage points by 100</x:v>
      </x:c>
      <x:c r="J372" s="26" t="str">
        <x:v>v0.21 baseline formula; v0.23 disposition</x:v>
      </x:c>
    </x:row>
    <x:row r="373">
      <x:c r="A373" s="26" t="str">
        <x:v>AB_OS_Project_Data_2024</x:v>
      </x:c>
      <x:c r="B373" s="26" t="str">
        <x:v>AD60</x:v>
      </x:c>
      <x:c r="C373" s="26" t="str">
        <x:v>IF(ABS(H60)&lt;=1000,"PASS","REVIEW")</x:v>
      </x:c>
      <x:c r="D373" s="26" t="str">
        <x:v>1000</x:v>
      </x:c>
      <x:c r="E373" s="26" t="str">
        <x:v>VALIDATION THRESHOLD</x:v>
      </x:c>
      <x:c r="F373" s="26" t="str">
        <x:v>YES</x:v>
      </x:c>
      <x:c r="G373" s="26" t="str">
        <x:v>CENTRALIZED</x:v>
      </x:c>
      <x:c r="H373" s="26" t="str">
        <x:v>P-003</x:v>
      </x:c>
      <x:c r="I373" s="26" t="str">
        <x:v>Internal $1,000 reconciliation tolerance; reviewer approval required</x:v>
      </x:c>
      <x:c r="J373" s="26" t="str">
        <x:v>v0.21 baseline formula; v0.23 disposition</x:v>
      </x:c>
    </x:row>
    <x:row r="374">
      <x:c r="A374" s="26" t="str">
        <x:v>AB_OS_Project_Data_2024</x:v>
      </x:c>
      <x:c r="B374" s="26" t="str">
        <x:v>AE60</x:v>
      </x:c>
      <x:c r="C374" s="26" t="str">
        <x:v>IF(T60&lt;&gt;"NET","N/A",IF(ABS(S60)&lt;=1000,"PASS","REVIEW"))</x:v>
      </x:c>
      <x:c r="D374" s="26" t="str">
        <x:v>1000</x:v>
      </x:c>
      <x:c r="E374" s="26" t="str">
        <x:v>VALIDATION THRESHOLD</x:v>
      </x:c>
      <x:c r="F374" s="26" t="str">
        <x:v>YES</x:v>
      </x:c>
      <x:c r="G374" s="26" t="str">
        <x:v>CENTRALIZED</x:v>
      </x:c>
      <x:c r="H374" s="26" t="str">
        <x:v>P-003</x:v>
      </x:c>
      <x:c r="I374" s="26" t="str">
        <x:v>Internal $1,000 reconciliation tolerance; reviewer approval required</x:v>
      </x:c>
      <x:c r="J374" s="26" t="str">
        <x:v>v0.21 baseline formula; v0.23 disposition</x:v>
      </x:c>
    </x:row>
    <x:row r="375">
      <x:c r="A375" s="26" t="str">
        <x:v>AB_OS_Project_Data_2024</x:v>
      </x:c>
      <x:c r="B375" s="26" t="str">
        <x:v>AF60</x:v>
      </x:c>
      <x:c r="C375" s="26" t="str">
        <x:v>IF(ABS(X60)&lt;=1000,"WITHIN $1K","DISPLAY RATE / ADJUSTMENT")</x:v>
      </x:c>
      <x:c r="D375" s="26" t="str">
        <x:v>1000</x:v>
      </x:c>
      <x:c r="E375" s="26" t="str">
        <x:v>VALIDATION THRESHOLD</x:v>
      </x:c>
      <x:c r="F375" s="26" t="str">
        <x:v>YES</x:v>
      </x:c>
      <x:c r="G375" s="26" t="str">
        <x:v>CENTRALIZED</x:v>
      </x:c>
      <x:c r="H375" s="26" t="str">
        <x:v>P-003</x:v>
      </x:c>
      <x:c r="I375" s="26" t="str">
        <x:v>Internal $1,000 reconciliation tolerance; reviewer approval required</x:v>
      </x:c>
      <x:c r="J375" s="26" t="str">
        <x:v>v0.21 baseline formula; v0.23 disposition</x:v>
      </x:c>
    </x:row>
    <x:row r="376">
      <x:c r="A376" s="26" t="str">
        <x:v>AB_OS_Project_Data_2024</x:v>
      </x:c>
      <x:c r="B376" s="26" t="str">
        <x:v>W61</x:v>
      </x:c>
      <x:c r="C376" s="26" t="str">
        <x:v>IF(T61="NET",Q61*U61/100,G61*U61/100)</x:v>
      </x:c>
      <x:c r="D376" s="26" t="str">
        <x:v>100, 100</x:v>
      </x:c>
      <x:c r="E376" s="26" t="str">
        <x:v>UNIT CONVERSION</x:v>
      </x:c>
      <x:c r="F376" s="26" t="str">
        <x:v>NO</x:v>
      </x:c>
      <x:c r="G376" s="26" t="str">
        <x:v>RETAIN LITERAL</x:v>
      </x:c>
      <x:c r="H376" s="26" t="str">
        <x:v>Percentage divisor</x:v>
      </x:c>
      <x:c r="I376" s="26" t="str">
        <x:v>Divides percentage points by 100</x:v>
      </x:c>
      <x:c r="J376" s="26" t="str">
        <x:v>v0.21 baseline formula; v0.23 disposition</x:v>
      </x:c>
    </x:row>
    <x:row r="377">
      <x:c r="A377" s="26" t="str">
        <x:v>AB_OS_Project_Data_2024</x:v>
      </x:c>
      <x:c r="B377" s="26" t="str">
        <x:v>AD61</x:v>
      </x:c>
      <x:c r="C377" s="26" t="str">
        <x:v>IF(ABS(H61)&lt;=1000,"PASS","REVIEW")</x:v>
      </x:c>
      <x:c r="D377" s="26" t="str">
        <x:v>1000</x:v>
      </x:c>
      <x:c r="E377" s="26" t="str">
        <x:v>VALIDATION THRESHOLD</x:v>
      </x:c>
      <x:c r="F377" s="26" t="str">
        <x:v>YES</x:v>
      </x:c>
      <x:c r="G377" s="26" t="str">
        <x:v>CENTRALIZED</x:v>
      </x:c>
      <x:c r="H377" s="26" t="str">
        <x:v>P-003</x:v>
      </x:c>
      <x:c r="I377" s="26" t="str">
        <x:v>Internal $1,000 reconciliation tolerance; reviewer approval required</x:v>
      </x:c>
      <x:c r="J377" s="26" t="str">
        <x:v>v0.21 baseline formula; v0.23 disposition</x:v>
      </x:c>
    </x:row>
    <x:row r="378">
      <x:c r="A378" s="26" t="str">
        <x:v>AB_OS_Project_Data_2024</x:v>
      </x:c>
      <x:c r="B378" s="26" t="str">
        <x:v>AE61</x:v>
      </x:c>
      <x:c r="C378" s="26" t="str">
        <x:v>IF(T61&lt;&gt;"NET","N/A",IF(ABS(S61)&lt;=1000,"PASS","REVIEW"))</x:v>
      </x:c>
      <x:c r="D378" s="26" t="str">
        <x:v>1000</x:v>
      </x:c>
      <x:c r="E378" s="26" t="str">
        <x:v>VALIDATION THRESHOLD</x:v>
      </x:c>
      <x:c r="F378" s="26" t="str">
        <x:v>YES</x:v>
      </x:c>
      <x:c r="G378" s="26" t="str">
        <x:v>CENTRALIZED</x:v>
      </x:c>
      <x:c r="H378" s="26" t="str">
        <x:v>P-003</x:v>
      </x:c>
      <x:c r="I378" s="26" t="str">
        <x:v>Internal $1,000 reconciliation tolerance; reviewer approval required</x:v>
      </x:c>
      <x:c r="J378" s="26" t="str">
        <x:v>v0.21 baseline formula; v0.23 disposition</x:v>
      </x:c>
    </x:row>
    <x:row r="379">
      <x:c r="A379" s="26" t="str">
        <x:v>AB_OS_Project_Data_2024</x:v>
      </x:c>
      <x:c r="B379" s="26" t="str">
        <x:v>AF61</x:v>
      </x:c>
      <x:c r="C379" s="26" t="str">
        <x:v>IF(ABS(X61)&lt;=1000,"WITHIN $1K","DISPLAY RATE / ADJUSTMENT")</x:v>
      </x:c>
      <x:c r="D379" s="26" t="str">
        <x:v>1000</x:v>
      </x:c>
      <x:c r="E379" s="26" t="str">
        <x:v>VALIDATION THRESHOLD</x:v>
      </x:c>
      <x:c r="F379" s="26" t="str">
        <x:v>YES</x:v>
      </x:c>
      <x:c r="G379" s="26" t="str">
        <x:v>CENTRALIZED</x:v>
      </x:c>
      <x:c r="H379" s="26" t="str">
        <x:v>P-003</x:v>
      </x:c>
      <x:c r="I379" s="26" t="str">
        <x:v>Internal $1,000 reconciliation tolerance; reviewer approval required</x:v>
      </x:c>
      <x:c r="J379" s="26" t="str">
        <x:v>v0.21 baseline formula; v0.23 disposition</x:v>
      </x:c>
    </x:row>
    <x:row r="380">
      <x:c r="A380" s="26" t="str">
        <x:v>AB_OS_Project_Data_2024</x:v>
      </x:c>
      <x:c r="B380" s="26" t="str">
        <x:v>W62</x:v>
      </x:c>
      <x:c r="C380" s="26" t="str">
        <x:v>IF(T62="NET",Q62*U62/100,G62*U62/100)</x:v>
      </x:c>
      <x:c r="D380" s="26" t="str">
        <x:v>100, 100</x:v>
      </x:c>
      <x:c r="E380" s="26" t="str">
        <x:v>UNIT CONVERSION</x:v>
      </x:c>
      <x:c r="F380" s="26" t="str">
        <x:v>NO</x:v>
      </x:c>
      <x:c r="G380" s="26" t="str">
        <x:v>RETAIN LITERAL</x:v>
      </x:c>
      <x:c r="H380" s="26" t="str">
        <x:v>Percentage divisor</x:v>
      </x:c>
      <x:c r="I380" s="26" t="str">
        <x:v>Divides percentage points by 100</x:v>
      </x:c>
      <x:c r="J380" s="26" t="str">
        <x:v>v0.21 baseline formula; v0.23 disposition</x:v>
      </x:c>
    </x:row>
    <x:row r="381">
      <x:c r="A381" s="26" t="str">
        <x:v>AB_OS_Project_Data_2024</x:v>
      </x:c>
      <x:c r="B381" s="26" t="str">
        <x:v>AD62</x:v>
      </x:c>
      <x:c r="C381" s="26" t="str">
        <x:v>IF(ABS(H62)&lt;=1000,"PASS","REVIEW")</x:v>
      </x:c>
      <x:c r="D381" s="26" t="str">
        <x:v>1000</x:v>
      </x:c>
      <x:c r="E381" s="26" t="str">
        <x:v>VALIDATION THRESHOLD</x:v>
      </x:c>
      <x:c r="F381" s="26" t="str">
        <x:v>YES</x:v>
      </x:c>
      <x:c r="G381" s="26" t="str">
        <x:v>CENTRALIZED</x:v>
      </x:c>
      <x:c r="H381" s="26" t="str">
        <x:v>P-003</x:v>
      </x:c>
      <x:c r="I381" s="26" t="str">
        <x:v>Internal $1,000 reconciliation tolerance; reviewer approval required</x:v>
      </x:c>
      <x:c r="J381" s="26" t="str">
        <x:v>v0.21 baseline formula; v0.23 disposition</x:v>
      </x:c>
    </x:row>
    <x:row r="382">
      <x:c r="A382" s="26" t="str">
        <x:v>AB_OS_Project_Data_2024</x:v>
      </x:c>
      <x:c r="B382" s="26" t="str">
        <x:v>AE62</x:v>
      </x:c>
      <x:c r="C382" s="26" t="str">
        <x:v>IF(T62&lt;&gt;"NET","N/A",IF(ABS(S62)&lt;=1000,"PASS","REVIEW"))</x:v>
      </x:c>
      <x:c r="D382" s="26" t="str">
        <x:v>1000</x:v>
      </x:c>
      <x:c r="E382" s="26" t="str">
        <x:v>VALIDATION THRESHOLD</x:v>
      </x:c>
      <x:c r="F382" s="26" t="str">
        <x:v>YES</x:v>
      </x:c>
      <x:c r="G382" s="26" t="str">
        <x:v>CENTRALIZED</x:v>
      </x:c>
      <x:c r="H382" s="26" t="str">
        <x:v>P-003</x:v>
      </x:c>
      <x:c r="I382" s="26" t="str">
        <x:v>Internal $1,000 reconciliation tolerance; reviewer approval required</x:v>
      </x:c>
      <x:c r="J382" s="26" t="str">
        <x:v>v0.21 baseline formula; v0.23 disposition</x:v>
      </x:c>
    </x:row>
    <x:row r="383">
      <x:c r="A383" s="26" t="str">
        <x:v>AB_OS_Project_Data_2024</x:v>
      </x:c>
      <x:c r="B383" s="26" t="str">
        <x:v>AF62</x:v>
      </x:c>
      <x:c r="C383" s="26" t="str">
        <x:v>IF(ABS(X62)&lt;=1000,"WITHIN $1K","DISPLAY RATE / ADJUSTMENT")</x:v>
      </x:c>
      <x:c r="D383" s="26" t="str">
        <x:v>1000</x:v>
      </x:c>
      <x:c r="E383" s="26" t="str">
        <x:v>VALIDATION THRESHOLD</x:v>
      </x:c>
      <x:c r="F383" s="26" t="str">
        <x:v>YES</x:v>
      </x:c>
      <x:c r="G383" s="26" t="str">
        <x:v>CENTRALIZED</x:v>
      </x:c>
      <x:c r="H383" s="26" t="str">
        <x:v>P-003</x:v>
      </x:c>
      <x:c r="I383" s="26" t="str">
        <x:v>Internal $1,000 reconciliation tolerance; reviewer approval required</x:v>
      </x:c>
      <x:c r="J383" s="26" t="str">
        <x:v>v0.21 baseline formula; v0.23 disposition</x:v>
      </x:c>
    </x:row>
    <x:row r="384">
      <x:c r="A384" s="26" t="str">
        <x:v>AB_OS_Project_Data_2024</x:v>
      </x:c>
      <x:c r="B384" s="26" t="str">
        <x:v>W63</x:v>
      </x:c>
      <x:c r="C384" s="26" t="str">
        <x:v>IF(T63="NET",Q63*U63/100,G63*U63/100)</x:v>
      </x:c>
      <x:c r="D384" s="26" t="str">
        <x:v>100, 100</x:v>
      </x:c>
      <x:c r="E384" s="26" t="str">
        <x:v>UNIT CONVERSION</x:v>
      </x:c>
      <x:c r="F384" s="26" t="str">
        <x:v>NO</x:v>
      </x:c>
      <x:c r="G384" s="26" t="str">
        <x:v>RETAIN LITERAL</x:v>
      </x:c>
      <x:c r="H384" s="26" t="str">
        <x:v>Percentage divisor</x:v>
      </x:c>
      <x:c r="I384" s="26" t="str">
        <x:v>Divides percentage points by 100</x:v>
      </x:c>
      <x:c r="J384" s="26" t="str">
        <x:v>v0.21 baseline formula; v0.23 disposition</x:v>
      </x:c>
    </x:row>
    <x:row r="385">
      <x:c r="A385" s="26" t="str">
        <x:v>AB_OS_Project_Data_2024</x:v>
      </x:c>
      <x:c r="B385" s="26" t="str">
        <x:v>AD63</x:v>
      </x:c>
      <x:c r="C385" s="26" t="str">
        <x:v>IF(ABS(H63)&lt;=1000,"PASS","REVIEW")</x:v>
      </x:c>
      <x:c r="D385" s="26" t="str">
        <x:v>1000</x:v>
      </x:c>
      <x:c r="E385" s="26" t="str">
        <x:v>VALIDATION THRESHOLD</x:v>
      </x:c>
      <x:c r="F385" s="26" t="str">
        <x:v>YES</x:v>
      </x:c>
      <x:c r="G385" s="26" t="str">
        <x:v>CENTRALIZED</x:v>
      </x:c>
      <x:c r="H385" s="26" t="str">
        <x:v>P-003</x:v>
      </x:c>
      <x:c r="I385" s="26" t="str">
        <x:v>Internal $1,000 reconciliation tolerance; reviewer approval required</x:v>
      </x:c>
      <x:c r="J385" s="26" t="str">
        <x:v>v0.21 baseline formula; v0.23 disposition</x:v>
      </x:c>
    </x:row>
    <x:row r="386">
      <x:c r="A386" s="26" t="str">
        <x:v>AB_OS_Project_Data_2024</x:v>
      </x:c>
      <x:c r="B386" s="26" t="str">
        <x:v>AE63</x:v>
      </x:c>
      <x:c r="C386" s="26" t="str">
        <x:v>IF(T63&lt;&gt;"NET","N/A",IF(ABS(S63)&lt;=1000,"PASS","REVIEW"))</x:v>
      </x:c>
      <x:c r="D386" s="26" t="str">
        <x:v>1000</x:v>
      </x:c>
      <x:c r="E386" s="26" t="str">
        <x:v>VALIDATION THRESHOLD</x:v>
      </x:c>
      <x:c r="F386" s="26" t="str">
        <x:v>YES</x:v>
      </x:c>
      <x:c r="G386" s="26" t="str">
        <x:v>CENTRALIZED</x:v>
      </x:c>
      <x:c r="H386" s="26" t="str">
        <x:v>P-003</x:v>
      </x:c>
      <x:c r="I386" s="26" t="str">
        <x:v>Internal $1,000 reconciliation tolerance; reviewer approval required</x:v>
      </x:c>
      <x:c r="J386" s="26" t="str">
        <x:v>v0.21 baseline formula; v0.23 disposition</x:v>
      </x:c>
    </x:row>
    <x:row r="387">
      <x:c r="A387" s="26" t="str">
        <x:v>AB_OS_Project_Data_2024</x:v>
      </x:c>
      <x:c r="B387" s="26" t="str">
        <x:v>AF63</x:v>
      </x:c>
      <x:c r="C387" s="26" t="str">
        <x:v>IF(ABS(X63)&lt;=1000,"WITHIN $1K","DISPLAY RATE / ADJUSTMENT")</x:v>
      </x:c>
      <x:c r="D387" s="26" t="str">
        <x:v>1000</x:v>
      </x:c>
      <x:c r="E387" s="26" t="str">
        <x:v>VALIDATION THRESHOLD</x:v>
      </x:c>
      <x:c r="F387" s="26" t="str">
        <x:v>YES</x:v>
      </x:c>
      <x:c r="G387" s="26" t="str">
        <x:v>CENTRALIZED</x:v>
      </x:c>
      <x:c r="H387" s="26" t="str">
        <x:v>P-003</x:v>
      </x:c>
      <x:c r="I387" s="26" t="str">
        <x:v>Internal $1,000 reconciliation tolerance; reviewer approval required</x:v>
      </x:c>
      <x:c r="J387" s="26" t="str">
        <x:v>v0.21 baseline formula; v0.23 disposition</x:v>
      </x:c>
    </x:row>
    <x:row r="388">
      <x:c r="A388" s="26" t="str">
        <x:v>AB_OS_Project_Data_2024</x:v>
      </x:c>
      <x:c r="B388" s="26" t="str">
        <x:v>W64</x:v>
      </x:c>
      <x:c r="C388" s="26" t="str">
        <x:v>IF(T64="NET",Q64*U64/100,G64*U64/100)</x:v>
      </x:c>
      <x:c r="D388" s="26" t="str">
        <x:v>100, 100</x:v>
      </x:c>
      <x:c r="E388" s="26" t="str">
        <x:v>UNIT CONVERSION</x:v>
      </x:c>
      <x:c r="F388" s="26" t="str">
        <x:v>NO</x:v>
      </x:c>
      <x:c r="G388" s="26" t="str">
        <x:v>RETAIN LITERAL</x:v>
      </x:c>
      <x:c r="H388" s="26" t="str">
        <x:v>Percentage divisor</x:v>
      </x:c>
      <x:c r="I388" s="26" t="str">
        <x:v>Divides percentage points by 100</x:v>
      </x:c>
      <x:c r="J388" s="26" t="str">
        <x:v>v0.21 baseline formula; v0.23 disposition</x:v>
      </x:c>
    </x:row>
    <x:row r="389">
      <x:c r="A389" s="26" t="str">
        <x:v>AB_OS_Project_Data_2024</x:v>
      </x:c>
      <x:c r="B389" s="26" t="str">
        <x:v>AD64</x:v>
      </x:c>
      <x:c r="C389" s="26" t="str">
        <x:v>IF(ABS(H64)&lt;=1000,"PASS","REVIEW")</x:v>
      </x:c>
      <x:c r="D389" s="26" t="str">
        <x:v>1000</x:v>
      </x:c>
      <x:c r="E389" s="26" t="str">
        <x:v>VALIDATION THRESHOLD</x:v>
      </x:c>
      <x:c r="F389" s="26" t="str">
        <x:v>YES</x:v>
      </x:c>
      <x:c r="G389" s="26" t="str">
        <x:v>CENTRALIZED</x:v>
      </x:c>
      <x:c r="H389" s="26" t="str">
        <x:v>P-003</x:v>
      </x:c>
      <x:c r="I389" s="26" t="str">
        <x:v>Internal $1,000 reconciliation tolerance; reviewer approval required</x:v>
      </x:c>
      <x:c r="J389" s="26" t="str">
        <x:v>v0.21 baseline formula; v0.23 disposition</x:v>
      </x:c>
    </x:row>
    <x:row r="390">
      <x:c r="A390" s="26" t="str">
        <x:v>AB_OS_Project_Data_2024</x:v>
      </x:c>
      <x:c r="B390" s="26" t="str">
        <x:v>AE64</x:v>
      </x:c>
      <x:c r="C390" s="26" t="str">
        <x:v>IF(T64&lt;&gt;"NET","N/A",IF(ABS(S64)&lt;=1000,"PASS","REVIEW"))</x:v>
      </x:c>
      <x:c r="D390" s="26" t="str">
        <x:v>1000</x:v>
      </x:c>
      <x:c r="E390" s="26" t="str">
        <x:v>VALIDATION THRESHOLD</x:v>
      </x:c>
      <x:c r="F390" s="26" t="str">
        <x:v>YES</x:v>
      </x:c>
      <x:c r="G390" s="26" t="str">
        <x:v>CENTRALIZED</x:v>
      </x:c>
      <x:c r="H390" s="26" t="str">
        <x:v>P-003</x:v>
      </x:c>
      <x:c r="I390" s="26" t="str">
        <x:v>Internal $1,000 reconciliation tolerance; reviewer approval required</x:v>
      </x:c>
      <x:c r="J390" s="26" t="str">
        <x:v>v0.21 baseline formula; v0.23 disposition</x:v>
      </x:c>
    </x:row>
    <x:row r="391">
      <x:c r="A391" s="26" t="str">
        <x:v>AB_OS_Project_Data_2024</x:v>
      </x:c>
      <x:c r="B391" s="26" t="str">
        <x:v>AF64</x:v>
      </x:c>
      <x:c r="C391" s="26" t="str">
        <x:v>IF(ABS(X64)&lt;=1000,"WITHIN $1K","DISPLAY RATE / ADJUSTMENT")</x:v>
      </x:c>
      <x:c r="D391" s="26" t="str">
        <x:v>1000</x:v>
      </x:c>
      <x:c r="E391" s="26" t="str">
        <x:v>VALIDATION THRESHOLD</x:v>
      </x:c>
      <x:c r="F391" s="26" t="str">
        <x:v>YES</x:v>
      </x:c>
      <x:c r="G391" s="26" t="str">
        <x:v>CENTRALIZED</x:v>
      </x:c>
      <x:c r="H391" s="26" t="str">
        <x:v>P-003</x:v>
      </x:c>
      <x:c r="I391" s="26" t="str">
        <x:v>Internal $1,000 reconciliation tolerance; reviewer approval required</x:v>
      </x:c>
      <x:c r="J391" s="26" t="str">
        <x:v>v0.21 baseline formula; v0.23 disposition</x:v>
      </x:c>
    </x:row>
    <x:row r="392">
      <x:c r="A392" s="26" t="str">
        <x:v>AB_OS_Project_Data_2024</x:v>
      </x:c>
      <x:c r="B392" s="26" t="str">
        <x:v>W65</x:v>
      </x:c>
      <x:c r="C392" s="26" t="str">
        <x:v>IF(T65="NET",Q65*U65/100,G65*U65/100)</x:v>
      </x:c>
      <x:c r="D392" s="26" t="str">
        <x:v>100, 100</x:v>
      </x:c>
      <x:c r="E392" s="26" t="str">
        <x:v>UNIT CONVERSION</x:v>
      </x:c>
      <x:c r="F392" s="26" t="str">
        <x:v>NO</x:v>
      </x:c>
      <x:c r="G392" s="26" t="str">
        <x:v>RETAIN LITERAL</x:v>
      </x:c>
      <x:c r="H392" s="26" t="str">
        <x:v>Percentage divisor</x:v>
      </x:c>
      <x:c r="I392" s="26" t="str">
        <x:v>Divides percentage points by 100</x:v>
      </x:c>
      <x:c r="J392" s="26" t="str">
        <x:v>v0.21 baseline formula; v0.23 disposition</x:v>
      </x:c>
    </x:row>
    <x:row r="393">
      <x:c r="A393" s="26" t="str">
        <x:v>AB_OS_Project_Data_2024</x:v>
      </x:c>
      <x:c r="B393" s="26" t="str">
        <x:v>AD65</x:v>
      </x:c>
      <x:c r="C393" s="26" t="str">
        <x:v>IF(ABS(H65)&lt;=1000,"PASS","REVIEW")</x:v>
      </x:c>
      <x:c r="D393" s="26" t="str">
        <x:v>1000</x:v>
      </x:c>
      <x:c r="E393" s="26" t="str">
        <x:v>VALIDATION THRESHOLD</x:v>
      </x:c>
      <x:c r="F393" s="26" t="str">
        <x:v>YES</x:v>
      </x:c>
      <x:c r="G393" s="26" t="str">
        <x:v>CENTRALIZED</x:v>
      </x:c>
      <x:c r="H393" s="26" t="str">
        <x:v>P-003</x:v>
      </x:c>
      <x:c r="I393" s="26" t="str">
        <x:v>Internal $1,000 reconciliation tolerance; reviewer approval required</x:v>
      </x:c>
      <x:c r="J393" s="26" t="str">
        <x:v>v0.21 baseline formula; v0.23 disposition</x:v>
      </x:c>
    </x:row>
    <x:row r="394">
      <x:c r="A394" s="26" t="str">
        <x:v>AB_OS_Project_Data_2024</x:v>
      </x:c>
      <x:c r="B394" s="26" t="str">
        <x:v>AE65</x:v>
      </x:c>
      <x:c r="C394" s="26" t="str">
        <x:v>IF(T65&lt;&gt;"NET","N/A",IF(ABS(S65)&lt;=1000,"PASS","REVIEW"))</x:v>
      </x:c>
      <x:c r="D394" s="26" t="str">
        <x:v>1000</x:v>
      </x:c>
      <x:c r="E394" s="26" t="str">
        <x:v>VALIDATION THRESHOLD</x:v>
      </x:c>
      <x:c r="F394" s="26" t="str">
        <x:v>YES</x:v>
      </x:c>
      <x:c r="G394" s="26" t="str">
        <x:v>CENTRALIZED</x:v>
      </x:c>
      <x:c r="H394" s="26" t="str">
        <x:v>P-003</x:v>
      </x:c>
      <x:c r="I394" s="26" t="str">
        <x:v>Internal $1,000 reconciliation tolerance; reviewer approval required</x:v>
      </x:c>
      <x:c r="J394" s="26" t="str">
        <x:v>v0.21 baseline formula; v0.23 disposition</x:v>
      </x:c>
    </x:row>
    <x:row r="395">
      <x:c r="A395" s="26" t="str">
        <x:v>AB_OS_Project_Data_2024</x:v>
      </x:c>
      <x:c r="B395" s="26" t="str">
        <x:v>AF65</x:v>
      </x:c>
      <x:c r="C395" s="26" t="str">
        <x:v>IF(ABS(X65)&lt;=1000,"WITHIN $1K","DISPLAY RATE / ADJUSTMENT")</x:v>
      </x:c>
      <x:c r="D395" s="26" t="str">
        <x:v>1000</x:v>
      </x:c>
      <x:c r="E395" s="26" t="str">
        <x:v>VALIDATION THRESHOLD</x:v>
      </x:c>
      <x:c r="F395" s="26" t="str">
        <x:v>YES</x:v>
      </x:c>
      <x:c r="G395" s="26" t="str">
        <x:v>CENTRALIZED</x:v>
      </x:c>
      <x:c r="H395" s="26" t="str">
        <x:v>P-003</x:v>
      </x:c>
      <x:c r="I395" s="26" t="str">
        <x:v>Internal $1,000 reconciliation tolerance; reviewer approval required</x:v>
      </x:c>
      <x:c r="J395" s="26" t="str">
        <x:v>v0.21 baseline formula; v0.23 disposition</x:v>
      </x:c>
    </x:row>
    <x:row r="396">
      <x:c r="A396" s="26" t="str">
        <x:v>AB_OS_Project_Data_2024</x:v>
      </x:c>
      <x:c r="B396" s="26" t="str">
        <x:v>W66</x:v>
      </x:c>
      <x:c r="C396" s="26" t="str">
        <x:v>IF(T66="NET",Q66*U66/100,G66*U66/100)</x:v>
      </x:c>
      <x:c r="D396" s="26" t="str">
        <x:v>100, 100</x:v>
      </x:c>
      <x:c r="E396" s="26" t="str">
        <x:v>UNIT CONVERSION</x:v>
      </x:c>
      <x:c r="F396" s="26" t="str">
        <x:v>NO</x:v>
      </x:c>
      <x:c r="G396" s="26" t="str">
        <x:v>RETAIN LITERAL</x:v>
      </x:c>
      <x:c r="H396" s="26" t="str">
        <x:v>Percentage divisor</x:v>
      </x:c>
      <x:c r="I396" s="26" t="str">
        <x:v>Divides percentage points by 100</x:v>
      </x:c>
      <x:c r="J396" s="26" t="str">
        <x:v>v0.21 baseline formula; v0.23 disposition</x:v>
      </x:c>
    </x:row>
    <x:row r="397">
      <x:c r="A397" s="26" t="str">
        <x:v>AB_OS_Project_Data_2024</x:v>
      </x:c>
      <x:c r="B397" s="26" t="str">
        <x:v>AD66</x:v>
      </x:c>
      <x:c r="C397" s="26" t="str">
        <x:v>IF(ABS(H66)&lt;=1000,"PASS","REVIEW")</x:v>
      </x:c>
      <x:c r="D397" s="26" t="str">
        <x:v>1000</x:v>
      </x:c>
      <x:c r="E397" s="26" t="str">
        <x:v>VALIDATION THRESHOLD</x:v>
      </x:c>
      <x:c r="F397" s="26" t="str">
        <x:v>YES</x:v>
      </x:c>
      <x:c r="G397" s="26" t="str">
        <x:v>CENTRALIZED</x:v>
      </x:c>
      <x:c r="H397" s="26" t="str">
        <x:v>P-003</x:v>
      </x:c>
      <x:c r="I397" s="26" t="str">
        <x:v>Internal $1,000 reconciliation tolerance; reviewer approval required</x:v>
      </x:c>
      <x:c r="J397" s="26" t="str">
        <x:v>v0.21 baseline formula; v0.23 disposition</x:v>
      </x:c>
    </x:row>
    <x:row r="398">
      <x:c r="A398" s="26" t="str">
        <x:v>AB_OS_Project_Data_2024</x:v>
      </x:c>
      <x:c r="B398" s="26" t="str">
        <x:v>AE66</x:v>
      </x:c>
      <x:c r="C398" s="26" t="str">
        <x:v>IF(T66&lt;&gt;"NET","N/A",IF(ABS(S66)&lt;=1000,"PASS","REVIEW"))</x:v>
      </x:c>
      <x:c r="D398" s="26" t="str">
        <x:v>1000</x:v>
      </x:c>
      <x:c r="E398" s="26" t="str">
        <x:v>VALIDATION THRESHOLD</x:v>
      </x:c>
      <x:c r="F398" s="26" t="str">
        <x:v>YES</x:v>
      </x:c>
      <x:c r="G398" s="26" t="str">
        <x:v>CENTRALIZED</x:v>
      </x:c>
      <x:c r="H398" s="26" t="str">
        <x:v>P-003</x:v>
      </x:c>
      <x:c r="I398" s="26" t="str">
        <x:v>Internal $1,000 reconciliation tolerance; reviewer approval required</x:v>
      </x:c>
      <x:c r="J398" s="26" t="str">
        <x:v>v0.21 baseline formula; v0.23 disposition</x:v>
      </x:c>
    </x:row>
    <x:row r="399">
      <x:c r="A399" s="26" t="str">
        <x:v>AB_OS_Project_Data_2024</x:v>
      </x:c>
      <x:c r="B399" s="26" t="str">
        <x:v>AF66</x:v>
      </x:c>
      <x:c r="C399" s="26" t="str">
        <x:v>IF(ABS(X66)&lt;=1000,"WITHIN $1K","DISPLAY RATE / ADJUSTMENT")</x:v>
      </x:c>
      <x:c r="D399" s="26" t="str">
        <x:v>1000</x:v>
      </x:c>
      <x:c r="E399" s="26" t="str">
        <x:v>VALIDATION THRESHOLD</x:v>
      </x:c>
      <x:c r="F399" s="26" t="str">
        <x:v>YES</x:v>
      </x:c>
      <x:c r="G399" s="26" t="str">
        <x:v>CENTRALIZED</x:v>
      </x:c>
      <x:c r="H399" s="26" t="str">
        <x:v>P-003</x:v>
      </x:c>
      <x:c r="I399" s="26" t="str">
        <x:v>Internal $1,000 reconciliation tolerance; reviewer approval required</x:v>
      </x:c>
      <x:c r="J399" s="26" t="str">
        <x:v>v0.21 baseline formula; v0.23 disposition</x:v>
      </x:c>
    </x:row>
    <x:row r="400">
      <x:c r="A400" s="26" t="str">
        <x:v>AB_OS_Project_Data_2024</x:v>
      </x:c>
      <x:c r="B400" s="26" t="str">
        <x:v>W67</x:v>
      </x:c>
      <x:c r="C400" s="26" t="str">
        <x:v>IF(T67="NET",Q67*U67/100,G67*U67/100)</x:v>
      </x:c>
      <x:c r="D400" s="26" t="str">
        <x:v>100, 100</x:v>
      </x:c>
      <x:c r="E400" s="26" t="str">
        <x:v>UNIT CONVERSION</x:v>
      </x:c>
      <x:c r="F400" s="26" t="str">
        <x:v>NO</x:v>
      </x:c>
      <x:c r="G400" s="26" t="str">
        <x:v>RETAIN LITERAL</x:v>
      </x:c>
      <x:c r="H400" s="26" t="str">
        <x:v>Percentage divisor</x:v>
      </x:c>
      <x:c r="I400" s="26" t="str">
        <x:v>Divides percentage points by 100</x:v>
      </x:c>
      <x:c r="J400" s="26" t="str">
        <x:v>v0.21 baseline formula; v0.23 disposition</x:v>
      </x:c>
    </x:row>
    <x:row r="401">
      <x:c r="A401" s="26" t="str">
        <x:v>AB_OS_Project_Data_2024</x:v>
      </x:c>
      <x:c r="B401" s="26" t="str">
        <x:v>AD67</x:v>
      </x:c>
      <x:c r="C401" s="26" t="str">
        <x:v>IF(ABS(H67)&lt;=1000,"PASS","REVIEW")</x:v>
      </x:c>
      <x:c r="D401" s="26" t="str">
        <x:v>1000</x:v>
      </x:c>
      <x:c r="E401" s="26" t="str">
        <x:v>VALIDATION THRESHOLD</x:v>
      </x:c>
      <x:c r="F401" s="26" t="str">
        <x:v>YES</x:v>
      </x:c>
      <x:c r="G401" s="26" t="str">
        <x:v>CENTRALIZED</x:v>
      </x:c>
      <x:c r="H401" s="26" t="str">
        <x:v>P-003</x:v>
      </x:c>
      <x:c r="I401" s="26" t="str">
        <x:v>Internal $1,000 reconciliation tolerance; reviewer approval required</x:v>
      </x:c>
      <x:c r="J401" s="26" t="str">
        <x:v>v0.21 baseline formula; v0.23 disposition</x:v>
      </x:c>
    </x:row>
    <x:row r="402">
      <x:c r="A402" s="26" t="str">
        <x:v>AB_OS_Project_Data_2024</x:v>
      </x:c>
      <x:c r="B402" s="26" t="str">
        <x:v>AE67</x:v>
      </x:c>
      <x:c r="C402" s="26" t="str">
        <x:v>IF(T67&lt;&gt;"NET","N/A",IF(ABS(S67)&lt;=1000,"PASS","REVIEW"))</x:v>
      </x:c>
      <x:c r="D402" s="26" t="str">
        <x:v>1000</x:v>
      </x:c>
      <x:c r="E402" s="26" t="str">
        <x:v>VALIDATION THRESHOLD</x:v>
      </x:c>
      <x:c r="F402" s="26" t="str">
        <x:v>YES</x:v>
      </x:c>
      <x:c r="G402" s="26" t="str">
        <x:v>CENTRALIZED</x:v>
      </x:c>
      <x:c r="H402" s="26" t="str">
        <x:v>P-003</x:v>
      </x:c>
      <x:c r="I402" s="26" t="str">
        <x:v>Internal $1,000 reconciliation tolerance; reviewer approval required</x:v>
      </x:c>
      <x:c r="J402" s="26" t="str">
        <x:v>v0.21 baseline formula; v0.23 disposition</x:v>
      </x:c>
    </x:row>
    <x:row r="403">
      <x:c r="A403" s="26" t="str">
        <x:v>AB_OS_Project_Data_2024</x:v>
      </x:c>
      <x:c r="B403" s="26" t="str">
        <x:v>AF67</x:v>
      </x:c>
      <x:c r="C403" s="26" t="str">
        <x:v>IF(ABS(X67)&lt;=1000,"WITHIN $1K","DISPLAY RATE / ADJUSTMENT")</x:v>
      </x:c>
      <x:c r="D403" s="26" t="str">
        <x:v>1000</x:v>
      </x:c>
      <x:c r="E403" s="26" t="str">
        <x:v>VALIDATION THRESHOLD</x:v>
      </x:c>
      <x:c r="F403" s="26" t="str">
        <x:v>YES</x:v>
      </x:c>
      <x:c r="G403" s="26" t="str">
        <x:v>CENTRALIZED</x:v>
      </x:c>
      <x:c r="H403" s="26" t="str">
        <x:v>P-003</x:v>
      </x:c>
      <x:c r="I403" s="26" t="str">
        <x:v>Internal $1,000 reconciliation tolerance; reviewer approval required</x:v>
      </x:c>
      <x:c r="J403" s="26" t="str">
        <x:v>v0.21 baseline formula; v0.23 disposition</x:v>
      </x:c>
    </x:row>
    <x:row r="404">
      <x:c r="A404" s="26" t="str">
        <x:v>AB_OS_Project_Data_2024</x:v>
      </x:c>
      <x:c r="B404" s="26" t="str">
        <x:v>W68</x:v>
      </x:c>
      <x:c r="C404" s="26" t="str">
        <x:v>IF(T68="NET",Q68*U68/100,G68*U68/100)</x:v>
      </x:c>
      <x:c r="D404" s="26" t="str">
        <x:v>100, 100</x:v>
      </x:c>
      <x:c r="E404" s="26" t="str">
        <x:v>UNIT CONVERSION</x:v>
      </x:c>
      <x:c r="F404" s="26" t="str">
        <x:v>NO</x:v>
      </x:c>
      <x:c r="G404" s="26" t="str">
        <x:v>RETAIN LITERAL</x:v>
      </x:c>
      <x:c r="H404" s="26" t="str">
        <x:v>Percentage divisor</x:v>
      </x:c>
      <x:c r="I404" s="26" t="str">
        <x:v>Divides percentage points by 100</x:v>
      </x:c>
      <x:c r="J404" s="26" t="str">
        <x:v>v0.21 baseline formula; v0.23 disposition</x:v>
      </x:c>
    </x:row>
    <x:row r="405">
      <x:c r="A405" s="26" t="str">
        <x:v>AB_OS_Project_Data_2024</x:v>
      </x:c>
      <x:c r="B405" s="26" t="str">
        <x:v>AD68</x:v>
      </x:c>
      <x:c r="C405" s="26" t="str">
        <x:v>IF(ABS(H68)&lt;=1000,"PASS","REVIEW")</x:v>
      </x:c>
      <x:c r="D405" s="26" t="str">
        <x:v>1000</x:v>
      </x:c>
      <x:c r="E405" s="26" t="str">
        <x:v>VALIDATION THRESHOLD</x:v>
      </x:c>
      <x:c r="F405" s="26" t="str">
        <x:v>YES</x:v>
      </x:c>
      <x:c r="G405" s="26" t="str">
        <x:v>CENTRALIZED</x:v>
      </x:c>
      <x:c r="H405" s="26" t="str">
        <x:v>P-003</x:v>
      </x:c>
      <x:c r="I405" s="26" t="str">
        <x:v>Internal $1,000 reconciliation tolerance; reviewer approval required</x:v>
      </x:c>
      <x:c r="J405" s="26" t="str">
        <x:v>v0.21 baseline formula; v0.23 disposition</x:v>
      </x:c>
    </x:row>
    <x:row r="406">
      <x:c r="A406" s="26" t="str">
        <x:v>AB_OS_Project_Data_2024</x:v>
      </x:c>
      <x:c r="B406" s="26" t="str">
        <x:v>AE68</x:v>
      </x:c>
      <x:c r="C406" s="26" t="str">
        <x:v>IF(T68&lt;&gt;"NET","N/A",IF(ABS(S68)&lt;=1000,"PASS","REVIEW"))</x:v>
      </x:c>
      <x:c r="D406" s="26" t="str">
        <x:v>1000</x:v>
      </x:c>
      <x:c r="E406" s="26" t="str">
        <x:v>VALIDATION THRESHOLD</x:v>
      </x:c>
      <x:c r="F406" s="26" t="str">
        <x:v>YES</x:v>
      </x:c>
      <x:c r="G406" s="26" t="str">
        <x:v>CENTRALIZED</x:v>
      </x:c>
      <x:c r="H406" s="26" t="str">
        <x:v>P-003</x:v>
      </x:c>
      <x:c r="I406" s="26" t="str">
        <x:v>Internal $1,000 reconciliation tolerance; reviewer approval required</x:v>
      </x:c>
      <x:c r="J406" s="26" t="str">
        <x:v>v0.21 baseline formula; v0.23 disposition</x:v>
      </x:c>
    </x:row>
    <x:row r="407">
      <x:c r="A407" s="26" t="str">
        <x:v>AB_OS_Project_Data_2024</x:v>
      </x:c>
      <x:c r="B407" s="26" t="str">
        <x:v>AF68</x:v>
      </x:c>
      <x:c r="C407" s="26" t="str">
        <x:v>IF(ABS(X68)&lt;=1000,"WITHIN $1K","DISPLAY RATE / ADJUSTMENT")</x:v>
      </x:c>
      <x:c r="D407" s="26" t="str">
        <x:v>1000</x:v>
      </x:c>
      <x:c r="E407" s="26" t="str">
        <x:v>VALIDATION THRESHOLD</x:v>
      </x:c>
      <x:c r="F407" s="26" t="str">
        <x:v>YES</x:v>
      </x:c>
      <x:c r="G407" s="26" t="str">
        <x:v>CENTRALIZED</x:v>
      </x:c>
      <x:c r="H407" s="26" t="str">
        <x:v>P-003</x:v>
      </x:c>
      <x:c r="I407" s="26" t="str">
        <x:v>Internal $1,000 reconciliation tolerance; reviewer approval required</x:v>
      </x:c>
      <x:c r="J407" s="26" t="str">
        <x:v>v0.21 baseline formula; v0.23 disposition</x:v>
      </x:c>
    </x:row>
    <x:row r="408">
      <x:c r="A408" s="26" t="str">
        <x:v>AB_OS_Project_Data_2024</x:v>
      </x:c>
      <x:c r="B408" s="26" t="str">
        <x:v>W69</x:v>
      </x:c>
      <x:c r="C408" s="26" t="str">
        <x:v>IF(T69="NET",Q69*U69/100,G69*U69/100)</x:v>
      </x:c>
      <x:c r="D408" s="26" t="str">
        <x:v>100, 100</x:v>
      </x:c>
      <x:c r="E408" s="26" t="str">
        <x:v>UNIT CONVERSION</x:v>
      </x:c>
      <x:c r="F408" s="26" t="str">
        <x:v>NO</x:v>
      </x:c>
      <x:c r="G408" s="26" t="str">
        <x:v>RETAIN LITERAL</x:v>
      </x:c>
      <x:c r="H408" s="26" t="str">
        <x:v>Percentage divisor</x:v>
      </x:c>
      <x:c r="I408" s="26" t="str">
        <x:v>Divides percentage points by 100</x:v>
      </x:c>
      <x:c r="J408" s="26" t="str">
        <x:v>v0.21 baseline formula; v0.23 disposition</x:v>
      </x:c>
    </x:row>
    <x:row r="409">
      <x:c r="A409" s="26" t="str">
        <x:v>AB_OS_Project_Data_2024</x:v>
      </x:c>
      <x:c r="B409" s="26" t="str">
        <x:v>AD69</x:v>
      </x:c>
      <x:c r="C409" s="26" t="str">
        <x:v>IF(ABS(H69)&lt;=1000,"PASS","REVIEW")</x:v>
      </x:c>
      <x:c r="D409" s="26" t="str">
        <x:v>1000</x:v>
      </x:c>
      <x:c r="E409" s="26" t="str">
        <x:v>VALIDATION THRESHOLD</x:v>
      </x:c>
      <x:c r="F409" s="26" t="str">
        <x:v>YES</x:v>
      </x:c>
      <x:c r="G409" s="26" t="str">
        <x:v>CENTRALIZED</x:v>
      </x:c>
      <x:c r="H409" s="26" t="str">
        <x:v>P-003</x:v>
      </x:c>
      <x:c r="I409" s="26" t="str">
        <x:v>Internal $1,000 reconciliation tolerance; reviewer approval required</x:v>
      </x:c>
      <x:c r="J409" s="26" t="str">
        <x:v>v0.21 baseline formula; v0.23 disposition</x:v>
      </x:c>
    </x:row>
    <x:row r="410">
      <x:c r="A410" s="26" t="str">
        <x:v>AB_OS_Project_Data_2024</x:v>
      </x:c>
      <x:c r="B410" s="26" t="str">
        <x:v>AE69</x:v>
      </x:c>
      <x:c r="C410" s="26" t="str">
        <x:v>IF(T69&lt;&gt;"NET","N/A",IF(ABS(S69)&lt;=1000,"PASS","REVIEW"))</x:v>
      </x:c>
      <x:c r="D410" s="26" t="str">
        <x:v>1000</x:v>
      </x:c>
      <x:c r="E410" s="26" t="str">
        <x:v>VALIDATION THRESHOLD</x:v>
      </x:c>
      <x:c r="F410" s="26" t="str">
        <x:v>YES</x:v>
      </x:c>
      <x:c r="G410" s="26" t="str">
        <x:v>CENTRALIZED</x:v>
      </x:c>
      <x:c r="H410" s="26" t="str">
        <x:v>P-003</x:v>
      </x:c>
      <x:c r="I410" s="26" t="str">
        <x:v>Internal $1,000 reconciliation tolerance; reviewer approval required</x:v>
      </x:c>
      <x:c r="J410" s="26" t="str">
        <x:v>v0.21 baseline formula; v0.23 disposition</x:v>
      </x:c>
    </x:row>
    <x:row r="411">
      <x:c r="A411" s="26" t="str">
        <x:v>AB_OS_Project_Data_2024</x:v>
      </x:c>
      <x:c r="B411" s="26" t="str">
        <x:v>AF69</x:v>
      </x:c>
      <x:c r="C411" s="26" t="str">
        <x:v>IF(ABS(X69)&lt;=1000,"WITHIN $1K","DISPLAY RATE / ADJUSTMENT")</x:v>
      </x:c>
      <x:c r="D411" s="26" t="str">
        <x:v>1000</x:v>
      </x:c>
      <x:c r="E411" s="26" t="str">
        <x:v>VALIDATION THRESHOLD</x:v>
      </x:c>
      <x:c r="F411" s="26" t="str">
        <x:v>YES</x:v>
      </x:c>
      <x:c r="G411" s="26" t="str">
        <x:v>CENTRALIZED</x:v>
      </x:c>
      <x:c r="H411" s="26" t="str">
        <x:v>P-003</x:v>
      </x:c>
      <x:c r="I411" s="26" t="str">
        <x:v>Internal $1,000 reconciliation tolerance; reviewer approval required</x:v>
      </x:c>
      <x:c r="J411" s="26" t="str">
        <x:v>v0.21 baseline formula; v0.23 disposition</x:v>
      </x:c>
    </x:row>
    <x:row r="412">
      <x:c r="A412" s="26" t="str">
        <x:v>AB_OS_Project_Data_2024</x:v>
      </x:c>
      <x:c r="B412" s="26" t="str">
        <x:v>W70</x:v>
      </x:c>
      <x:c r="C412" s="26" t="str">
        <x:v>IF(T70="NET",Q70*U70/100,G70*U70/100)</x:v>
      </x:c>
      <x:c r="D412" s="26" t="str">
        <x:v>100, 100</x:v>
      </x:c>
      <x:c r="E412" s="26" t="str">
        <x:v>UNIT CONVERSION</x:v>
      </x:c>
      <x:c r="F412" s="26" t="str">
        <x:v>NO</x:v>
      </x:c>
      <x:c r="G412" s="26" t="str">
        <x:v>RETAIN LITERAL</x:v>
      </x:c>
      <x:c r="H412" s="26" t="str">
        <x:v>Percentage divisor</x:v>
      </x:c>
      <x:c r="I412" s="26" t="str">
        <x:v>Divides percentage points by 100</x:v>
      </x:c>
      <x:c r="J412" s="26" t="str">
        <x:v>v0.21 baseline formula; v0.23 disposition</x:v>
      </x:c>
    </x:row>
    <x:row r="413">
      <x:c r="A413" s="26" t="str">
        <x:v>AB_OS_Project_Data_2024</x:v>
      </x:c>
      <x:c r="B413" s="26" t="str">
        <x:v>AD70</x:v>
      </x:c>
      <x:c r="C413" s="26" t="str">
        <x:v>IF(ABS(H70)&lt;=1000,"PASS","REVIEW")</x:v>
      </x:c>
      <x:c r="D413" s="26" t="str">
        <x:v>1000</x:v>
      </x:c>
      <x:c r="E413" s="26" t="str">
        <x:v>VALIDATION THRESHOLD</x:v>
      </x:c>
      <x:c r="F413" s="26" t="str">
        <x:v>YES</x:v>
      </x:c>
      <x:c r="G413" s="26" t="str">
        <x:v>CENTRALIZED</x:v>
      </x:c>
      <x:c r="H413" s="26" t="str">
        <x:v>P-003</x:v>
      </x:c>
      <x:c r="I413" s="26" t="str">
        <x:v>Internal $1,000 reconciliation tolerance; reviewer approval required</x:v>
      </x:c>
      <x:c r="J413" s="26" t="str">
        <x:v>v0.21 baseline formula; v0.23 disposition</x:v>
      </x:c>
    </x:row>
    <x:row r="414">
      <x:c r="A414" s="26" t="str">
        <x:v>AB_OS_Project_Data_2024</x:v>
      </x:c>
      <x:c r="B414" s="26" t="str">
        <x:v>AE70</x:v>
      </x:c>
      <x:c r="C414" s="26" t="str">
        <x:v>IF(T70&lt;&gt;"NET","N/A",IF(ABS(S70)&lt;=1000,"PASS","REVIEW"))</x:v>
      </x:c>
      <x:c r="D414" s="26" t="str">
        <x:v>1000</x:v>
      </x:c>
      <x:c r="E414" s="26" t="str">
        <x:v>VALIDATION THRESHOLD</x:v>
      </x:c>
      <x:c r="F414" s="26" t="str">
        <x:v>YES</x:v>
      </x:c>
      <x:c r="G414" s="26" t="str">
        <x:v>CENTRALIZED</x:v>
      </x:c>
      <x:c r="H414" s="26" t="str">
        <x:v>P-003</x:v>
      </x:c>
      <x:c r="I414" s="26" t="str">
        <x:v>Internal $1,000 reconciliation tolerance; reviewer approval required</x:v>
      </x:c>
      <x:c r="J414" s="26" t="str">
        <x:v>v0.21 baseline formula; v0.23 disposition</x:v>
      </x:c>
    </x:row>
    <x:row r="415">
      <x:c r="A415" s="26" t="str">
        <x:v>AB_OS_Project_Data_2024</x:v>
      </x:c>
      <x:c r="B415" s="26" t="str">
        <x:v>AF70</x:v>
      </x:c>
      <x:c r="C415" s="26" t="str">
        <x:v>IF(ABS(X70)&lt;=1000,"WITHIN $1K","DISPLAY RATE / ADJUSTMENT")</x:v>
      </x:c>
      <x:c r="D415" s="26" t="str">
        <x:v>1000</x:v>
      </x:c>
      <x:c r="E415" s="26" t="str">
        <x:v>VALIDATION THRESHOLD</x:v>
      </x:c>
      <x:c r="F415" s="26" t="str">
        <x:v>YES</x:v>
      </x:c>
      <x:c r="G415" s="26" t="str">
        <x:v>CENTRALIZED</x:v>
      </x:c>
      <x:c r="H415" s="26" t="str">
        <x:v>P-003</x:v>
      </x:c>
      <x:c r="I415" s="26" t="str">
        <x:v>Internal $1,000 reconciliation tolerance; reviewer approval required</x:v>
      </x:c>
      <x:c r="J415" s="26" t="str">
        <x:v>v0.21 baseline formula; v0.23 disposition</x:v>
      </x:c>
    </x:row>
    <x:row r="416">
      <x:c r="A416" s="26" t="str">
        <x:v>AB_OS_Project_Data_2024</x:v>
      </x:c>
      <x:c r="B416" s="26" t="str">
        <x:v>W71</x:v>
      </x:c>
      <x:c r="C416" s="26" t="str">
        <x:v>IF(T71="NET",Q71*U71/100,G71*U71/100)</x:v>
      </x:c>
      <x:c r="D416" s="26" t="str">
        <x:v>100, 100</x:v>
      </x:c>
      <x:c r="E416" s="26" t="str">
        <x:v>UNIT CONVERSION</x:v>
      </x:c>
      <x:c r="F416" s="26" t="str">
        <x:v>NO</x:v>
      </x:c>
      <x:c r="G416" s="26" t="str">
        <x:v>RETAIN LITERAL</x:v>
      </x:c>
      <x:c r="H416" s="26" t="str">
        <x:v>Percentage divisor</x:v>
      </x:c>
      <x:c r="I416" s="26" t="str">
        <x:v>Divides percentage points by 100</x:v>
      </x:c>
      <x:c r="J416" s="26" t="str">
        <x:v>v0.21 baseline formula; v0.23 disposition</x:v>
      </x:c>
    </x:row>
    <x:row r="417">
      <x:c r="A417" s="26" t="str">
        <x:v>AB_OS_Project_Data_2024</x:v>
      </x:c>
      <x:c r="B417" s="26" t="str">
        <x:v>AD71</x:v>
      </x:c>
      <x:c r="C417" s="26" t="str">
        <x:v>IF(ABS(H71)&lt;=1000,"PASS","REVIEW")</x:v>
      </x:c>
      <x:c r="D417" s="26" t="str">
        <x:v>1000</x:v>
      </x:c>
      <x:c r="E417" s="26" t="str">
        <x:v>VALIDATION THRESHOLD</x:v>
      </x:c>
      <x:c r="F417" s="26" t="str">
        <x:v>YES</x:v>
      </x:c>
      <x:c r="G417" s="26" t="str">
        <x:v>CENTRALIZED</x:v>
      </x:c>
      <x:c r="H417" s="26" t="str">
        <x:v>P-003</x:v>
      </x:c>
      <x:c r="I417" s="26" t="str">
        <x:v>Internal $1,000 reconciliation tolerance; reviewer approval required</x:v>
      </x:c>
      <x:c r="J417" s="26" t="str">
        <x:v>v0.21 baseline formula; v0.23 disposition</x:v>
      </x:c>
    </x:row>
    <x:row r="418">
      <x:c r="A418" s="26" t="str">
        <x:v>AB_OS_Project_Data_2024</x:v>
      </x:c>
      <x:c r="B418" s="26" t="str">
        <x:v>AE71</x:v>
      </x:c>
      <x:c r="C418" s="26" t="str">
        <x:v>IF(T71&lt;&gt;"NET","N/A",IF(ABS(S71)&lt;=1000,"PASS","REVIEW"))</x:v>
      </x:c>
      <x:c r="D418" s="26" t="str">
        <x:v>1000</x:v>
      </x:c>
      <x:c r="E418" s="26" t="str">
        <x:v>VALIDATION THRESHOLD</x:v>
      </x:c>
      <x:c r="F418" s="26" t="str">
        <x:v>YES</x:v>
      </x:c>
      <x:c r="G418" s="26" t="str">
        <x:v>CENTRALIZED</x:v>
      </x:c>
      <x:c r="H418" s="26" t="str">
        <x:v>P-003</x:v>
      </x:c>
      <x:c r="I418" s="26" t="str">
        <x:v>Internal $1,000 reconciliation tolerance; reviewer approval required</x:v>
      </x:c>
      <x:c r="J418" s="26" t="str">
        <x:v>v0.21 baseline formula; v0.23 disposition</x:v>
      </x:c>
    </x:row>
    <x:row r="419">
      <x:c r="A419" s="26" t="str">
        <x:v>AB_OS_Project_Data_2024</x:v>
      </x:c>
      <x:c r="B419" s="26" t="str">
        <x:v>AF71</x:v>
      </x:c>
      <x:c r="C419" s="26" t="str">
        <x:v>IF(ABS(X71)&lt;=1000,"WITHIN $1K","DISPLAY RATE / ADJUSTMENT")</x:v>
      </x:c>
      <x:c r="D419" s="26" t="str">
        <x:v>1000</x:v>
      </x:c>
      <x:c r="E419" s="26" t="str">
        <x:v>VALIDATION THRESHOLD</x:v>
      </x:c>
      <x:c r="F419" s="26" t="str">
        <x:v>YES</x:v>
      </x:c>
      <x:c r="G419" s="26" t="str">
        <x:v>CENTRALIZED</x:v>
      </x:c>
      <x:c r="H419" s="26" t="str">
        <x:v>P-003</x:v>
      </x:c>
      <x:c r="I419" s="26" t="str">
        <x:v>Internal $1,000 reconciliation tolerance; reviewer approval required</x:v>
      </x:c>
      <x:c r="J419" s="26" t="str">
        <x:v>v0.21 baseline formula; v0.23 disposition</x:v>
      </x:c>
    </x:row>
    <x:row r="420">
      <x:c r="A420" s="26" t="str">
        <x:v>AB_OS_Project_Data_2024</x:v>
      </x:c>
      <x:c r="B420" s="26" t="str">
        <x:v>W72</x:v>
      </x:c>
      <x:c r="C420" s="26" t="str">
        <x:v>IF(T72="NET",Q72*U72/100,G72*U72/100)</x:v>
      </x:c>
      <x:c r="D420" s="26" t="str">
        <x:v>100, 100</x:v>
      </x:c>
      <x:c r="E420" s="26" t="str">
        <x:v>UNIT CONVERSION</x:v>
      </x:c>
      <x:c r="F420" s="26" t="str">
        <x:v>NO</x:v>
      </x:c>
      <x:c r="G420" s="26" t="str">
        <x:v>RETAIN LITERAL</x:v>
      </x:c>
      <x:c r="H420" s="26" t="str">
        <x:v>Percentage divisor</x:v>
      </x:c>
      <x:c r="I420" s="26" t="str">
        <x:v>Divides percentage points by 100</x:v>
      </x:c>
      <x:c r="J420" s="26" t="str">
        <x:v>v0.21 baseline formula; v0.23 disposition</x:v>
      </x:c>
    </x:row>
    <x:row r="421">
      <x:c r="A421" s="26" t="str">
        <x:v>AB_OS_Project_Data_2024</x:v>
      </x:c>
      <x:c r="B421" s="26" t="str">
        <x:v>AD72</x:v>
      </x:c>
      <x:c r="C421" s="26" t="str">
        <x:v>IF(ABS(H72)&lt;=1000,"PASS","REVIEW")</x:v>
      </x:c>
      <x:c r="D421" s="26" t="str">
        <x:v>1000</x:v>
      </x:c>
      <x:c r="E421" s="26" t="str">
        <x:v>VALIDATION THRESHOLD</x:v>
      </x:c>
      <x:c r="F421" s="26" t="str">
        <x:v>YES</x:v>
      </x:c>
      <x:c r="G421" s="26" t="str">
        <x:v>CENTRALIZED</x:v>
      </x:c>
      <x:c r="H421" s="26" t="str">
        <x:v>P-003</x:v>
      </x:c>
      <x:c r="I421" s="26" t="str">
        <x:v>Internal $1,000 reconciliation tolerance; reviewer approval required</x:v>
      </x:c>
      <x:c r="J421" s="26" t="str">
        <x:v>v0.21 baseline formula; v0.23 disposition</x:v>
      </x:c>
    </x:row>
    <x:row r="422">
      <x:c r="A422" s="26" t="str">
        <x:v>AB_OS_Project_Data_2024</x:v>
      </x:c>
      <x:c r="B422" s="26" t="str">
        <x:v>AE72</x:v>
      </x:c>
      <x:c r="C422" s="26" t="str">
        <x:v>IF(T72&lt;&gt;"NET","N/A",IF(ABS(S72)&lt;=1000,"PASS","REVIEW"))</x:v>
      </x:c>
      <x:c r="D422" s="26" t="str">
        <x:v>1000</x:v>
      </x:c>
      <x:c r="E422" s="26" t="str">
        <x:v>VALIDATION THRESHOLD</x:v>
      </x:c>
      <x:c r="F422" s="26" t="str">
        <x:v>YES</x:v>
      </x:c>
      <x:c r="G422" s="26" t="str">
        <x:v>CENTRALIZED</x:v>
      </x:c>
      <x:c r="H422" s="26" t="str">
        <x:v>P-003</x:v>
      </x:c>
      <x:c r="I422" s="26" t="str">
        <x:v>Internal $1,000 reconciliation tolerance; reviewer approval required</x:v>
      </x:c>
      <x:c r="J422" s="26" t="str">
        <x:v>v0.21 baseline formula; v0.23 disposition</x:v>
      </x:c>
    </x:row>
    <x:row r="423">
      <x:c r="A423" s="26" t="str">
        <x:v>AB_OS_Project_Data_2024</x:v>
      </x:c>
      <x:c r="B423" s="26" t="str">
        <x:v>AF72</x:v>
      </x:c>
      <x:c r="C423" s="26" t="str">
        <x:v>IF(ABS(X72)&lt;=1000,"WITHIN $1K","DISPLAY RATE / ADJUSTMENT")</x:v>
      </x:c>
      <x:c r="D423" s="26" t="str">
        <x:v>1000</x:v>
      </x:c>
      <x:c r="E423" s="26" t="str">
        <x:v>VALIDATION THRESHOLD</x:v>
      </x:c>
      <x:c r="F423" s="26" t="str">
        <x:v>YES</x:v>
      </x:c>
      <x:c r="G423" s="26" t="str">
        <x:v>CENTRALIZED</x:v>
      </x:c>
      <x:c r="H423" s="26" t="str">
        <x:v>P-003</x:v>
      </x:c>
      <x:c r="I423" s="26" t="str">
        <x:v>Internal $1,000 reconciliation tolerance; reviewer approval required</x:v>
      </x:c>
      <x:c r="J423" s="26" t="str">
        <x:v>v0.21 baseline formula; v0.23 disposition</x:v>
      </x:c>
    </x:row>
    <x:row r="424">
      <x:c r="A424" s="26" t="str">
        <x:v>AB_OS_Project_Data_2024</x:v>
      </x:c>
      <x:c r="B424" s="26" t="str">
        <x:v>W73</x:v>
      </x:c>
      <x:c r="C424" s="26" t="str">
        <x:v>IF(T73="NET",Q73*U73/100,G73*U73/100)</x:v>
      </x:c>
      <x:c r="D424" s="26" t="str">
        <x:v>100, 100</x:v>
      </x:c>
      <x:c r="E424" s="26" t="str">
        <x:v>UNIT CONVERSION</x:v>
      </x:c>
      <x:c r="F424" s="26" t="str">
        <x:v>NO</x:v>
      </x:c>
      <x:c r="G424" s="26" t="str">
        <x:v>RETAIN LITERAL</x:v>
      </x:c>
      <x:c r="H424" s="26" t="str">
        <x:v>Percentage divisor</x:v>
      </x:c>
      <x:c r="I424" s="26" t="str">
        <x:v>Divides percentage points by 100</x:v>
      </x:c>
      <x:c r="J424" s="26" t="str">
        <x:v>v0.21 baseline formula; v0.23 disposition</x:v>
      </x:c>
    </x:row>
    <x:row r="425">
      <x:c r="A425" s="26" t="str">
        <x:v>AB_OS_Project_Data_2024</x:v>
      </x:c>
      <x:c r="B425" s="26" t="str">
        <x:v>AD73</x:v>
      </x:c>
      <x:c r="C425" s="26" t="str">
        <x:v>IF(ABS(H73)&lt;=1000,"PASS","REVIEW")</x:v>
      </x:c>
      <x:c r="D425" s="26" t="str">
        <x:v>1000</x:v>
      </x:c>
      <x:c r="E425" s="26" t="str">
        <x:v>VALIDATION THRESHOLD</x:v>
      </x:c>
      <x:c r="F425" s="26" t="str">
        <x:v>YES</x:v>
      </x:c>
      <x:c r="G425" s="26" t="str">
        <x:v>CENTRALIZED</x:v>
      </x:c>
      <x:c r="H425" s="26" t="str">
        <x:v>P-003</x:v>
      </x:c>
      <x:c r="I425" s="26" t="str">
        <x:v>Internal $1,000 reconciliation tolerance; reviewer approval required</x:v>
      </x:c>
      <x:c r="J425" s="26" t="str">
        <x:v>v0.21 baseline formula; v0.23 disposition</x:v>
      </x:c>
    </x:row>
    <x:row r="426">
      <x:c r="A426" s="26" t="str">
        <x:v>AB_OS_Project_Data_2024</x:v>
      </x:c>
      <x:c r="B426" s="26" t="str">
        <x:v>AE73</x:v>
      </x:c>
      <x:c r="C426" s="26" t="str">
        <x:v>IF(T73&lt;&gt;"NET","N/A",IF(ABS(S73)&lt;=1000,"PASS","REVIEW"))</x:v>
      </x:c>
      <x:c r="D426" s="26" t="str">
        <x:v>1000</x:v>
      </x:c>
      <x:c r="E426" s="26" t="str">
        <x:v>VALIDATION THRESHOLD</x:v>
      </x:c>
      <x:c r="F426" s="26" t="str">
        <x:v>YES</x:v>
      </x:c>
      <x:c r="G426" s="26" t="str">
        <x:v>CENTRALIZED</x:v>
      </x:c>
      <x:c r="H426" s="26" t="str">
        <x:v>P-003</x:v>
      </x:c>
      <x:c r="I426" s="26" t="str">
        <x:v>Internal $1,000 reconciliation tolerance; reviewer approval required</x:v>
      </x:c>
      <x:c r="J426" s="26" t="str">
        <x:v>v0.21 baseline formula; v0.23 disposition</x:v>
      </x:c>
    </x:row>
    <x:row r="427">
      <x:c r="A427" s="26" t="str">
        <x:v>AB_OS_Project_Data_2024</x:v>
      </x:c>
      <x:c r="B427" s="26" t="str">
        <x:v>AF73</x:v>
      </x:c>
      <x:c r="C427" s="26" t="str">
        <x:v>IF(ABS(X73)&lt;=1000,"WITHIN $1K","DISPLAY RATE / ADJUSTMENT")</x:v>
      </x:c>
      <x:c r="D427" s="26" t="str">
        <x:v>1000</x:v>
      </x:c>
      <x:c r="E427" s="26" t="str">
        <x:v>VALIDATION THRESHOLD</x:v>
      </x:c>
      <x:c r="F427" s="26" t="str">
        <x:v>YES</x:v>
      </x:c>
      <x:c r="G427" s="26" t="str">
        <x:v>CENTRALIZED</x:v>
      </x:c>
      <x:c r="H427" s="26" t="str">
        <x:v>P-003</x:v>
      </x:c>
      <x:c r="I427" s="26" t="str">
        <x:v>Internal $1,000 reconciliation tolerance; reviewer approval required</x:v>
      </x:c>
      <x:c r="J427" s="26" t="str">
        <x:v>v0.21 baseline formula; v0.23 disposition</x:v>
      </x:c>
    </x:row>
    <x:row r="428">
      <x:c r="A428" s="26" t="str">
        <x:v>AB_OS_Project_Data_2024</x:v>
      </x:c>
      <x:c r="B428" s="26" t="str">
        <x:v>W74</x:v>
      </x:c>
      <x:c r="C428" s="26" t="str">
        <x:v>IF(T74="NET",Q74*U74/100,G74*U74/100)</x:v>
      </x:c>
      <x:c r="D428" s="26" t="str">
        <x:v>100, 100</x:v>
      </x:c>
      <x:c r="E428" s="26" t="str">
        <x:v>UNIT CONVERSION</x:v>
      </x:c>
      <x:c r="F428" s="26" t="str">
        <x:v>NO</x:v>
      </x:c>
      <x:c r="G428" s="26" t="str">
        <x:v>RETAIN LITERAL</x:v>
      </x:c>
      <x:c r="H428" s="26" t="str">
        <x:v>Percentage divisor</x:v>
      </x:c>
      <x:c r="I428" s="26" t="str">
        <x:v>Divides percentage points by 100</x:v>
      </x:c>
      <x:c r="J428" s="26" t="str">
        <x:v>v0.21 baseline formula; v0.23 disposition</x:v>
      </x:c>
    </x:row>
    <x:row r="429">
      <x:c r="A429" s="26" t="str">
        <x:v>AB_OS_Project_Data_2024</x:v>
      </x:c>
      <x:c r="B429" s="26" t="str">
        <x:v>AD74</x:v>
      </x:c>
      <x:c r="C429" s="26" t="str">
        <x:v>IF(ABS(H74)&lt;=1000,"PASS","REVIEW")</x:v>
      </x:c>
      <x:c r="D429" s="26" t="str">
        <x:v>1000</x:v>
      </x:c>
      <x:c r="E429" s="26" t="str">
        <x:v>VALIDATION THRESHOLD</x:v>
      </x:c>
      <x:c r="F429" s="26" t="str">
        <x:v>YES</x:v>
      </x:c>
      <x:c r="G429" s="26" t="str">
        <x:v>CENTRALIZED</x:v>
      </x:c>
      <x:c r="H429" s="26" t="str">
        <x:v>P-003</x:v>
      </x:c>
      <x:c r="I429" s="26" t="str">
        <x:v>Internal $1,000 reconciliation tolerance; reviewer approval required</x:v>
      </x:c>
      <x:c r="J429" s="26" t="str">
        <x:v>v0.21 baseline formula; v0.23 disposition</x:v>
      </x:c>
    </x:row>
    <x:row r="430">
      <x:c r="A430" s="26" t="str">
        <x:v>AB_OS_Project_Data_2024</x:v>
      </x:c>
      <x:c r="B430" s="26" t="str">
        <x:v>AE74</x:v>
      </x:c>
      <x:c r="C430" s="26" t="str">
        <x:v>IF(T74&lt;&gt;"NET","N/A",IF(ABS(S74)&lt;=1000,"PASS","REVIEW"))</x:v>
      </x:c>
      <x:c r="D430" s="26" t="str">
        <x:v>1000</x:v>
      </x:c>
      <x:c r="E430" s="26" t="str">
        <x:v>VALIDATION THRESHOLD</x:v>
      </x:c>
      <x:c r="F430" s="26" t="str">
        <x:v>YES</x:v>
      </x:c>
      <x:c r="G430" s="26" t="str">
        <x:v>CENTRALIZED</x:v>
      </x:c>
      <x:c r="H430" s="26" t="str">
        <x:v>P-003</x:v>
      </x:c>
      <x:c r="I430" s="26" t="str">
        <x:v>Internal $1,000 reconciliation tolerance; reviewer approval required</x:v>
      </x:c>
      <x:c r="J430" s="26" t="str">
        <x:v>v0.21 baseline formula; v0.23 disposition</x:v>
      </x:c>
    </x:row>
    <x:row r="431">
      <x:c r="A431" s="26" t="str">
        <x:v>AB_OS_Project_Data_2024</x:v>
      </x:c>
      <x:c r="B431" s="26" t="str">
        <x:v>AF74</x:v>
      </x:c>
      <x:c r="C431" s="26" t="str">
        <x:v>IF(ABS(X74)&lt;=1000,"WITHIN $1K","DISPLAY RATE / ADJUSTMENT")</x:v>
      </x:c>
      <x:c r="D431" s="26" t="str">
        <x:v>1000</x:v>
      </x:c>
      <x:c r="E431" s="26" t="str">
        <x:v>VALIDATION THRESHOLD</x:v>
      </x:c>
      <x:c r="F431" s="26" t="str">
        <x:v>YES</x:v>
      </x:c>
      <x:c r="G431" s="26" t="str">
        <x:v>CENTRALIZED</x:v>
      </x:c>
      <x:c r="H431" s="26" t="str">
        <x:v>P-003</x:v>
      </x:c>
      <x:c r="I431" s="26" t="str">
        <x:v>Internal $1,000 reconciliation tolerance; reviewer approval required</x:v>
      </x:c>
      <x:c r="J431" s="26" t="str">
        <x:v>v0.21 baseline formula; v0.23 disposition</x:v>
      </x:c>
    </x:row>
    <x:row r="432">
      <x:c r="A432" s="26" t="str">
        <x:v>AB_OS_Project_Data_2024</x:v>
      </x:c>
      <x:c r="B432" s="26" t="str">
        <x:v>W75</x:v>
      </x:c>
      <x:c r="C432" s="26" t="str">
        <x:v>IF(T75="NET",Q75*U75/100,G75*U75/100)</x:v>
      </x:c>
      <x:c r="D432" s="26" t="str">
        <x:v>100, 100</x:v>
      </x:c>
      <x:c r="E432" s="26" t="str">
        <x:v>UNIT CONVERSION</x:v>
      </x:c>
      <x:c r="F432" s="26" t="str">
        <x:v>NO</x:v>
      </x:c>
      <x:c r="G432" s="26" t="str">
        <x:v>RETAIN LITERAL</x:v>
      </x:c>
      <x:c r="H432" s="26" t="str">
        <x:v>Percentage divisor</x:v>
      </x:c>
      <x:c r="I432" s="26" t="str">
        <x:v>Divides percentage points by 100</x:v>
      </x:c>
      <x:c r="J432" s="26" t="str">
        <x:v>v0.21 baseline formula; v0.23 disposition</x:v>
      </x:c>
    </x:row>
    <x:row r="433">
      <x:c r="A433" s="26" t="str">
        <x:v>AB_OS_Project_Data_2024</x:v>
      </x:c>
      <x:c r="B433" s="26" t="str">
        <x:v>AD75</x:v>
      </x:c>
      <x:c r="C433" s="26" t="str">
        <x:v>IF(ABS(H75)&lt;=1000,"PASS","REVIEW")</x:v>
      </x:c>
      <x:c r="D433" s="26" t="str">
        <x:v>1000</x:v>
      </x:c>
      <x:c r="E433" s="26" t="str">
        <x:v>VALIDATION THRESHOLD</x:v>
      </x:c>
      <x:c r="F433" s="26" t="str">
        <x:v>YES</x:v>
      </x:c>
      <x:c r="G433" s="26" t="str">
        <x:v>CENTRALIZED</x:v>
      </x:c>
      <x:c r="H433" s="26" t="str">
        <x:v>P-003</x:v>
      </x:c>
      <x:c r="I433" s="26" t="str">
        <x:v>Internal $1,000 reconciliation tolerance; reviewer approval required</x:v>
      </x:c>
      <x:c r="J433" s="26" t="str">
        <x:v>v0.21 baseline formula; v0.23 disposition</x:v>
      </x:c>
    </x:row>
    <x:row r="434">
      <x:c r="A434" s="26" t="str">
        <x:v>AB_OS_Project_Data_2024</x:v>
      </x:c>
      <x:c r="B434" s="26" t="str">
        <x:v>AE75</x:v>
      </x:c>
      <x:c r="C434" s="26" t="str">
        <x:v>IF(T75&lt;&gt;"NET","N/A",IF(ABS(S75)&lt;=1000,"PASS","REVIEW"))</x:v>
      </x:c>
      <x:c r="D434" s="26" t="str">
        <x:v>1000</x:v>
      </x:c>
      <x:c r="E434" s="26" t="str">
        <x:v>VALIDATION THRESHOLD</x:v>
      </x:c>
      <x:c r="F434" s="26" t="str">
        <x:v>YES</x:v>
      </x:c>
      <x:c r="G434" s="26" t="str">
        <x:v>CENTRALIZED</x:v>
      </x:c>
      <x:c r="H434" s="26" t="str">
        <x:v>P-003</x:v>
      </x:c>
      <x:c r="I434" s="26" t="str">
        <x:v>Internal $1,000 reconciliation tolerance; reviewer approval required</x:v>
      </x:c>
      <x:c r="J434" s="26" t="str">
        <x:v>v0.21 baseline formula; v0.23 disposition</x:v>
      </x:c>
    </x:row>
    <x:row r="435">
      <x:c r="A435" s="26" t="str">
        <x:v>AB_OS_Project_Data_2024</x:v>
      </x:c>
      <x:c r="B435" s="26" t="str">
        <x:v>AF75</x:v>
      </x:c>
      <x:c r="C435" s="26" t="str">
        <x:v>IF(ABS(X75)&lt;=1000,"WITHIN $1K","DISPLAY RATE / ADJUSTMENT")</x:v>
      </x:c>
      <x:c r="D435" s="26" t="str">
        <x:v>1000</x:v>
      </x:c>
      <x:c r="E435" s="26" t="str">
        <x:v>VALIDATION THRESHOLD</x:v>
      </x:c>
      <x:c r="F435" s="26" t="str">
        <x:v>YES</x:v>
      </x:c>
      <x:c r="G435" s="26" t="str">
        <x:v>CENTRALIZED</x:v>
      </x:c>
      <x:c r="H435" s="26" t="str">
        <x:v>P-003</x:v>
      </x:c>
      <x:c r="I435" s="26" t="str">
        <x:v>Internal $1,000 reconciliation tolerance; reviewer approval required</x:v>
      </x:c>
      <x:c r="J435" s="26" t="str">
        <x:v>v0.21 baseline formula; v0.23 disposition</x:v>
      </x:c>
    </x:row>
    <x:row r="436">
      <x:c r="A436" s="26" t="str">
        <x:v>AB_OS_Project_Data_2024</x:v>
      </x:c>
      <x:c r="B436" s="26" t="str">
        <x:v>W76</x:v>
      </x:c>
      <x:c r="C436" s="26" t="str">
        <x:v>IF(T76="NET",Q76*U76/100,G76*U76/100)</x:v>
      </x:c>
      <x:c r="D436" s="26" t="str">
        <x:v>100, 100</x:v>
      </x:c>
      <x:c r="E436" s="26" t="str">
        <x:v>UNIT CONVERSION</x:v>
      </x:c>
      <x:c r="F436" s="26" t="str">
        <x:v>NO</x:v>
      </x:c>
      <x:c r="G436" s="26" t="str">
        <x:v>RETAIN LITERAL</x:v>
      </x:c>
      <x:c r="H436" s="26" t="str">
        <x:v>Percentage divisor</x:v>
      </x:c>
      <x:c r="I436" s="26" t="str">
        <x:v>Divides percentage points by 100</x:v>
      </x:c>
      <x:c r="J436" s="26" t="str">
        <x:v>v0.21 baseline formula; v0.23 disposition</x:v>
      </x:c>
    </x:row>
    <x:row r="437">
      <x:c r="A437" s="26" t="str">
        <x:v>AB_OS_Project_Data_2024</x:v>
      </x:c>
      <x:c r="B437" s="26" t="str">
        <x:v>AD76</x:v>
      </x:c>
      <x:c r="C437" s="26" t="str">
        <x:v>IF(ABS(H76)&lt;=1000,"PASS","REVIEW")</x:v>
      </x:c>
      <x:c r="D437" s="26" t="str">
        <x:v>1000</x:v>
      </x:c>
      <x:c r="E437" s="26" t="str">
        <x:v>VALIDATION THRESHOLD</x:v>
      </x:c>
      <x:c r="F437" s="26" t="str">
        <x:v>YES</x:v>
      </x:c>
      <x:c r="G437" s="26" t="str">
        <x:v>CENTRALIZED</x:v>
      </x:c>
      <x:c r="H437" s="26" t="str">
        <x:v>P-003</x:v>
      </x:c>
      <x:c r="I437" s="26" t="str">
        <x:v>Internal $1,000 reconciliation tolerance; reviewer approval required</x:v>
      </x:c>
      <x:c r="J437" s="26" t="str">
        <x:v>v0.21 baseline formula; v0.23 disposition</x:v>
      </x:c>
    </x:row>
    <x:row r="438">
      <x:c r="A438" s="26" t="str">
        <x:v>AB_OS_Project_Data_2024</x:v>
      </x:c>
      <x:c r="B438" s="26" t="str">
        <x:v>AE76</x:v>
      </x:c>
      <x:c r="C438" s="26" t="str">
        <x:v>IF(T76&lt;&gt;"NET","N/A",IF(ABS(S76)&lt;=1000,"PASS","REVIEW"))</x:v>
      </x:c>
      <x:c r="D438" s="26" t="str">
        <x:v>1000</x:v>
      </x:c>
      <x:c r="E438" s="26" t="str">
        <x:v>VALIDATION THRESHOLD</x:v>
      </x:c>
      <x:c r="F438" s="26" t="str">
        <x:v>YES</x:v>
      </x:c>
      <x:c r="G438" s="26" t="str">
        <x:v>CENTRALIZED</x:v>
      </x:c>
      <x:c r="H438" s="26" t="str">
        <x:v>P-003</x:v>
      </x:c>
      <x:c r="I438" s="26" t="str">
        <x:v>Internal $1,000 reconciliation tolerance; reviewer approval required</x:v>
      </x:c>
      <x:c r="J438" s="26" t="str">
        <x:v>v0.21 baseline formula; v0.23 disposition</x:v>
      </x:c>
    </x:row>
    <x:row r="439">
      <x:c r="A439" s="26" t="str">
        <x:v>AB_OS_Project_Data_2024</x:v>
      </x:c>
      <x:c r="B439" s="26" t="str">
        <x:v>AF76</x:v>
      </x:c>
      <x:c r="C439" s="26" t="str">
        <x:v>IF(ABS(X76)&lt;=1000,"WITHIN $1K","DISPLAY RATE / ADJUSTMENT")</x:v>
      </x:c>
      <x:c r="D439" s="26" t="str">
        <x:v>1000</x:v>
      </x:c>
      <x:c r="E439" s="26" t="str">
        <x:v>VALIDATION THRESHOLD</x:v>
      </x:c>
      <x:c r="F439" s="26" t="str">
        <x:v>YES</x:v>
      </x:c>
      <x:c r="G439" s="26" t="str">
        <x:v>CENTRALIZED</x:v>
      </x:c>
      <x:c r="H439" s="26" t="str">
        <x:v>P-003</x:v>
      </x:c>
      <x:c r="I439" s="26" t="str">
        <x:v>Internal $1,000 reconciliation tolerance; reviewer approval required</x:v>
      </x:c>
      <x:c r="J439" s="26" t="str">
        <x:v>v0.21 baseline formula; v0.23 disposition</x:v>
      </x:c>
    </x:row>
    <x:row r="440">
      <x:c r="A440" s="26" t="str">
        <x:v>AB_OS_Project_Data_2024</x:v>
      </x:c>
      <x:c r="B440" s="26" t="str">
        <x:v>W77</x:v>
      </x:c>
      <x:c r="C440" s="26" t="str">
        <x:v>IF(T77="NET",Q77*U77/100,G77*U77/100)</x:v>
      </x:c>
      <x:c r="D440" s="26" t="str">
        <x:v>100, 100</x:v>
      </x:c>
      <x:c r="E440" s="26" t="str">
        <x:v>UNIT CONVERSION</x:v>
      </x:c>
      <x:c r="F440" s="26" t="str">
        <x:v>NO</x:v>
      </x:c>
      <x:c r="G440" s="26" t="str">
        <x:v>RETAIN LITERAL</x:v>
      </x:c>
      <x:c r="H440" s="26" t="str">
        <x:v>Percentage divisor</x:v>
      </x:c>
      <x:c r="I440" s="26" t="str">
        <x:v>Divides percentage points by 100</x:v>
      </x:c>
      <x:c r="J440" s="26" t="str">
        <x:v>v0.21 baseline formula; v0.23 disposition</x:v>
      </x:c>
    </x:row>
    <x:row r="441">
      <x:c r="A441" s="26" t="str">
        <x:v>AB_OS_Project_Data_2024</x:v>
      </x:c>
      <x:c r="B441" s="26" t="str">
        <x:v>AD77</x:v>
      </x:c>
      <x:c r="C441" s="26" t="str">
        <x:v>IF(ABS(H77)&lt;=1000,"PASS","REVIEW")</x:v>
      </x:c>
      <x:c r="D441" s="26" t="str">
        <x:v>1000</x:v>
      </x:c>
      <x:c r="E441" s="26" t="str">
        <x:v>VALIDATION THRESHOLD</x:v>
      </x:c>
      <x:c r="F441" s="26" t="str">
        <x:v>YES</x:v>
      </x:c>
      <x:c r="G441" s="26" t="str">
        <x:v>CENTRALIZED</x:v>
      </x:c>
      <x:c r="H441" s="26" t="str">
        <x:v>P-003</x:v>
      </x:c>
      <x:c r="I441" s="26" t="str">
        <x:v>Internal $1,000 reconciliation tolerance; reviewer approval required</x:v>
      </x:c>
      <x:c r="J441" s="26" t="str">
        <x:v>v0.21 baseline formula; v0.23 disposition</x:v>
      </x:c>
    </x:row>
    <x:row r="442">
      <x:c r="A442" s="26" t="str">
        <x:v>AB_OS_Project_Data_2024</x:v>
      </x:c>
      <x:c r="B442" s="26" t="str">
        <x:v>AE77</x:v>
      </x:c>
      <x:c r="C442" s="26" t="str">
        <x:v>IF(T77&lt;&gt;"NET","N/A",IF(ABS(S77)&lt;=1000,"PASS","REVIEW"))</x:v>
      </x:c>
      <x:c r="D442" s="26" t="str">
        <x:v>1000</x:v>
      </x:c>
      <x:c r="E442" s="26" t="str">
        <x:v>VALIDATION THRESHOLD</x:v>
      </x:c>
      <x:c r="F442" s="26" t="str">
        <x:v>YES</x:v>
      </x:c>
      <x:c r="G442" s="26" t="str">
        <x:v>CENTRALIZED</x:v>
      </x:c>
      <x:c r="H442" s="26" t="str">
        <x:v>P-003</x:v>
      </x:c>
      <x:c r="I442" s="26" t="str">
        <x:v>Internal $1,000 reconciliation tolerance; reviewer approval required</x:v>
      </x:c>
      <x:c r="J442" s="26" t="str">
        <x:v>v0.21 baseline formula; v0.23 disposition</x:v>
      </x:c>
    </x:row>
    <x:row r="443">
      <x:c r="A443" s="26" t="str">
        <x:v>AB_OS_Project_Data_2024</x:v>
      </x:c>
      <x:c r="B443" s="26" t="str">
        <x:v>AF77</x:v>
      </x:c>
      <x:c r="C443" s="26" t="str">
        <x:v>IF(ABS(X77)&lt;=1000,"WITHIN $1K","DISPLAY RATE / ADJUSTMENT")</x:v>
      </x:c>
      <x:c r="D443" s="26" t="str">
        <x:v>1000</x:v>
      </x:c>
      <x:c r="E443" s="26" t="str">
        <x:v>VALIDATION THRESHOLD</x:v>
      </x:c>
      <x:c r="F443" s="26" t="str">
        <x:v>YES</x:v>
      </x:c>
      <x:c r="G443" s="26" t="str">
        <x:v>CENTRALIZED</x:v>
      </x:c>
      <x:c r="H443" s="26" t="str">
        <x:v>P-003</x:v>
      </x:c>
      <x:c r="I443" s="26" t="str">
        <x:v>Internal $1,000 reconciliation tolerance; reviewer approval required</x:v>
      </x:c>
      <x:c r="J443" s="26" t="str">
        <x:v>v0.21 baseline formula; v0.23 disposition</x:v>
      </x:c>
    </x:row>
    <x:row r="444">
      <x:c r="A444" s="26" t="str">
        <x:v>AB_OS_Project_Data_2024</x:v>
      </x:c>
      <x:c r="B444" s="26" t="str">
        <x:v>W78</x:v>
      </x:c>
      <x:c r="C444" s="26" t="str">
        <x:v>IF(T78="NET",Q78*U78/100,G78*U78/100)</x:v>
      </x:c>
      <x:c r="D444" s="26" t="str">
        <x:v>100, 100</x:v>
      </x:c>
      <x:c r="E444" s="26" t="str">
        <x:v>UNIT CONVERSION</x:v>
      </x:c>
      <x:c r="F444" s="26" t="str">
        <x:v>NO</x:v>
      </x:c>
      <x:c r="G444" s="26" t="str">
        <x:v>RETAIN LITERAL</x:v>
      </x:c>
      <x:c r="H444" s="26" t="str">
        <x:v>Percentage divisor</x:v>
      </x:c>
      <x:c r="I444" s="26" t="str">
        <x:v>Divides percentage points by 100</x:v>
      </x:c>
      <x:c r="J444" s="26" t="str">
        <x:v>v0.21 baseline formula; v0.23 disposition</x:v>
      </x:c>
    </x:row>
    <x:row r="445">
      <x:c r="A445" s="26" t="str">
        <x:v>AB_OS_Project_Data_2024</x:v>
      </x:c>
      <x:c r="B445" s="26" t="str">
        <x:v>AD78</x:v>
      </x:c>
      <x:c r="C445" s="26" t="str">
        <x:v>IF(ABS(H78)&lt;=1000,"PASS","REVIEW")</x:v>
      </x:c>
      <x:c r="D445" s="26" t="str">
        <x:v>1000</x:v>
      </x:c>
      <x:c r="E445" s="26" t="str">
        <x:v>VALIDATION THRESHOLD</x:v>
      </x:c>
      <x:c r="F445" s="26" t="str">
        <x:v>YES</x:v>
      </x:c>
      <x:c r="G445" s="26" t="str">
        <x:v>CENTRALIZED</x:v>
      </x:c>
      <x:c r="H445" s="26" t="str">
        <x:v>P-003</x:v>
      </x:c>
      <x:c r="I445" s="26" t="str">
        <x:v>Internal $1,000 reconciliation tolerance; reviewer approval required</x:v>
      </x:c>
      <x:c r="J445" s="26" t="str">
        <x:v>v0.21 baseline formula; v0.23 disposition</x:v>
      </x:c>
    </x:row>
    <x:row r="446">
      <x:c r="A446" s="26" t="str">
        <x:v>AB_OS_Project_Data_2024</x:v>
      </x:c>
      <x:c r="B446" s="26" t="str">
        <x:v>AE78</x:v>
      </x:c>
      <x:c r="C446" s="26" t="str">
        <x:v>IF(T78&lt;&gt;"NET","N/A",IF(ABS(S78)&lt;=1000,"PASS","REVIEW"))</x:v>
      </x:c>
      <x:c r="D446" s="26" t="str">
        <x:v>1000</x:v>
      </x:c>
      <x:c r="E446" s="26" t="str">
        <x:v>VALIDATION THRESHOLD</x:v>
      </x:c>
      <x:c r="F446" s="26" t="str">
        <x:v>YES</x:v>
      </x:c>
      <x:c r="G446" s="26" t="str">
        <x:v>CENTRALIZED</x:v>
      </x:c>
      <x:c r="H446" s="26" t="str">
        <x:v>P-003</x:v>
      </x:c>
      <x:c r="I446" s="26" t="str">
        <x:v>Internal $1,000 reconciliation tolerance; reviewer approval required</x:v>
      </x:c>
      <x:c r="J446" s="26" t="str">
        <x:v>v0.21 baseline formula; v0.23 disposition</x:v>
      </x:c>
    </x:row>
    <x:row r="447">
      <x:c r="A447" s="26" t="str">
        <x:v>AB_OS_Project_Data_2024</x:v>
      </x:c>
      <x:c r="B447" s="26" t="str">
        <x:v>AF78</x:v>
      </x:c>
      <x:c r="C447" s="26" t="str">
        <x:v>IF(ABS(X78)&lt;=1000,"WITHIN $1K","DISPLAY RATE / ADJUSTMENT")</x:v>
      </x:c>
      <x:c r="D447" s="26" t="str">
        <x:v>1000</x:v>
      </x:c>
      <x:c r="E447" s="26" t="str">
        <x:v>VALIDATION THRESHOLD</x:v>
      </x:c>
      <x:c r="F447" s="26" t="str">
        <x:v>YES</x:v>
      </x:c>
      <x:c r="G447" s="26" t="str">
        <x:v>CENTRALIZED</x:v>
      </x:c>
      <x:c r="H447" s="26" t="str">
        <x:v>P-003</x:v>
      </x:c>
      <x:c r="I447" s="26" t="str">
        <x:v>Internal $1,000 reconciliation tolerance; reviewer approval required</x:v>
      </x:c>
      <x:c r="J447" s="26" t="str">
        <x:v>v0.21 baseline formula; v0.23 disposition</x:v>
      </x:c>
    </x:row>
    <x:row r="448">
      <x:c r="A448" s="26" t="str">
        <x:v>AB_OS_Project_Data_2024</x:v>
      </x:c>
      <x:c r="B448" s="26" t="str">
        <x:v>W79</x:v>
      </x:c>
      <x:c r="C448" s="26" t="str">
        <x:v>IF(T79="NET",Q79*U79/100,G79*U79/100)</x:v>
      </x:c>
      <x:c r="D448" s="26" t="str">
        <x:v>100, 100</x:v>
      </x:c>
      <x:c r="E448" s="26" t="str">
        <x:v>UNIT CONVERSION</x:v>
      </x:c>
      <x:c r="F448" s="26" t="str">
        <x:v>NO</x:v>
      </x:c>
      <x:c r="G448" s="26" t="str">
        <x:v>RETAIN LITERAL</x:v>
      </x:c>
      <x:c r="H448" s="26" t="str">
        <x:v>Percentage divisor</x:v>
      </x:c>
      <x:c r="I448" s="26" t="str">
        <x:v>Divides percentage points by 100</x:v>
      </x:c>
      <x:c r="J448" s="26" t="str">
        <x:v>v0.21 baseline formula; v0.23 disposition</x:v>
      </x:c>
    </x:row>
    <x:row r="449">
      <x:c r="A449" s="26" t="str">
        <x:v>AB_OS_Project_Data_2024</x:v>
      </x:c>
      <x:c r="B449" s="26" t="str">
        <x:v>AD79</x:v>
      </x:c>
      <x:c r="C449" s="26" t="str">
        <x:v>IF(ABS(H79)&lt;=1000,"PASS","REVIEW")</x:v>
      </x:c>
      <x:c r="D449" s="26" t="str">
        <x:v>1000</x:v>
      </x:c>
      <x:c r="E449" s="26" t="str">
        <x:v>VALIDATION THRESHOLD</x:v>
      </x:c>
      <x:c r="F449" s="26" t="str">
        <x:v>YES</x:v>
      </x:c>
      <x:c r="G449" s="26" t="str">
        <x:v>CENTRALIZED</x:v>
      </x:c>
      <x:c r="H449" s="26" t="str">
        <x:v>P-003</x:v>
      </x:c>
      <x:c r="I449" s="26" t="str">
        <x:v>Internal $1,000 reconciliation tolerance; reviewer approval required</x:v>
      </x:c>
      <x:c r="J449" s="26" t="str">
        <x:v>v0.21 baseline formula; v0.23 disposition</x:v>
      </x:c>
    </x:row>
    <x:row r="450">
      <x:c r="A450" s="26" t="str">
        <x:v>AB_OS_Project_Data_2024</x:v>
      </x:c>
      <x:c r="B450" s="26" t="str">
        <x:v>AE79</x:v>
      </x:c>
      <x:c r="C450" s="26" t="str">
        <x:v>IF(T79&lt;&gt;"NET","N/A",IF(ABS(S79)&lt;=1000,"PASS","REVIEW"))</x:v>
      </x:c>
      <x:c r="D450" s="26" t="str">
        <x:v>1000</x:v>
      </x:c>
      <x:c r="E450" s="26" t="str">
        <x:v>VALIDATION THRESHOLD</x:v>
      </x:c>
      <x:c r="F450" s="26" t="str">
        <x:v>YES</x:v>
      </x:c>
      <x:c r="G450" s="26" t="str">
        <x:v>CENTRALIZED</x:v>
      </x:c>
      <x:c r="H450" s="26" t="str">
        <x:v>P-003</x:v>
      </x:c>
      <x:c r="I450" s="26" t="str">
        <x:v>Internal $1,000 reconciliation tolerance; reviewer approval required</x:v>
      </x:c>
      <x:c r="J450" s="26" t="str">
        <x:v>v0.21 baseline formula; v0.23 disposition</x:v>
      </x:c>
    </x:row>
    <x:row r="451">
      <x:c r="A451" s="26" t="str">
        <x:v>AB_OS_Project_Data_2024</x:v>
      </x:c>
      <x:c r="B451" s="26" t="str">
        <x:v>AF79</x:v>
      </x:c>
      <x:c r="C451" s="26" t="str">
        <x:v>IF(ABS(X79)&lt;=1000,"WITHIN $1K","DISPLAY RATE / ADJUSTMENT")</x:v>
      </x:c>
      <x:c r="D451" s="26" t="str">
        <x:v>1000</x:v>
      </x:c>
      <x:c r="E451" s="26" t="str">
        <x:v>VALIDATION THRESHOLD</x:v>
      </x:c>
      <x:c r="F451" s="26" t="str">
        <x:v>YES</x:v>
      </x:c>
      <x:c r="G451" s="26" t="str">
        <x:v>CENTRALIZED</x:v>
      </x:c>
      <x:c r="H451" s="26" t="str">
        <x:v>P-003</x:v>
      </x:c>
      <x:c r="I451" s="26" t="str">
        <x:v>Internal $1,000 reconciliation tolerance; reviewer approval required</x:v>
      </x:c>
      <x:c r="J451" s="26" t="str">
        <x:v>v0.21 baseline formula; v0.23 disposition</x:v>
      </x:c>
    </x:row>
    <x:row r="452">
      <x:c r="A452" s="26" t="str">
        <x:v>AB_OS_Project_Data_2024</x:v>
      </x:c>
      <x:c r="B452" s="26" t="str">
        <x:v>W80</x:v>
      </x:c>
      <x:c r="C452" s="26" t="str">
        <x:v>IF(T80="NET",Q80*U80/100,G80*U80/100)</x:v>
      </x:c>
      <x:c r="D452" s="26" t="str">
        <x:v>100, 100</x:v>
      </x:c>
      <x:c r="E452" s="26" t="str">
        <x:v>UNIT CONVERSION</x:v>
      </x:c>
      <x:c r="F452" s="26" t="str">
        <x:v>NO</x:v>
      </x:c>
      <x:c r="G452" s="26" t="str">
        <x:v>RETAIN LITERAL</x:v>
      </x:c>
      <x:c r="H452" s="26" t="str">
        <x:v>Percentage divisor</x:v>
      </x:c>
      <x:c r="I452" s="26" t="str">
        <x:v>Divides percentage points by 100</x:v>
      </x:c>
      <x:c r="J452" s="26" t="str">
        <x:v>v0.21 baseline formula; v0.23 disposition</x:v>
      </x:c>
    </x:row>
    <x:row r="453">
      <x:c r="A453" s="26" t="str">
        <x:v>AB_OS_Project_Data_2024</x:v>
      </x:c>
      <x:c r="B453" s="26" t="str">
        <x:v>AD80</x:v>
      </x:c>
      <x:c r="C453" s="26" t="str">
        <x:v>IF(ABS(H80)&lt;=1000,"PASS","REVIEW")</x:v>
      </x:c>
      <x:c r="D453" s="26" t="str">
        <x:v>1000</x:v>
      </x:c>
      <x:c r="E453" s="26" t="str">
        <x:v>VALIDATION THRESHOLD</x:v>
      </x:c>
      <x:c r="F453" s="26" t="str">
        <x:v>YES</x:v>
      </x:c>
      <x:c r="G453" s="26" t="str">
        <x:v>CENTRALIZED</x:v>
      </x:c>
      <x:c r="H453" s="26" t="str">
        <x:v>P-003</x:v>
      </x:c>
      <x:c r="I453" s="26" t="str">
        <x:v>Internal $1,000 reconciliation tolerance; reviewer approval required</x:v>
      </x:c>
      <x:c r="J453" s="26" t="str">
        <x:v>v0.21 baseline formula; v0.23 disposition</x:v>
      </x:c>
    </x:row>
    <x:row r="454">
      <x:c r="A454" s="26" t="str">
        <x:v>AB_OS_Project_Data_2024</x:v>
      </x:c>
      <x:c r="B454" s="26" t="str">
        <x:v>AE80</x:v>
      </x:c>
      <x:c r="C454" s="26" t="str">
        <x:v>IF(T80&lt;&gt;"NET","N/A",IF(ABS(S80)&lt;=1000,"PASS","REVIEW"))</x:v>
      </x:c>
      <x:c r="D454" s="26" t="str">
        <x:v>1000</x:v>
      </x:c>
      <x:c r="E454" s="26" t="str">
        <x:v>VALIDATION THRESHOLD</x:v>
      </x:c>
      <x:c r="F454" s="26" t="str">
        <x:v>YES</x:v>
      </x:c>
      <x:c r="G454" s="26" t="str">
        <x:v>CENTRALIZED</x:v>
      </x:c>
      <x:c r="H454" s="26" t="str">
        <x:v>P-003</x:v>
      </x:c>
      <x:c r="I454" s="26" t="str">
        <x:v>Internal $1,000 reconciliation tolerance; reviewer approval required</x:v>
      </x:c>
      <x:c r="J454" s="26" t="str">
        <x:v>v0.21 baseline formula; v0.23 disposition</x:v>
      </x:c>
    </x:row>
    <x:row r="455">
      <x:c r="A455" s="26" t="str">
        <x:v>AB_OS_Project_Data_2024</x:v>
      </x:c>
      <x:c r="B455" s="26" t="str">
        <x:v>AF80</x:v>
      </x:c>
      <x:c r="C455" s="26" t="str">
        <x:v>IF(ABS(X80)&lt;=1000,"WITHIN $1K","DISPLAY RATE / ADJUSTMENT")</x:v>
      </x:c>
      <x:c r="D455" s="26" t="str">
        <x:v>1000</x:v>
      </x:c>
      <x:c r="E455" s="26" t="str">
        <x:v>VALIDATION THRESHOLD</x:v>
      </x:c>
      <x:c r="F455" s="26" t="str">
        <x:v>YES</x:v>
      </x:c>
      <x:c r="G455" s="26" t="str">
        <x:v>CENTRALIZED</x:v>
      </x:c>
      <x:c r="H455" s="26" t="str">
        <x:v>P-003</x:v>
      </x:c>
      <x:c r="I455" s="26" t="str">
        <x:v>Internal $1,000 reconciliation tolerance; reviewer approval required</x:v>
      </x:c>
      <x:c r="J455" s="26" t="str">
        <x:v>v0.21 baseline formula; v0.23 disposition</x:v>
      </x:c>
    </x:row>
    <x:row r="456">
      <x:c r="A456" s="26" t="str">
        <x:v>AB_OS_Project_Data_2024</x:v>
      </x:c>
      <x:c r="B456" s="26" t="str">
        <x:v>W81</x:v>
      </x:c>
      <x:c r="C456" s="26" t="str">
        <x:v>IF(T81="NET",Q81*U81/100,G81*U81/100)</x:v>
      </x:c>
      <x:c r="D456" s="26" t="str">
        <x:v>100, 100</x:v>
      </x:c>
      <x:c r="E456" s="26" t="str">
        <x:v>UNIT CONVERSION</x:v>
      </x:c>
      <x:c r="F456" s="26" t="str">
        <x:v>NO</x:v>
      </x:c>
      <x:c r="G456" s="26" t="str">
        <x:v>RETAIN LITERAL</x:v>
      </x:c>
      <x:c r="H456" s="26" t="str">
        <x:v>Percentage divisor</x:v>
      </x:c>
      <x:c r="I456" s="26" t="str">
        <x:v>Divides percentage points by 100</x:v>
      </x:c>
      <x:c r="J456" s="26" t="str">
        <x:v>v0.21 baseline formula; v0.23 disposition</x:v>
      </x:c>
    </x:row>
    <x:row r="457">
      <x:c r="A457" s="26" t="str">
        <x:v>AB_OS_Project_Data_2024</x:v>
      </x:c>
      <x:c r="B457" s="26" t="str">
        <x:v>AD81</x:v>
      </x:c>
      <x:c r="C457" s="26" t="str">
        <x:v>IF(ABS(H81)&lt;=1000,"PASS","REVIEW")</x:v>
      </x:c>
      <x:c r="D457" s="26" t="str">
        <x:v>1000</x:v>
      </x:c>
      <x:c r="E457" s="26" t="str">
        <x:v>VALIDATION THRESHOLD</x:v>
      </x:c>
      <x:c r="F457" s="26" t="str">
        <x:v>YES</x:v>
      </x:c>
      <x:c r="G457" s="26" t="str">
        <x:v>CENTRALIZED</x:v>
      </x:c>
      <x:c r="H457" s="26" t="str">
        <x:v>P-003</x:v>
      </x:c>
      <x:c r="I457" s="26" t="str">
        <x:v>Internal $1,000 reconciliation tolerance; reviewer approval required</x:v>
      </x:c>
      <x:c r="J457" s="26" t="str">
        <x:v>v0.21 baseline formula; v0.23 disposition</x:v>
      </x:c>
    </x:row>
    <x:row r="458">
      <x:c r="A458" s="26" t="str">
        <x:v>AB_OS_Project_Data_2024</x:v>
      </x:c>
      <x:c r="B458" s="26" t="str">
        <x:v>AE81</x:v>
      </x:c>
      <x:c r="C458" s="26" t="str">
        <x:v>IF(T81&lt;&gt;"NET","N/A",IF(ABS(S81)&lt;=1000,"PASS","REVIEW"))</x:v>
      </x:c>
      <x:c r="D458" s="26" t="str">
        <x:v>1000</x:v>
      </x:c>
      <x:c r="E458" s="26" t="str">
        <x:v>VALIDATION THRESHOLD</x:v>
      </x:c>
      <x:c r="F458" s="26" t="str">
        <x:v>YES</x:v>
      </x:c>
      <x:c r="G458" s="26" t="str">
        <x:v>CENTRALIZED</x:v>
      </x:c>
      <x:c r="H458" s="26" t="str">
        <x:v>P-003</x:v>
      </x:c>
      <x:c r="I458" s="26" t="str">
        <x:v>Internal $1,000 reconciliation tolerance; reviewer approval required</x:v>
      </x:c>
      <x:c r="J458" s="26" t="str">
        <x:v>v0.21 baseline formula; v0.23 disposition</x:v>
      </x:c>
    </x:row>
    <x:row r="459">
      <x:c r="A459" s="26" t="str">
        <x:v>AB_OS_Project_Data_2024</x:v>
      </x:c>
      <x:c r="B459" s="26" t="str">
        <x:v>AF81</x:v>
      </x:c>
      <x:c r="C459" s="26" t="str">
        <x:v>IF(ABS(X81)&lt;=1000,"WITHIN $1K","DISPLAY RATE / ADJUSTMENT")</x:v>
      </x:c>
      <x:c r="D459" s="26" t="str">
        <x:v>1000</x:v>
      </x:c>
      <x:c r="E459" s="26" t="str">
        <x:v>VALIDATION THRESHOLD</x:v>
      </x:c>
      <x:c r="F459" s="26" t="str">
        <x:v>YES</x:v>
      </x:c>
      <x:c r="G459" s="26" t="str">
        <x:v>CENTRALIZED</x:v>
      </x:c>
      <x:c r="H459" s="26" t="str">
        <x:v>P-003</x:v>
      </x:c>
      <x:c r="I459" s="26" t="str">
        <x:v>Internal $1,000 reconciliation tolerance; reviewer approval required</x:v>
      </x:c>
      <x:c r="J459" s="26" t="str">
        <x:v>v0.21 baseline formula; v0.23 disposition</x:v>
      </x:c>
    </x:row>
    <x:row r="460">
      <x:c r="A460" s="26" t="str">
        <x:v>AB_OS_Project_Data_2024</x:v>
      </x:c>
      <x:c r="B460" s="26" t="str">
        <x:v>W82</x:v>
      </x:c>
      <x:c r="C460" s="26" t="str">
        <x:v>IF(T82="NET",Q82*U82/100,G82*U82/100)</x:v>
      </x:c>
      <x:c r="D460" s="26" t="str">
        <x:v>100, 100</x:v>
      </x:c>
      <x:c r="E460" s="26" t="str">
        <x:v>UNIT CONVERSION</x:v>
      </x:c>
      <x:c r="F460" s="26" t="str">
        <x:v>NO</x:v>
      </x:c>
      <x:c r="G460" s="26" t="str">
        <x:v>RETAIN LITERAL</x:v>
      </x:c>
      <x:c r="H460" s="26" t="str">
        <x:v>Percentage divisor</x:v>
      </x:c>
      <x:c r="I460" s="26" t="str">
        <x:v>Divides percentage points by 100</x:v>
      </x:c>
      <x:c r="J460" s="26" t="str">
        <x:v>v0.21 baseline formula; v0.23 disposition</x:v>
      </x:c>
    </x:row>
    <x:row r="461">
      <x:c r="A461" s="26" t="str">
        <x:v>AB_OS_Project_Data_2024</x:v>
      </x:c>
      <x:c r="B461" s="26" t="str">
        <x:v>AD82</x:v>
      </x:c>
      <x:c r="C461" s="26" t="str">
        <x:v>IF(ABS(H82)&lt;=1000,"PASS","REVIEW")</x:v>
      </x:c>
      <x:c r="D461" s="26" t="str">
        <x:v>1000</x:v>
      </x:c>
      <x:c r="E461" s="26" t="str">
        <x:v>VALIDATION THRESHOLD</x:v>
      </x:c>
      <x:c r="F461" s="26" t="str">
        <x:v>YES</x:v>
      </x:c>
      <x:c r="G461" s="26" t="str">
        <x:v>CENTRALIZED</x:v>
      </x:c>
      <x:c r="H461" s="26" t="str">
        <x:v>P-003</x:v>
      </x:c>
      <x:c r="I461" s="26" t="str">
        <x:v>Internal $1,000 reconciliation tolerance; reviewer approval required</x:v>
      </x:c>
      <x:c r="J461" s="26" t="str">
        <x:v>v0.21 baseline formula; v0.23 disposition</x:v>
      </x:c>
    </x:row>
    <x:row r="462">
      <x:c r="A462" s="26" t="str">
        <x:v>AB_OS_Project_Data_2024</x:v>
      </x:c>
      <x:c r="B462" s="26" t="str">
        <x:v>AE82</x:v>
      </x:c>
      <x:c r="C462" s="26" t="str">
        <x:v>IF(T82&lt;&gt;"NET","N/A",IF(ABS(S82)&lt;=1000,"PASS","REVIEW"))</x:v>
      </x:c>
      <x:c r="D462" s="26" t="str">
        <x:v>1000</x:v>
      </x:c>
      <x:c r="E462" s="26" t="str">
        <x:v>VALIDATION THRESHOLD</x:v>
      </x:c>
      <x:c r="F462" s="26" t="str">
        <x:v>YES</x:v>
      </x:c>
      <x:c r="G462" s="26" t="str">
        <x:v>CENTRALIZED</x:v>
      </x:c>
      <x:c r="H462" s="26" t="str">
        <x:v>P-003</x:v>
      </x:c>
      <x:c r="I462" s="26" t="str">
        <x:v>Internal $1,000 reconciliation tolerance; reviewer approval required</x:v>
      </x:c>
      <x:c r="J462" s="26" t="str">
        <x:v>v0.21 baseline formula; v0.23 disposition</x:v>
      </x:c>
    </x:row>
    <x:row r="463">
      <x:c r="A463" s="26" t="str">
        <x:v>AB_OS_Project_Data_2024</x:v>
      </x:c>
      <x:c r="B463" s="26" t="str">
        <x:v>AF82</x:v>
      </x:c>
      <x:c r="C463" s="26" t="str">
        <x:v>IF(ABS(X82)&lt;=1000,"WITHIN $1K","DISPLAY RATE / ADJUSTMENT")</x:v>
      </x:c>
      <x:c r="D463" s="26" t="str">
        <x:v>1000</x:v>
      </x:c>
      <x:c r="E463" s="26" t="str">
        <x:v>VALIDATION THRESHOLD</x:v>
      </x:c>
      <x:c r="F463" s="26" t="str">
        <x:v>YES</x:v>
      </x:c>
      <x:c r="G463" s="26" t="str">
        <x:v>CENTRALIZED</x:v>
      </x:c>
      <x:c r="H463" s="26" t="str">
        <x:v>P-003</x:v>
      </x:c>
      <x:c r="I463" s="26" t="str">
        <x:v>Internal $1,000 reconciliation tolerance; reviewer approval required</x:v>
      </x:c>
      <x:c r="J463" s="26" t="str">
        <x:v>v0.21 baseline formula; v0.23 disposition</x:v>
      </x:c>
    </x:row>
    <x:row r="464">
      <x:c r="A464" s="26" t="str">
        <x:v>AB_OS_Project_Data_2024</x:v>
      </x:c>
      <x:c r="B464" s="26" t="str">
        <x:v>W83</x:v>
      </x:c>
      <x:c r="C464" s="26" t="str">
        <x:v>IF(T83="NET",Q83*U83/100,G83*U83/100)</x:v>
      </x:c>
      <x:c r="D464" s="26" t="str">
        <x:v>100, 100</x:v>
      </x:c>
      <x:c r="E464" s="26" t="str">
        <x:v>UNIT CONVERSION</x:v>
      </x:c>
      <x:c r="F464" s="26" t="str">
        <x:v>NO</x:v>
      </x:c>
      <x:c r="G464" s="26" t="str">
        <x:v>RETAIN LITERAL</x:v>
      </x:c>
      <x:c r="H464" s="26" t="str">
        <x:v>Percentage divisor</x:v>
      </x:c>
      <x:c r="I464" s="26" t="str">
        <x:v>Divides percentage points by 100</x:v>
      </x:c>
      <x:c r="J464" s="26" t="str">
        <x:v>v0.21 baseline formula; v0.23 disposition</x:v>
      </x:c>
    </x:row>
    <x:row r="465">
      <x:c r="A465" s="26" t="str">
        <x:v>AB_OS_Project_Data_2024</x:v>
      </x:c>
      <x:c r="B465" s="26" t="str">
        <x:v>AD83</x:v>
      </x:c>
      <x:c r="C465" s="26" t="str">
        <x:v>IF(ABS(H83)&lt;=1000,"PASS","REVIEW")</x:v>
      </x:c>
      <x:c r="D465" s="26" t="str">
        <x:v>1000</x:v>
      </x:c>
      <x:c r="E465" s="26" t="str">
        <x:v>VALIDATION THRESHOLD</x:v>
      </x:c>
      <x:c r="F465" s="26" t="str">
        <x:v>YES</x:v>
      </x:c>
      <x:c r="G465" s="26" t="str">
        <x:v>CENTRALIZED</x:v>
      </x:c>
      <x:c r="H465" s="26" t="str">
        <x:v>P-003</x:v>
      </x:c>
      <x:c r="I465" s="26" t="str">
        <x:v>Internal $1,000 reconciliation tolerance; reviewer approval required</x:v>
      </x:c>
      <x:c r="J465" s="26" t="str">
        <x:v>v0.21 baseline formula; v0.23 disposition</x:v>
      </x:c>
    </x:row>
    <x:row r="466">
      <x:c r="A466" s="26" t="str">
        <x:v>AB_OS_Project_Data_2024</x:v>
      </x:c>
      <x:c r="B466" s="26" t="str">
        <x:v>AE83</x:v>
      </x:c>
      <x:c r="C466" s="26" t="str">
        <x:v>IF(T83&lt;&gt;"NET","N/A",IF(ABS(S83)&lt;=1000,"PASS","REVIEW"))</x:v>
      </x:c>
      <x:c r="D466" s="26" t="str">
        <x:v>1000</x:v>
      </x:c>
      <x:c r="E466" s="26" t="str">
        <x:v>VALIDATION THRESHOLD</x:v>
      </x:c>
      <x:c r="F466" s="26" t="str">
        <x:v>YES</x:v>
      </x:c>
      <x:c r="G466" s="26" t="str">
        <x:v>CENTRALIZED</x:v>
      </x:c>
      <x:c r="H466" s="26" t="str">
        <x:v>P-003</x:v>
      </x:c>
      <x:c r="I466" s="26" t="str">
        <x:v>Internal $1,000 reconciliation tolerance; reviewer approval required</x:v>
      </x:c>
      <x:c r="J466" s="26" t="str">
        <x:v>v0.21 baseline formula; v0.23 disposition</x:v>
      </x:c>
    </x:row>
    <x:row r="467">
      <x:c r="A467" s="26" t="str">
        <x:v>AB_OS_Project_Data_2024</x:v>
      </x:c>
      <x:c r="B467" s="26" t="str">
        <x:v>AF83</x:v>
      </x:c>
      <x:c r="C467" s="26" t="str">
        <x:v>IF(ABS(X83)&lt;=1000,"WITHIN $1K","DISPLAY RATE / ADJUSTMENT")</x:v>
      </x:c>
      <x:c r="D467" s="26" t="str">
        <x:v>1000</x:v>
      </x:c>
      <x:c r="E467" s="26" t="str">
        <x:v>VALIDATION THRESHOLD</x:v>
      </x:c>
      <x:c r="F467" s="26" t="str">
        <x:v>YES</x:v>
      </x:c>
      <x:c r="G467" s="26" t="str">
        <x:v>CENTRALIZED</x:v>
      </x:c>
      <x:c r="H467" s="26" t="str">
        <x:v>P-003</x:v>
      </x:c>
      <x:c r="I467" s="26" t="str">
        <x:v>Internal $1,000 reconciliation tolerance; reviewer approval required</x:v>
      </x:c>
      <x:c r="J467" s="26" t="str">
        <x:v>v0.21 baseline formula; v0.23 disposition</x:v>
      </x:c>
    </x:row>
    <x:row r="468">
      <x:c r="A468" s="26" t="str">
        <x:v>AB_OS_Project_Data_2024</x:v>
      </x:c>
      <x:c r="B468" s="26" t="str">
        <x:v>W84</x:v>
      </x:c>
      <x:c r="C468" s="26" t="str">
        <x:v>IF(T84="NET",Q84*U84/100,G84*U84/100)</x:v>
      </x:c>
      <x:c r="D468" s="26" t="str">
        <x:v>100, 100</x:v>
      </x:c>
      <x:c r="E468" s="26" t="str">
        <x:v>UNIT CONVERSION</x:v>
      </x:c>
      <x:c r="F468" s="26" t="str">
        <x:v>NO</x:v>
      </x:c>
      <x:c r="G468" s="26" t="str">
        <x:v>RETAIN LITERAL</x:v>
      </x:c>
      <x:c r="H468" s="26" t="str">
        <x:v>Percentage divisor</x:v>
      </x:c>
      <x:c r="I468" s="26" t="str">
        <x:v>Divides percentage points by 100</x:v>
      </x:c>
      <x:c r="J468" s="26" t="str">
        <x:v>v0.21 baseline formula; v0.23 disposition</x:v>
      </x:c>
    </x:row>
    <x:row r="469">
      <x:c r="A469" s="26" t="str">
        <x:v>AB_OS_Project_Data_2024</x:v>
      </x:c>
      <x:c r="B469" s="26" t="str">
        <x:v>AD84</x:v>
      </x:c>
      <x:c r="C469" s="26" t="str">
        <x:v>IF(ABS(H84)&lt;=1000,"PASS","REVIEW")</x:v>
      </x:c>
      <x:c r="D469" s="26" t="str">
        <x:v>1000</x:v>
      </x:c>
      <x:c r="E469" s="26" t="str">
        <x:v>VALIDATION THRESHOLD</x:v>
      </x:c>
      <x:c r="F469" s="26" t="str">
        <x:v>YES</x:v>
      </x:c>
      <x:c r="G469" s="26" t="str">
        <x:v>CENTRALIZED</x:v>
      </x:c>
      <x:c r="H469" s="26" t="str">
        <x:v>P-003</x:v>
      </x:c>
      <x:c r="I469" s="26" t="str">
        <x:v>Internal $1,000 reconciliation tolerance; reviewer approval required</x:v>
      </x:c>
      <x:c r="J469" s="26" t="str">
        <x:v>v0.21 baseline formula; v0.23 disposition</x:v>
      </x:c>
    </x:row>
    <x:row r="470">
      <x:c r="A470" s="26" t="str">
        <x:v>AB_OS_Project_Data_2024</x:v>
      </x:c>
      <x:c r="B470" s="26" t="str">
        <x:v>AE84</x:v>
      </x:c>
      <x:c r="C470" s="26" t="str">
        <x:v>IF(T84&lt;&gt;"NET","N/A",IF(ABS(S84)&lt;=1000,"PASS","REVIEW"))</x:v>
      </x:c>
      <x:c r="D470" s="26" t="str">
        <x:v>1000</x:v>
      </x:c>
      <x:c r="E470" s="26" t="str">
        <x:v>VALIDATION THRESHOLD</x:v>
      </x:c>
      <x:c r="F470" s="26" t="str">
        <x:v>YES</x:v>
      </x:c>
      <x:c r="G470" s="26" t="str">
        <x:v>CENTRALIZED</x:v>
      </x:c>
      <x:c r="H470" s="26" t="str">
        <x:v>P-003</x:v>
      </x:c>
      <x:c r="I470" s="26" t="str">
        <x:v>Internal $1,000 reconciliation tolerance; reviewer approval required</x:v>
      </x:c>
      <x:c r="J470" s="26" t="str">
        <x:v>v0.21 baseline formula; v0.23 disposition</x:v>
      </x:c>
    </x:row>
    <x:row r="471">
      <x:c r="A471" s="26" t="str">
        <x:v>AB_OS_Project_Data_2024</x:v>
      </x:c>
      <x:c r="B471" s="26" t="str">
        <x:v>AF84</x:v>
      </x:c>
      <x:c r="C471" s="26" t="str">
        <x:v>IF(ABS(X84)&lt;=1000,"WITHIN $1K","DISPLAY RATE / ADJUSTMENT")</x:v>
      </x:c>
      <x:c r="D471" s="26" t="str">
        <x:v>1000</x:v>
      </x:c>
      <x:c r="E471" s="26" t="str">
        <x:v>VALIDATION THRESHOLD</x:v>
      </x:c>
      <x:c r="F471" s="26" t="str">
        <x:v>YES</x:v>
      </x:c>
      <x:c r="G471" s="26" t="str">
        <x:v>CENTRALIZED</x:v>
      </x:c>
      <x:c r="H471" s="26" t="str">
        <x:v>P-003</x:v>
      </x:c>
      <x:c r="I471" s="26" t="str">
        <x:v>Internal $1,000 reconciliation tolerance; reviewer approval required</x:v>
      </x:c>
      <x:c r="J471" s="26" t="str">
        <x:v>v0.21 baseline formula; v0.23 disposition</x:v>
      </x:c>
    </x:row>
    <x:row r="472">
      <x:c r="A472" s="26" t="str">
        <x:v>AB_OS_Project_Data_2024</x:v>
      </x:c>
      <x:c r="B472" s="26" t="str">
        <x:v>W85</x:v>
      </x:c>
      <x:c r="C472" s="26" t="str">
        <x:v>IF(T85="NET",Q85*U85/100,G85*U85/100)</x:v>
      </x:c>
      <x:c r="D472" s="26" t="str">
        <x:v>100, 100</x:v>
      </x:c>
      <x:c r="E472" s="26" t="str">
        <x:v>UNIT CONVERSION</x:v>
      </x:c>
      <x:c r="F472" s="26" t="str">
        <x:v>NO</x:v>
      </x:c>
      <x:c r="G472" s="26" t="str">
        <x:v>RETAIN LITERAL</x:v>
      </x:c>
      <x:c r="H472" s="26" t="str">
        <x:v>Percentage divisor</x:v>
      </x:c>
      <x:c r="I472" s="26" t="str">
        <x:v>Divides percentage points by 100</x:v>
      </x:c>
      <x:c r="J472" s="26" t="str">
        <x:v>v0.21 baseline formula; v0.23 disposition</x:v>
      </x:c>
    </x:row>
    <x:row r="473">
      <x:c r="A473" s="26" t="str">
        <x:v>AB_OS_Project_Data_2024</x:v>
      </x:c>
      <x:c r="B473" s="26" t="str">
        <x:v>AD85</x:v>
      </x:c>
      <x:c r="C473" s="26" t="str">
        <x:v>IF(ABS(H85)&lt;=1000,"PASS","REVIEW")</x:v>
      </x:c>
      <x:c r="D473" s="26" t="str">
        <x:v>1000</x:v>
      </x:c>
      <x:c r="E473" s="26" t="str">
        <x:v>VALIDATION THRESHOLD</x:v>
      </x:c>
      <x:c r="F473" s="26" t="str">
        <x:v>YES</x:v>
      </x:c>
      <x:c r="G473" s="26" t="str">
        <x:v>CENTRALIZED</x:v>
      </x:c>
      <x:c r="H473" s="26" t="str">
        <x:v>P-003</x:v>
      </x:c>
      <x:c r="I473" s="26" t="str">
        <x:v>Internal $1,000 reconciliation tolerance; reviewer approval required</x:v>
      </x:c>
      <x:c r="J473" s="26" t="str">
        <x:v>v0.21 baseline formula; v0.23 disposition</x:v>
      </x:c>
    </x:row>
    <x:row r="474">
      <x:c r="A474" s="26" t="str">
        <x:v>AB_OS_Project_Data_2024</x:v>
      </x:c>
      <x:c r="B474" s="26" t="str">
        <x:v>AE85</x:v>
      </x:c>
      <x:c r="C474" s="26" t="str">
        <x:v>IF(T85&lt;&gt;"NET","N/A",IF(ABS(S85)&lt;=1000,"PASS","REVIEW"))</x:v>
      </x:c>
      <x:c r="D474" s="26" t="str">
        <x:v>1000</x:v>
      </x:c>
      <x:c r="E474" s="26" t="str">
        <x:v>VALIDATION THRESHOLD</x:v>
      </x:c>
      <x:c r="F474" s="26" t="str">
        <x:v>YES</x:v>
      </x:c>
      <x:c r="G474" s="26" t="str">
        <x:v>CENTRALIZED</x:v>
      </x:c>
      <x:c r="H474" s="26" t="str">
        <x:v>P-003</x:v>
      </x:c>
      <x:c r="I474" s="26" t="str">
        <x:v>Internal $1,000 reconciliation tolerance; reviewer approval required</x:v>
      </x:c>
      <x:c r="J474" s="26" t="str">
        <x:v>v0.21 baseline formula; v0.23 disposition</x:v>
      </x:c>
    </x:row>
    <x:row r="475">
      <x:c r="A475" s="26" t="str">
        <x:v>AB_OS_Project_Data_2024</x:v>
      </x:c>
      <x:c r="B475" s="26" t="str">
        <x:v>AF85</x:v>
      </x:c>
      <x:c r="C475" s="26" t="str">
        <x:v>IF(ABS(X85)&lt;=1000,"WITHIN $1K","DISPLAY RATE / ADJUSTMENT")</x:v>
      </x:c>
      <x:c r="D475" s="26" t="str">
        <x:v>1000</x:v>
      </x:c>
      <x:c r="E475" s="26" t="str">
        <x:v>VALIDATION THRESHOLD</x:v>
      </x:c>
      <x:c r="F475" s="26" t="str">
        <x:v>YES</x:v>
      </x:c>
      <x:c r="G475" s="26" t="str">
        <x:v>CENTRALIZED</x:v>
      </x:c>
      <x:c r="H475" s="26" t="str">
        <x:v>P-003</x:v>
      </x:c>
      <x:c r="I475" s="26" t="str">
        <x:v>Internal $1,000 reconciliation tolerance; reviewer approval required</x:v>
      </x:c>
      <x:c r="J475" s="26" t="str">
        <x:v>v0.21 baseline formula; v0.23 disposition</x:v>
      </x:c>
    </x:row>
    <x:row r="476">
      <x:c r="A476" s="26" t="str">
        <x:v>AB_OS_Project_Data_2024</x:v>
      </x:c>
      <x:c r="B476" s="26" t="str">
        <x:v>W86</x:v>
      </x:c>
      <x:c r="C476" s="26" t="str">
        <x:v>IF(T86="NET",Q86*U86/100,G86*U86/100)</x:v>
      </x:c>
      <x:c r="D476" s="26" t="str">
        <x:v>100, 100</x:v>
      </x:c>
      <x:c r="E476" s="26" t="str">
        <x:v>UNIT CONVERSION</x:v>
      </x:c>
      <x:c r="F476" s="26" t="str">
        <x:v>NO</x:v>
      </x:c>
      <x:c r="G476" s="26" t="str">
        <x:v>RETAIN LITERAL</x:v>
      </x:c>
      <x:c r="H476" s="26" t="str">
        <x:v>Percentage divisor</x:v>
      </x:c>
      <x:c r="I476" s="26" t="str">
        <x:v>Divides percentage points by 100</x:v>
      </x:c>
      <x:c r="J476" s="26" t="str">
        <x:v>v0.21 baseline formula; v0.23 disposition</x:v>
      </x:c>
    </x:row>
    <x:row r="477">
      <x:c r="A477" s="26" t="str">
        <x:v>AB_OS_Project_Data_2024</x:v>
      </x:c>
      <x:c r="B477" s="26" t="str">
        <x:v>AD86</x:v>
      </x:c>
      <x:c r="C477" s="26" t="str">
        <x:v>IF(ABS(H86)&lt;=1000,"PASS","REVIEW")</x:v>
      </x:c>
      <x:c r="D477" s="26" t="str">
        <x:v>1000</x:v>
      </x:c>
      <x:c r="E477" s="26" t="str">
        <x:v>VALIDATION THRESHOLD</x:v>
      </x:c>
      <x:c r="F477" s="26" t="str">
        <x:v>YES</x:v>
      </x:c>
      <x:c r="G477" s="26" t="str">
        <x:v>CENTRALIZED</x:v>
      </x:c>
      <x:c r="H477" s="26" t="str">
        <x:v>P-003</x:v>
      </x:c>
      <x:c r="I477" s="26" t="str">
        <x:v>Internal $1,000 reconciliation tolerance; reviewer approval required</x:v>
      </x:c>
      <x:c r="J477" s="26" t="str">
        <x:v>v0.21 baseline formula; v0.23 disposition</x:v>
      </x:c>
    </x:row>
    <x:row r="478">
      <x:c r="A478" s="26" t="str">
        <x:v>AB_OS_Project_Data_2024</x:v>
      </x:c>
      <x:c r="B478" s="26" t="str">
        <x:v>AE86</x:v>
      </x:c>
      <x:c r="C478" s="26" t="str">
        <x:v>IF(T86&lt;&gt;"NET","N/A",IF(ABS(S86)&lt;=1000,"PASS","REVIEW"))</x:v>
      </x:c>
      <x:c r="D478" s="26" t="str">
        <x:v>1000</x:v>
      </x:c>
      <x:c r="E478" s="26" t="str">
        <x:v>VALIDATION THRESHOLD</x:v>
      </x:c>
      <x:c r="F478" s="26" t="str">
        <x:v>YES</x:v>
      </x:c>
      <x:c r="G478" s="26" t="str">
        <x:v>CENTRALIZED</x:v>
      </x:c>
      <x:c r="H478" s="26" t="str">
        <x:v>P-003</x:v>
      </x:c>
      <x:c r="I478" s="26" t="str">
        <x:v>Internal $1,000 reconciliation tolerance; reviewer approval required</x:v>
      </x:c>
      <x:c r="J478" s="26" t="str">
        <x:v>v0.21 baseline formula; v0.23 disposition</x:v>
      </x:c>
    </x:row>
    <x:row r="479">
      <x:c r="A479" s="26" t="str">
        <x:v>AB_OS_Project_Data_2024</x:v>
      </x:c>
      <x:c r="B479" s="26" t="str">
        <x:v>AF86</x:v>
      </x:c>
      <x:c r="C479" s="26" t="str">
        <x:v>IF(ABS(X86)&lt;=1000,"WITHIN $1K","DISPLAY RATE / ADJUSTMENT")</x:v>
      </x:c>
      <x:c r="D479" s="26" t="str">
        <x:v>1000</x:v>
      </x:c>
      <x:c r="E479" s="26" t="str">
        <x:v>VALIDATION THRESHOLD</x:v>
      </x:c>
      <x:c r="F479" s="26" t="str">
        <x:v>YES</x:v>
      </x:c>
      <x:c r="G479" s="26" t="str">
        <x:v>CENTRALIZED</x:v>
      </x:c>
      <x:c r="H479" s="26" t="str">
        <x:v>P-003</x:v>
      </x:c>
      <x:c r="I479" s="26" t="str">
        <x:v>Internal $1,000 reconciliation tolerance; reviewer approval required</x:v>
      </x:c>
      <x:c r="J479" s="26" t="str">
        <x:v>v0.21 baseline formula; v0.23 disposition</x:v>
      </x:c>
    </x:row>
    <x:row r="480">
      <x:c r="A480" s="26" t="str">
        <x:v>AB_OS_Project_Data_2024</x:v>
      </x:c>
      <x:c r="B480" s="26" t="str">
        <x:v>W87</x:v>
      </x:c>
      <x:c r="C480" s="26" t="str">
        <x:v>IF(T87="NET",Q87*U87/100,G87*U87/100)</x:v>
      </x:c>
      <x:c r="D480" s="26" t="str">
        <x:v>100, 100</x:v>
      </x:c>
      <x:c r="E480" s="26" t="str">
        <x:v>UNIT CONVERSION</x:v>
      </x:c>
      <x:c r="F480" s="26" t="str">
        <x:v>NO</x:v>
      </x:c>
      <x:c r="G480" s="26" t="str">
        <x:v>RETAIN LITERAL</x:v>
      </x:c>
      <x:c r="H480" s="26" t="str">
        <x:v>Percentage divisor</x:v>
      </x:c>
      <x:c r="I480" s="26" t="str">
        <x:v>Divides percentage points by 100</x:v>
      </x:c>
      <x:c r="J480" s="26" t="str">
        <x:v>v0.21 baseline formula; v0.23 disposition</x:v>
      </x:c>
    </x:row>
    <x:row r="481">
      <x:c r="A481" s="26" t="str">
        <x:v>AB_OS_Project_Data_2024</x:v>
      </x:c>
      <x:c r="B481" s="26" t="str">
        <x:v>AD87</x:v>
      </x:c>
      <x:c r="C481" s="26" t="str">
        <x:v>IF(ABS(H87)&lt;=1000,"PASS","REVIEW")</x:v>
      </x:c>
      <x:c r="D481" s="26" t="str">
        <x:v>1000</x:v>
      </x:c>
      <x:c r="E481" s="26" t="str">
        <x:v>VALIDATION THRESHOLD</x:v>
      </x:c>
      <x:c r="F481" s="26" t="str">
        <x:v>YES</x:v>
      </x:c>
      <x:c r="G481" s="26" t="str">
        <x:v>CENTRALIZED</x:v>
      </x:c>
      <x:c r="H481" s="26" t="str">
        <x:v>P-003</x:v>
      </x:c>
      <x:c r="I481" s="26" t="str">
        <x:v>Internal $1,000 reconciliation tolerance; reviewer approval required</x:v>
      </x:c>
      <x:c r="J481" s="26" t="str">
        <x:v>v0.21 baseline formula; v0.23 disposition</x:v>
      </x:c>
    </x:row>
    <x:row r="482">
      <x:c r="A482" s="26" t="str">
        <x:v>AB_OS_Project_Data_2024</x:v>
      </x:c>
      <x:c r="B482" s="26" t="str">
        <x:v>AE87</x:v>
      </x:c>
      <x:c r="C482" s="26" t="str">
        <x:v>IF(T87&lt;&gt;"NET","N/A",IF(ABS(S87)&lt;=1000,"PASS","REVIEW"))</x:v>
      </x:c>
      <x:c r="D482" s="26" t="str">
        <x:v>1000</x:v>
      </x:c>
      <x:c r="E482" s="26" t="str">
        <x:v>VALIDATION THRESHOLD</x:v>
      </x:c>
      <x:c r="F482" s="26" t="str">
        <x:v>YES</x:v>
      </x:c>
      <x:c r="G482" s="26" t="str">
        <x:v>CENTRALIZED</x:v>
      </x:c>
      <x:c r="H482" s="26" t="str">
        <x:v>P-003</x:v>
      </x:c>
      <x:c r="I482" s="26" t="str">
        <x:v>Internal $1,000 reconciliation tolerance; reviewer approval required</x:v>
      </x:c>
      <x:c r="J482" s="26" t="str">
        <x:v>v0.21 baseline formula; v0.23 disposition</x:v>
      </x:c>
    </x:row>
    <x:row r="483">
      <x:c r="A483" s="26" t="str">
        <x:v>AB_OS_Project_Data_2024</x:v>
      </x:c>
      <x:c r="B483" s="26" t="str">
        <x:v>AF87</x:v>
      </x:c>
      <x:c r="C483" s="26" t="str">
        <x:v>IF(ABS(X87)&lt;=1000,"WITHIN $1K","DISPLAY RATE / ADJUSTMENT")</x:v>
      </x:c>
      <x:c r="D483" s="26" t="str">
        <x:v>1000</x:v>
      </x:c>
      <x:c r="E483" s="26" t="str">
        <x:v>VALIDATION THRESHOLD</x:v>
      </x:c>
      <x:c r="F483" s="26" t="str">
        <x:v>YES</x:v>
      </x:c>
      <x:c r="G483" s="26" t="str">
        <x:v>CENTRALIZED</x:v>
      </x:c>
      <x:c r="H483" s="26" t="str">
        <x:v>P-003</x:v>
      </x:c>
      <x:c r="I483" s="26" t="str">
        <x:v>Internal $1,000 reconciliation tolerance; reviewer approval required</x:v>
      </x:c>
      <x:c r="J483" s="26" t="str">
        <x:v>v0.21 baseline formula; v0.23 disposition</x:v>
      </x:c>
    </x:row>
    <x:row r="484">
      <x:c r="A484" s="26" t="str">
        <x:v>AB_OS_Project_Data_2024</x:v>
      </x:c>
      <x:c r="B484" s="26" t="str">
        <x:v>W88</x:v>
      </x:c>
      <x:c r="C484" s="26" t="str">
        <x:v>IF(T88="NET",Q88*U88/100,G88*U88/100)</x:v>
      </x:c>
      <x:c r="D484" s="26" t="str">
        <x:v>100, 100</x:v>
      </x:c>
      <x:c r="E484" s="26" t="str">
        <x:v>UNIT CONVERSION</x:v>
      </x:c>
      <x:c r="F484" s="26" t="str">
        <x:v>NO</x:v>
      </x:c>
      <x:c r="G484" s="26" t="str">
        <x:v>RETAIN LITERAL</x:v>
      </x:c>
      <x:c r="H484" s="26" t="str">
        <x:v>Percentage divisor</x:v>
      </x:c>
      <x:c r="I484" s="26" t="str">
        <x:v>Divides percentage points by 100</x:v>
      </x:c>
      <x:c r="J484" s="26" t="str">
        <x:v>v0.21 baseline formula; v0.23 disposition</x:v>
      </x:c>
    </x:row>
    <x:row r="485">
      <x:c r="A485" s="26" t="str">
        <x:v>AB_OS_Project_Data_2024</x:v>
      </x:c>
      <x:c r="B485" s="26" t="str">
        <x:v>AD88</x:v>
      </x:c>
      <x:c r="C485" s="26" t="str">
        <x:v>IF(ABS(H88)&lt;=1000,"PASS","REVIEW")</x:v>
      </x:c>
      <x:c r="D485" s="26" t="str">
        <x:v>1000</x:v>
      </x:c>
      <x:c r="E485" s="26" t="str">
        <x:v>VALIDATION THRESHOLD</x:v>
      </x:c>
      <x:c r="F485" s="26" t="str">
        <x:v>YES</x:v>
      </x:c>
      <x:c r="G485" s="26" t="str">
        <x:v>CENTRALIZED</x:v>
      </x:c>
      <x:c r="H485" s="26" t="str">
        <x:v>P-003</x:v>
      </x:c>
      <x:c r="I485" s="26" t="str">
        <x:v>Internal $1,000 reconciliation tolerance; reviewer approval required</x:v>
      </x:c>
      <x:c r="J485" s="26" t="str">
        <x:v>v0.21 baseline formula; v0.23 disposition</x:v>
      </x:c>
    </x:row>
    <x:row r="486">
      <x:c r="A486" s="26" t="str">
        <x:v>AB_OS_Project_Data_2024</x:v>
      </x:c>
      <x:c r="B486" s="26" t="str">
        <x:v>AE88</x:v>
      </x:c>
      <x:c r="C486" s="26" t="str">
        <x:v>IF(T88&lt;&gt;"NET","N/A",IF(ABS(S88)&lt;=1000,"PASS","REVIEW"))</x:v>
      </x:c>
      <x:c r="D486" s="26" t="str">
        <x:v>1000</x:v>
      </x:c>
      <x:c r="E486" s="26" t="str">
        <x:v>VALIDATION THRESHOLD</x:v>
      </x:c>
      <x:c r="F486" s="26" t="str">
        <x:v>YES</x:v>
      </x:c>
      <x:c r="G486" s="26" t="str">
        <x:v>CENTRALIZED</x:v>
      </x:c>
      <x:c r="H486" s="26" t="str">
        <x:v>P-003</x:v>
      </x:c>
      <x:c r="I486" s="26" t="str">
        <x:v>Internal $1,000 reconciliation tolerance; reviewer approval required</x:v>
      </x:c>
      <x:c r="J486" s="26" t="str">
        <x:v>v0.21 baseline formula; v0.23 disposition</x:v>
      </x:c>
    </x:row>
    <x:row r="487">
      <x:c r="A487" s="26" t="str">
        <x:v>AB_OS_Project_Data_2024</x:v>
      </x:c>
      <x:c r="B487" s="26" t="str">
        <x:v>AF88</x:v>
      </x:c>
      <x:c r="C487" s="26" t="str">
        <x:v>IF(ABS(X88)&lt;=1000,"WITHIN $1K","DISPLAY RATE / ADJUSTMENT")</x:v>
      </x:c>
      <x:c r="D487" s="26" t="str">
        <x:v>1000</x:v>
      </x:c>
      <x:c r="E487" s="26" t="str">
        <x:v>VALIDATION THRESHOLD</x:v>
      </x:c>
      <x:c r="F487" s="26" t="str">
        <x:v>YES</x:v>
      </x:c>
      <x:c r="G487" s="26" t="str">
        <x:v>CENTRALIZED</x:v>
      </x:c>
      <x:c r="H487" s="26" t="str">
        <x:v>P-003</x:v>
      </x:c>
      <x:c r="I487" s="26" t="str">
        <x:v>Internal $1,000 reconciliation tolerance; reviewer approval required</x:v>
      </x:c>
      <x:c r="J487" s="26" t="str">
        <x:v>v0.21 baseline formula; v0.23 disposition</x:v>
      </x:c>
    </x:row>
    <x:row r="488">
      <x:c r="A488" s="26" t="str">
        <x:v>AB_OS_Project_Data_2024</x:v>
      </x:c>
      <x:c r="B488" s="26" t="str">
        <x:v>W89</x:v>
      </x:c>
      <x:c r="C488" s="26" t="str">
        <x:v>IF(T89="NET",Q89*U89/100,G89*U89/100)</x:v>
      </x:c>
      <x:c r="D488" s="26" t="str">
        <x:v>100, 100</x:v>
      </x:c>
      <x:c r="E488" s="26" t="str">
        <x:v>UNIT CONVERSION</x:v>
      </x:c>
      <x:c r="F488" s="26" t="str">
        <x:v>NO</x:v>
      </x:c>
      <x:c r="G488" s="26" t="str">
        <x:v>RETAIN LITERAL</x:v>
      </x:c>
      <x:c r="H488" s="26" t="str">
        <x:v>Percentage divisor</x:v>
      </x:c>
      <x:c r="I488" s="26" t="str">
        <x:v>Divides percentage points by 100</x:v>
      </x:c>
      <x:c r="J488" s="26" t="str">
        <x:v>v0.21 baseline formula; v0.23 disposition</x:v>
      </x:c>
    </x:row>
    <x:row r="489">
      <x:c r="A489" s="26" t="str">
        <x:v>AB_OS_Project_Data_2024</x:v>
      </x:c>
      <x:c r="B489" s="26" t="str">
        <x:v>AD89</x:v>
      </x:c>
      <x:c r="C489" s="26" t="str">
        <x:v>IF(ABS(H89)&lt;=1000,"PASS","REVIEW")</x:v>
      </x:c>
      <x:c r="D489" s="26" t="str">
        <x:v>1000</x:v>
      </x:c>
      <x:c r="E489" s="26" t="str">
        <x:v>VALIDATION THRESHOLD</x:v>
      </x:c>
      <x:c r="F489" s="26" t="str">
        <x:v>YES</x:v>
      </x:c>
      <x:c r="G489" s="26" t="str">
        <x:v>CENTRALIZED</x:v>
      </x:c>
      <x:c r="H489" s="26" t="str">
        <x:v>P-003</x:v>
      </x:c>
      <x:c r="I489" s="26" t="str">
        <x:v>Internal $1,000 reconciliation tolerance; reviewer approval required</x:v>
      </x:c>
      <x:c r="J489" s="26" t="str">
        <x:v>v0.21 baseline formula; v0.23 disposition</x:v>
      </x:c>
    </x:row>
    <x:row r="490">
      <x:c r="A490" s="26" t="str">
        <x:v>AB_OS_Project_Data_2024</x:v>
      </x:c>
      <x:c r="B490" s="26" t="str">
        <x:v>AE89</x:v>
      </x:c>
      <x:c r="C490" s="26" t="str">
        <x:v>IF(T89&lt;&gt;"NET","N/A",IF(ABS(S89)&lt;=1000,"PASS","REVIEW"))</x:v>
      </x:c>
      <x:c r="D490" s="26" t="str">
        <x:v>1000</x:v>
      </x:c>
      <x:c r="E490" s="26" t="str">
        <x:v>VALIDATION THRESHOLD</x:v>
      </x:c>
      <x:c r="F490" s="26" t="str">
        <x:v>YES</x:v>
      </x:c>
      <x:c r="G490" s="26" t="str">
        <x:v>CENTRALIZED</x:v>
      </x:c>
      <x:c r="H490" s="26" t="str">
        <x:v>P-003</x:v>
      </x:c>
      <x:c r="I490" s="26" t="str">
        <x:v>Internal $1,000 reconciliation tolerance; reviewer approval required</x:v>
      </x:c>
      <x:c r="J490" s="26" t="str">
        <x:v>v0.21 baseline formula; v0.23 disposition</x:v>
      </x:c>
    </x:row>
    <x:row r="491">
      <x:c r="A491" s="26" t="str">
        <x:v>AB_OS_Project_Data_2024</x:v>
      </x:c>
      <x:c r="B491" s="26" t="str">
        <x:v>AF89</x:v>
      </x:c>
      <x:c r="C491" s="26" t="str">
        <x:v>IF(ABS(X89)&lt;=1000,"WITHIN $1K","DISPLAY RATE / ADJUSTMENT")</x:v>
      </x:c>
      <x:c r="D491" s="26" t="str">
        <x:v>1000</x:v>
      </x:c>
      <x:c r="E491" s="26" t="str">
        <x:v>VALIDATION THRESHOLD</x:v>
      </x:c>
      <x:c r="F491" s="26" t="str">
        <x:v>YES</x:v>
      </x:c>
      <x:c r="G491" s="26" t="str">
        <x:v>CENTRALIZED</x:v>
      </x:c>
      <x:c r="H491" s="26" t="str">
        <x:v>P-003</x:v>
      </x:c>
      <x:c r="I491" s="26" t="str">
        <x:v>Internal $1,000 reconciliation tolerance; reviewer approval required</x:v>
      </x:c>
      <x:c r="J491" s="26" t="str">
        <x:v>v0.21 baseline formula; v0.23 disposition</x:v>
      </x:c>
    </x:row>
    <x:row r="492">
      <x:c r="A492" s="26" t="str">
        <x:v>AB_OS_Project_Data_2024</x:v>
      </x:c>
      <x:c r="B492" s="26" t="str">
        <x:v>W90</x:v>
      </x:c>
      <x:c r="C492" s="26" t="str">
        <x:v>IF(T90="NET",Q90*U90/100,G90*U90/100)</x:v>
      </x:c>
      <x:c r="D492" s="26" t="str">
        <x:v>100, 100</x:v>
      </x:c>
      <x:c r="E492" s="26" t="str">
        <x:v>UNIT CONVERSION</x:v>
      </x:c>
      <x:c r="F492" s="26" t="str">
        <x:v>NO</x:v>
      </x:c>
      <x:c r="G492" s="26" t="str">
        <x:v>RETAIN LITERAL</x:v>
      </x:c>
      <x:c r="H492" s="26" t="str">
        <x:v>Percentage divisor</x:v>
      </x:c>
      <x:c r="I492" s="26" t="str">
        <x:v>Divides percentage points by 100</x:v>
      </x:c>
      <x:c r="J492" s="26" t="str">
        <x:v>v0.21 baseline formula; v0.23 disposition</x:v>
      </x:c>
    </x:row>
    <x:row r="493">
      <x:c r="A493" s="26" t="str">
        <x:v>AB_OS_Project_Data_2024</x:v>
      </x:c>
      <x:c r="B493" s="26" t="str">
        <x:v>AD90</x:v>
      </x:c>
      <x:c r="C493" s="26" t="str">
        <x:v>IF(ABS(H90)&lt;=1000,"PASS","REVIEW")</x:v>
      </x:c>
      <x:c r="D493" s="26" t="str">
        <x:v>1000</x:v>
      </x:c>
      <x:c r="E493" s="26" t="str">
        <x:v>VALIDATION THRESHOLD</x:v>
      </x:c>
      <x:c r="F493" s="26" t="str">
        <x:v>YES</x:v>
      </x:c>
      <x:c r="G493" s="26" t="str">
        <x:v>CENTRALIZED</x:v>
      </x:c>
      <x:c r="H493" s="26" t="str">
        <x:v>P-003</x:v>
      </x:c>
      <x:c r="I493" s="26" t="str">
        <x:v>Internal $1,000 reconciliation tolerance; reviewer approval required</x:v>
      </x:c>
      <x:c r="J493" s="26" t="str">
        <x:v>v0.21 baseline formula; v0.23 disposition</x:v>
      </x:c>
    </x:row>
    <x:row r="494">
      <x:c r="A494" s="26" t="str">
        <x:v>AB_OS_Project_Data_2024</x:v>
      </x:c>
      <x:c r="B494" s="26" t="str">
        <x:v>AE90</x:v>
      </x:c>
      <x:c r="C494" s="26" t="str">
        <x:v>IF(T90&lt;&gt;"NET","N/A",IF(ABS(S90)&lt;=1000,"PASS","REVIEW"))</x:v>
      </x:c>
      <x:c r="D494" s="26" t="str">
        <x:v>1000</x:v>
      </x:c>
      <x:c r="E494" s="26" t="str">
        <x:v>VALIDATION THRESHOLD</x:v>
      </x:c>
      <x:c r="F494" s="26" t="str">
        <x:v>YES</x:v>
      </x:c>
      <x:c r="G494" s="26" t="str">
        <x:v>CENTRALIZED</x:v>
      </x:c>
      <x:c r="H494" s="26" t="str">
        <x:v>P-003</x:v>
      </x:c>
      <x:c r="I494" s="26" t="str">
        <x:v>Internal $1,000 reconciliation tolerance; reviewer approval required</x:v>
      </x:c>
      <x:c r="J494" s="26" t="str">
        <x:v>v0.21 baseline formula; v0.23 disposition</x:v>
      </x:c>
    </x:row>
    <x:row r="495">
      <x:c r="A495" s="26" t="str">
        <x:v>AB_OS_Project_Data_2024</x:v>
      </x:c>
      <x:c r="B495" s="26" t="str">
        <x:v>AF90</x:v>
      </x:c>
      <x:c r="C495" s="26" t="str">
        <x:v>IF(ABS(X90)&lt;=1000,"WITHIN $1K","DISPLAY RATE / ADJUSTMENT")</x:v>
      </x:c>
      <x:c r="D495" s="26" t="str">
        <x:v>1000</x:v>
      </x:c>
      <x:c r="E495" s="26" t="str">
        <x:v>VALIDATION THRESHOLD</x:v>
      </x:c>
      <x:c r="F495" s="26" t="str">
        <x:v>YES</x:v>
      </x:c>
      <x:c r="G495" s="26" t="str">
        <x:v>CENTRALIZED</x:v>
      </x:c>
      <x:c r="H495" s="26" t="str">
        <x:v>P-003</x:v>
      </x:c>
      <x:c r="I495" s="26" t="str">
        <x:v>Internal $1,000 reconciliation tolerance; reviewer approval required</x:v>
      </x:c>
      <x:c r="J495" s="26" t="str">
        <x:v>v0.21 baseline formula; v0.23 disposition</x:v>
      </x:c>
    </x:row>
    <x:row r="496">
      <x:c r="A496" s="26" t="str">
        <x:v>AB_OS_Project_Data_2024</x:v>
      </x:c>
      <x:c r="B496" s="26" t="str">
        <x:v>W91</x:v>
      </x:c>
      <x:c r="C496" s="26" t="str">
        <x:v>IF(T91="NET",Q91*U91/100,G91*U91/100)</x:v>
      </x:c>
      <x:c r="D496" s="26" t="str">
        <x:v>100, 100</x:v>
      </x:c>
      <x:c r="E496" s="26" t="str">
        <x:v>UNIT CONVERSION</x:v>
      </x:c>
      <x:c r="F496" s="26" t="str">
        <x:v>NO</x:v>
      </x:c>
      <x:c r="G496" s="26" t="str">
        <x:v>RETAIN LITERAL</x:v>
      </x:c>
      <x:c r="H496" s="26" t="str">
        <x:v>Percentage divisor</x:v>
      </x:c>
      <x:c r="I496" s="26" t="str">
        <x:v>Divides percentage points by 100</x:v>
      </x:c>
      <x:c r="J496" s="26" t="str">
        <x:v>v0.21 baseline formula; v0.23 disposition</x:v>
      </x:c>
    </x:row>
    <x:row r="497">
      <x:c r="A497" s="26" t="str">
        <x:v>AB_OS_Project_Data_2024</x:v>
      </x:c>
      <x:c r="B497" s="26" t="str">
        <x:v>AD91</x:v>
      </x:c>
      <x:c r="C497" s="26" t="str">
        <x:v>IF(ABS(H91)&lt;=1000,"PASS","REVIEW")</x:v>
      </x:c>
      <x:c r="D497" s="26" t="str">
        <x:v>1000</x:v>
      </x:c>
      <x:c r="E497" s="26" t="str">
        <x:v>VALIDATION THRESHOLD</x:v>
      </x:c>
      <x:c r="F497" s="26" t="str">
        <x:v>YES</x:v>
      </x:c>
      <x:c r="G497" s="26" t="str">
        <x:v>CENTRALIZED</x:v>
      </x:c>
      <x:c r="H497" s="26" t="str">
        <x:v>P-003</x:v>
      </x:c>
      <x:c r="I497" s="26" t="str">
        <x:v>Internal $1,000 reconciliation tolerance; reviewer approval required</x:v>
      </x:c>
      <x:c r="J497" s="26" t="str">
        <x:v>v0.21 baseline formula; v0.23 disposition</x:v>
      </x:c>
    </x:row>
    <x:row r="498">
      <x:c r="A498" s="26" t="str">
        <x:v>AB_OS_Project_Data_2024</x:v>
      </x:c>
      <x:c r="B498" s="26" t="str">
        <x:v>AE91</x:v>
      </x:c>
      <x:c r="C498" s="26" t="str">
        <x:v>IF(T91&lt;&gt;"NET","N/A",IF(ABS(S91)&lt;=1000,"PASS","REVIEW"))</x:v>
      </x:c>
      <x:c r="D498" s="26" t="str">
        <x:v>1000</x:v>
      </x:c>
      <x:c r="E498" s="26" t="str">
        <x:v>VALIDATION THRESHOLD</x:v>
      </x:c>
      <x:c r="F498" s="26" t="str">
        <x:v>YES</x:v>
      </x:c>
      <x:c r="G498" s="26" t="str">
        <x:v>CENTRALIZED</x:v>
      </x:c>
      <x:c r="H498" s="26" t="str">
        <x:v>P-003</x:v>
      </x:c>
      <x:c r="I498" s="26" t="str">
        <x:v>Internal $1,000 reconciliation tolerance; reviewer approval required</x:v>
      </x:c>
      <x:c r="J498" s="26" t="str">
        <x:v>v0.21 baseline formula; v0.23 disposition</x:v>
      </x:c>
    </x:row>
    <x:row r="499">
      <x:c r="A499" s="26" t="str">
        <x:v>AB_OS_Project_Data_2024</x:v>
      </x:c>
      <x:c r="B499" s="26" t="str">
        <x:v>AF91</x:v>
      </x:c>
      <x:c r="C499" s="26" t="str">
        <x:v>IF(ABS(X91)&lt;=1000,"WITHIN $1K","DISPLAY RATE / ADJUSTMENT")</x:v>
      </x:c>
      <x:c r="D499" s="26" t="str">
        <x:v>1000</x:v>
      </x:c>
      <x:c r="E499" s="26" t="str">
        <x:v>VALIDATION THRESHOLD</x:v>
      </x:c>
      <x:c r="F499" s="26" t="str">
        <x:v>YES</x:v>
      </x:c>
      <x:c r="G499" s="26" t="str">
        <x:v>CENTRALIZED</x:v>
      </x:c>
      <x:c r="H499" s="26" t="str">
        <x:v>P-003</x:v>
      </x:c>
      <x:c r="I499" s="26" t="str">
        <x:v>Internal $1,000 reconciliation tolerance; reviewer approval required</x:v>
      </x:c>
      <x:c r="J499" s="26" t="str">
        <x:v>v0.21 baseline formula; v0.23 disposition</x:v>
      </x:c>
    </x:row>
    <x:row r="500">
      <x:c r="A500" s="26" t="str">
        <x:v>AB_OS_Project_Data_2024</x:v>
      </x:c>
      <x:c r="B500" s="26" t="str">
        <x:v>W92</x:v>
      </x:c>
      <x:c r="C500" s="26" t="str">
        <x:v>IF(T92="NET",Q92*U92/100,G92*U92/100)</x:v>
      </x:c>
      <x:c r="D500" s="26" t="str">
        <x:v>100, 100</x:v>
      </x:c>
      <x:c r="E500" s="26" t="str">
        <x:v>UNIT CONVERSION</x:v>
      </x:c>
      <x:c r="F500" s="26" t="str">
        <x:v>NO</x:v>
      </x:c>
      <x:c r="G500" s="26" t="str">
        <x:v>RETAIN LITERAL</x:v>
      </x:c>
      <x:c r="H500" s="26" t="str">
        <x:v>Percentage divisor</x:v>
      </x:c>
      <x:c r="I500" s="26" t="str">
        <x:v>Divides percentage points by 100</x:v>
      </x:c>
      <x:c r="J500" s="26" t="str">
        <x:v>v0.21 baseline formula; v0.23 disposition</x:v>
      </x:c>
    </x:row>
    <x:row r="501">
      <x:c r="A501" s="26" t="str">
        <x:v>AB_OS_Project_Data_2024</x:v>
      </x:c>
      <x:c r="B501" s="26" t="str">
        <x:v>AD92</x:v>
      </x:c>
      <x:c r="C501" s="26" t="str">
        <x:v>IF(ABS(H92)&lt;=1000,"PASS","REVIEW")</x:v>
      </x:c>
      <x:c r="D501" s="26" t="str">
        <x:v>1000</x:v>
      </x:c>
      <x:c r="E501" s="26" t="str">
        <x:v>VALIDATION THRESHOLD</x:v>
      </x:c>
      <x:c r="F501" s="26" t="str">
        <x:v>YES</x:v>
      </x:c>
      <x:c r="G501" s="26" t="str">
        <x:v>CENTRALIZED</x:v>
      </x:c>
      <x:c r="H501" s="26" t="str">
        <x:v>P-003</x:v>
      </x:c>
      <x:c r="I501" s="26" t="str">
        <x:v>Internal $1,000 reconciliation tolerance; reviewer approval required</x:v>
      </x:c>
      <x:c r="J501" s="26" t="str">
        <x:v>v0.21 baseline formula; v0.23 disposition</x:v>
      </x:c>
    </x:row>
    <x:row r="502">
      <x:c r="A502" s="26" t="str">
        <x:v>AB_OS_Project_Data_2024</x:v>
      </x:c>
      <x:c r="B502" s="26" t="str">
        <x:v>AE92</x:v>
      </x:c>
      <x:c r="C502" s="26" t="str">
        <x:v>IF(T92&lt;&gt;"NET","N/A",IF(ABS(S92)&lt;=1000,"PASS","REVIEW"))</x:v>
      </x:c>
      <x:c r="D502" s="26" t="str">
        <x:v>1000</x:v>
      </x:c>
      <x:c r="E502" s="26" t="str">
        <x:v>VALIDATION THRESHOLD</x:v>
      </x:c>
      <x:c r="F502" s="26" t="str">
        <x:v>YES</x:v>
      </x:c>
      <x:c r="G502" s="26" t="str">
        <x:v>CENTRALIZED</x:v>
      </x:c>
      <x:c r="H502" s="26" t="str">
        <x:v>P-003</x:v>
      </x:c>
      <x:c r="I502" s="26" t="str">
        <x:v>Internal $1,000 reconciliation tolerance; reviewer approval required</x:v>
      </x:c>
      <x:c r="J502" s="26" t="str">
        <x:v>v0.21 baseline formula; v0.23 disposition</x:v>
      </x:c>
    </x:row>
    <x:row r="503">
      <x:c r="A503" s="26" t="str">
        <x:v>AB_OS_Project_Data_2024</x:v>
      </x:c>
      <x:c r="B503" s="26" t="str">
        <x:v>AF92</x:v>
      </x:c>
      <x:c r="C503" s="26" t="str">
        <x:v>IF(ABS(X92)&lt;=1000,"WITHIN $1K","DISPLAY RATE / ADJUSTMENT")</x:v>
      </x:c>
      <x:c r="D503" s="26" t="str">
        <x:v>1000</x:v>
      </x:c>
      <x:c r="E503" s="26" t="str">
        <x:v>VALIDATION THRESHOLD</x:v>
      </x:c>
      <x:c r="F503" s="26" t="str">
        <x:v>YES</x:v>
      </x:c>
      <x:c r="G503" s="26" t="str">
        <x:v>CENTRALIZED</x:v>
      </x:c>
      <x:c r="H503" s="26" t="str">
        <x:v>P-003</x:v>
      </x:c>
      <x:c r="I503" s="26" t="str">
        <x:v>Internal $1,000 reconciliation tolerance; reviewer approval required</x:v>
      </x:c>
      <x:c r="J503" s="26" t="str">
        <x:v>v0.21 baseline formula; v0.23 disposition</x:v>
      </x:c>
    </x:row>
    <x:row r="504">
      <x:c r="A504" s="26" t="str">
        <x:v>AB_OS_Project_Data_2024</x:v>
      </x:c>
      <x:c r="B504" s="26" t="str">
        <x:v>W93</x:v>
      </x:c>
      <x:c r="C504" s="26" t="str">
        <x:v>IF(T93="NET",Q93*U93/100,G93*U93/100)</x:v>
      </x:c>
      <x:c r="D504" s="26" t="str">
        <x:v>100, 100</x:v>
      </x:c>
      <x:c r="E504" s="26" t="str">
        <x:v>UNIT CONVERSION</x:v>
      </x:c>
      <x:c r="F504" s="26" t="str">
        <x:v>NO</x:v>
      </x:c>
      <x:c r="G504" s="26" t="str">
        <x:v>RETAIN LITERAL</x:v>
      </x:c>
      <x:c r="H504" s="26" t="str">
        <x:v>Percentage divisor</x:v>
      </x:c>
      <x:c r="I504" s="26" t="str">
        <x:v>Divides percentage points by 100</x:v>
      </x:c>
      <x:c r="J504" s="26" t="str">
        <x:v>v0.21 baseline formula; v0.23 disposition</x:v>
      </x:c>
    </x:row>
    <x:row r="505">
      <x:c r="A505" s="26" t="str">
        <x:v>AB_OS_Project_Data_2024</x:v>
      </x:c>
      <x:c r="B505" s="26" t="str">
        <x:v>AD93</x:v>
      </x:c>
      <x:c r="C505" s="26" t="str">
        <x:v>IF(ABS(H93)&lt;=1000,"PASS","REVIEW")</x:v>
      </x:c>
      <x:c r="D505" s="26" t="str">
        <x:v>1000</x:v>
      </x:c>
      <x:c r="E505" s="26" t="str">
        <x:v>VALIDATION THRESHOLD</x:v>
      </x:c>
      <x:c r="F505" s="26" t="str">
        <x:v>YES</x:v>
      </x:c>
      <x:c r="G505" s="26" t="str">
        <x:v>CENTRALIZED</x:v>
      </x:c>
      <x:c r="H505" s="26" t="str">
        <x:v>P-003</x:v>
      </x:c>
      <x:c r="I505" s="26" t="str">
        <x:v>Internal $1,000 reconciliation tolerance; reviewer approval required</x:v>
      </x:c>
      <x:c r="J505" s="26" t="str">
        <x:v>v0.21 baseline formula; v0.23 disposition</x:v>
      </x:c>
    </x:row>
    <x:row r="506">
      <x:c r="A506" s="26" t="str">
        <x:v>AB_OS_Project_Data_2024</x:v>
      </x:c>
      <x:c r="B506" s="26" t="str">
        <x:v>AE93</x:v>
      </x:c>
      <x:c r="C506" s="26" t="str">
        <x:v>IF(T93&lt;&gt;"NET","N/A",IF(ABS(S93)&lt;=1000,"PASS","REVIEW"))</x:v>
      </x:c>
      <x:c r="D506" s="26" t="str">
        <x:v>1000</x:v>
      </x:c>
      <x:c r="E506" s="26" t="str">
        <x:v>VALIDATION THRESHOLD</x:v>
      </x:c>
      <x:c r="F506" s="26" t="str">
        <x:v>YES</x:v>
      </x:c>
      <x:c r="G506" s="26" t="str">
        <x:v>CENTRALIZED</x:v>
      </x:c>
      <x:c r="H506" s="26" t="str">
        <x:v>P-003</x:v>
      </x:c>
      <x:c r="I506" s="26" t="str">
        <x:v>Internal $1,000 reconciliation tolerance; reviewer approval required</x:v>
      </x:c>
      <x:c r="J506" s="26" t="str">
        <x:v>v0.21 baseline formula; v0.23 disposition</x:v>
      </x:c>
    </x:row>
    <x:row r="507">
      <x:c r="A507" s="26" t="str">
        <x:v>AB_OS_Project_Data_2024</x:v>
      </x:c>
      <x:c r="B507" s="26" t="str">
        <x:v>AF93</x:v>
      </x:c>
      <x:c r="C507" s="26" t="str">
        <x:v>IF(ABS(X93)&lt;=1000,"WITHIN $1K","DISPLAY RATE / ADJUSTMENT")</x:v>
      </x:c>
      <x:c r="D507" s="26" t="str">
        <x:v>1000</x:v>
      </x:c>
      <x:c r="E507" s="26" t="str">
        <x:v>VALIDATION THRESHOLD</x:v>
      </x:c>
      <x:c r="F507" s="26" t="str">
        <x:v>YES</x:v>
      </x:c>
      <x:c r="G507" s="26" t="str">
        <x:v>CENTRALIZED</x:v>
      </x:c>
      <x:c r="H507" s="26" t="str">
        <x:v>P-003</x:v>
      </x:c>
      <x:c r="I507" s="26" t="str">
        <x:v>Internal $1,000 reconciliation tolerance; reviewer approval required</x:v>
      </x:c>
      <x:c r="J507" s="26" t="str">
        <x:v>v0.21 baseline formula; v0.23 disposition</x:v>
      </x:c>
    </x:row>
    <x:row r="508">
      <x:c r="A508" s="26" t="str">
        <x:v>AB_OS_Project_Data_2024</x:v>
      </x:c>
      <x:c r="B508" s="26" t="str">
        <x:v>W94</x:v>
      </x:c>
      <x:c r="C508" s="26" t="str">
        <x:v>IF(T94="NET",Q94*U94/100,G94*U94/100)</x:v>
      </x:c>
      <x:c r="D508" s="26" t="str">
        <x:v>100, 100</x:v>
      </x:c>
      <x:c r="E508" s="26" t="str">
        <x:v>UNIT CONVERSION</x:v>
      </x:c>
      <x:c r="F508" s="26" t="str">
        <x:v>NO</x:v>
      </x:c>
      <x:c r="G508" s="26" t="str">
        <x:v>RETAIN LITERAL</x:v>
      </x:c>
      <x:c r="H508" s="26" t="str">
        <x:v>Percentage divisor</x:v>
      </x:c>
      <x:c r="I508" s="26" t="str">
        <x:v>Divides percentage points by 100</x:v>
      </x:c>
      <x:c r="J508" s="26" t="str">
        <x:v>v0.21 baseline formula; v0.23 disposition</x:v>
      </x:c>
    </x:row>
    <x:row r="509">
      <x:c r="A509" s="26" t="str">
        <x:v>AB_OS_Project_Data_2024</x:v>
      </x:c>
      <x:c r="B509" s="26" t="str">
        <x:v>AD94</x:v>
      </x:c>
      <x:c r="C509" s="26" t="str">
        <x:v>IF(ABS(H94)&lt;=1000,"PASS","REVIEW")</x:v>
      </x:c>
      <x:c r="D509" s="26" t="str">
        <x:v>1000</x:v>
      </x:c>
      <x:c r="E509" s="26" t="str">
        <x:v>VALIDATION THRESHOLD</x:v>
      </x:c>
      <x:c r="F509" s="26" t="str">
        <x:v>YES</x:v>
      </x:c>
      <x:c r="G509" s="26" t="str">
        <x:v>CENTRALIZED</x:v>
      </x:c>
      <x:c r="H509" s="26" t="str">
        <x:v>P-003</x:v>
      </x:c>
      <x:c r="I509" s="26" t="str">
        <x:v>Internal $1,000 reconciliation tolerance; reviewer approval required</x:v>
      </x:c>
      <x:c r="J509" s="26" t="str">
        <x:v>v0.21 baseline formula; v0.23 disposition</x:v>
      </x:c>
    </x:row>
    <x:row r="510">
      <x:c r="A510" s="26" t="str">
        <x:v>AB_OS_Project_Data_2024</x:v>
      </x:c>
      <x:c r="B510" s="26" t="str">
        <x:v>AE94</x:v>
      </x:c>
      <x:c r="C510" s="26" t="str">
        <x:v>IF(T94&lt;&gt;"NET","N/A",IF(ABS(S94)&lt;=1000,"PASS","REVIEW"))</x:v>
      </x:c>
      <x:c r="D510" s="26" t="str">
        <x:v>1000</x:v>
      </x:c>
      <x:c r="E510" s="26" t="str">
        <x:v>VALIDATION THRESHOLD</x:v>
      </x:c>
      <x:c r="F510" s="26" t="str">
        <x:v>YES</x:v>
      </x:c>
      <x:c r="G510" s="26" t="str">
        <x:v>CENTRALIZED</x:v>
      </x:c>
      <x:c r="H510" s="26" t="str">
        <x:v>P-003</x:v>
      </x:c>
      <x:c r="I510" s="26" t="str">
        <x:v>Internal $1,000 reconciliation tolerance; reviewer approval required</x:v>
      </x:c>
      <x:c r="J510" s="26" t="str">
        <x:v>v0.21 baseline formula; v0.23 disposition</x:v>
      </x:c>
    </x:row>
    <x:row r="511">
      <x:c r="A511" s="26" t="str">
        <x:v>AB_OS_Project_Data_2024</x:v>
      </x:c>
      <x:c r="B511" s="26" t="str">
        <x:v>AF94</x:v>
      </x:c>
      <x:c r="C511" s="26" t="str">
        <x:v>IF(ABS(X94)&lt;=1000,"WITHIN $1K","DISPLAY RATE / ADJUSTMENT")</x:v>
      </x:c>
      <x:c r="D511" s="26" t="str">
        <x:v>1000</x:v>
      </x:c>
      <x:c r="E511" s="26" t="str">
        <x:v>VALIDATION THRESHOLD</x:v>
      </x:c>
      <x:c r="F511" s="26" t="str">
        <x:v>YES</x:v>
      </x:c>
      <x:c r="G511" s="26" t="str">
        <x:v>CENTRALIZED</x:v>
      </x:c>
      <x:c r="H511" s="26" t="str">
        <x:v>P-003</x:v>
      </x:c>
      <x:c r="I511" s="26" t="str">
        <x:v>Internal $1,000 reconciliation tolerance; reviewer approval required</x:v>
      </x:c>
      <x:c r="J511" s="26" t="str">
        <x:v>v0.21 baseline formula; v0.23 disposition</x:v>
      </x:c>
    </x:row>
    <x:row r="512">
      <x:c r="A512" s="26" t="str">
        <x:v>AB_OS_Project_Data_2024</x:v>
      </x:c>
      <x:c r="B512" s="26" t="str">
        <x:v>W95</x:v>
      </x:c>
      <x:c r="C512" s="26" t="str">
        <x:v>IF(T95="NET",Q95*U95/100,G95*U95/100)</x:v>
      </x:c>
      <x:c r="D512" s="26" t="str">
        <x:v>100, 100</x:v>
      </x:c>
      <x:c r="E512" s="26" t="str">
        <x:v>UNIT CONVERSION</x:v>
      </x:c>
      <x:c r="F512" s="26" t="str">
        <x:v>NO</x:v>
      </x:c>
      <x:c r="G512" s="26" t="str">
        <x:v>RETAIN LITERAL</x:v>
      </x:c>
      <x:c r="H512" s="26" t="str">
        <x:v>Percentage divisor</x:v>
      </x:c>
      <x:c r="I512" s="26" t="str">
        <x:v>Divides percentage points by 100</x:v>
      </x:c>
      <x:c r="J512" s="26" t="str">
        <x:v>v0.21 baseline formula; v0.23 disposition</x:v>
      </x:c>
    </x:row>
    <x:row r="513">
      <x:c r="A513" s="26" t="str">
        <x:v>AB_OS_Project_Data_2024</x:v>
      </x:c>
      <x:c r="B513" s="26" t="str">
        <x:v>AD95</x:v>
      </x:c>
      <x:c r="C513" s="26" t="str">
        <x:v>IF(ABS(H95)&lt;=1000,"PASS","REVIEW")</x:v>
      </x:c>
      <x:c r="D513" s="26" t="str">
        <x:v>1000</x:v>
      </x:c>
      <x:c r="E513" s="26" t="str">
        <x:v>VALIDATION THRESHOLD</x:v>
      </x:c>
      <x:c r="F513" s="26" t="str">
        <x:v>YES</x:v>
      </x:c>
      <x:c r="G513" s="26" t="str">
        <x:v>CENTRALIZED</x:v>
      </x:c>
      <x:c r="H513" s="26" t="str">
        <x:v>P-003</x:v>
      </x:c>
      <x:c r="I513" s="26" t="str">
        <x:v>Internal $1,000 reconciliation tolerance; reviewer approval required</x:v>
      </x:c>
      <x:c r="J513" s="26" t="str">
        <x:v>v0.21 baseline formula; v0.23 disposition</x:v>
      </x:c>
    </x:row>
    <x:row r="514">
      <x:c r="A514" s="26" t="str">
        <x:v>AB_OS_Project_Data_2024</x:v>
      </x:c>
      <x:c r="B514" s="26" t="str">
        <x:v>AE95</x:v>
      </x:c>
      <x:c r="C514" s="26" t="str">
        <x:v>IF(T95&lt;&gt;"NET","N/A",IF(ABS(S95)&lt;=1000,"PASS","REVIEW"))</x:v>
      </x:c>
      <x:c r="D514" s="26" t="str">
        <x:v>1000</x:v>
      </x:c>
      <x:c r="E514" s="26" t="str">
        <x:v>VALIDATION THRESHOLD</x:v>
      </x:c>
      <x:c r="F514" s="26" t="str">
        <x:v>YES</x:v>
      </x:c>
      <x:c r="G514" s="26" t="str">
        <x:v>CENTRALIZED</x:v>
      </x:c>
      <x:c r="H514" s="26" t="str">
        <x:v>P-003</x:v>
      </x:c>
      <x:c r="I514" s="26" t="str">
        <x:v>Internal $1,000 reconciliation tolerance; reviewer approval required</x:v>
      </x:c>
      <x:c r="J514" s="26" t="str">
        <x:v>v0.21 baseline formula; v0.23 disposition</x:v>
      </x:c>
    </x:row>
    <x:row r="515">
      <x:c r="A515" s="26" t="str">
        <x:v>AB_OS_Project_Data_2024</x:v>
      </x:c>
      <x:c r="B515" s="26" t="str">
        <x:v>AF95</x:v>
      </x:c>
      <x:c r="C515" s="26" t="str">
        <x:v>IF(ABS(X95)&lt;=1000,"WITHIN $1K","DISPLAY RATE / ADJUSTMENT")</x:v>
      </x:c>
      <x:c r="D515" s="26" t="str">
        <x:v>1000</x:v>
      </x:c>
      <x:c r="E515" s="26" t="str">
        <x:v>VALIDATION THRESHOLD</x:v>
      </x:c>
      <x:c r="F515" s="26" t="str">
        <x:v>YES</x:v>
      </x:c>
      <x:c r="G515" s="26" t="str">
        <x:v>CENTRALIZED</x:v>
      </x:c>
      <x:c r="H515" s="26" t="str">
        <x:v>P-003</x:v>
      </x:c>
      <x:c r="I515" s="26" t="str">
        <x:v>Internal $1,000 reconciliation tolerance; reviewer approval required</x:v>
      </x:c>
      <x:c r="J515" s="26" t="str">
        <x:v>v0.21 baseline formula; v0.23 disposition</x:v>
      </x:c>
    </x:row>
    <x:row r="516">
      <x:c r="A516" s="26" t="str">
        <x:v>AB_OS_Project_Data_2024</x:v>
      </x:c>
      <x:c r="B516" s="26" t="str">
        <x:v>W96</x:v>
      </x:c>
      <x:c r="C516" s="26" t="str">
        <x:v>IF(T96="NET",Q96*U96/100,G96*U96/100)</x:v>
      </x:c>
      <x:c r="D516" s="26" t="str">
        <x:v>100, 100</x:v>
      </x:c>
      <x:c r="E516" s="26" t="str">
        <x:v>UNIT CONVERSION</x:v>
      </x:c>
      <x:c r="F516" s="26" t="str">
        <x:v>NO</x:v>
      </x:c>
      <x:c r="G516" s="26" t="str">
        <x:v>RETAIN LITERAL</x:v>
      </x:c>
      <x:c r="H516" s="26" t="str">
        <x:v>Percentage divisor</x:v>
      </x:c>
      <x:c r="I516" s="26" t="str">
        <x:v>Divides percentage points by 100</x:v>
      </x:c>
      <x:c r="J516" s="26" t="str">
        <x:v>v0.21 baseline formula; v0.23 disposition</x:v>
      </x:c>
    </x:row>
    <x:row r="517">
      <x:c r="A517" s="26" t="str">
        <x:v>AB_OS_Project_Data_2024</x:v>
      </x:c>
      <x:c r="B517" s="26" t="str">
        <x:v>AD96</x:v>
      </x:c>
      <x:c r="C517" s="26" t="str">
        <x:v>IF(ABS(H96)&lt;=1000,"PASS","REVIEW")</x:v>
      </x:c>
      <x:c r="D517" s="26" t="str">
        <x:v>1000</x:v>
      </x:c>
      <x:c r="E517" s="26" t="str">
        <x:v>VALIDATION THRESHOLD</x:v>
      </x:c>
      <x:c r="F517" s="26" t="str">
        <x:v>YES</x:v>
      </x:c>
      <x:c r="G517" s="26" t="str">
        <x:v>CENTRALIZED</x:v>
      </x:c>
      <x:c r="H517" s="26" t="str">
        <x:v>P-003</x:v>
      </x:c>
      <x:c r="I517" s="26" t="str">
        <x:v>Internal $1,000 reconciliation tolerance; reviewer approval required</x:v>
      </x:c>
      <x:c r="J517" s="26" t="str">
        <x:v>v0.21 baseline formula; v0.23 disposition</x:v>
      </x:c>
    </x:row>
    <x:row r="518">
      <x:c r="A518" s="26" t="str">
        <x:v>AB_OS_Project_Data_2024</x:v>
      </x:c>
      <x:c r="B518" s="26" t="str">
        <x:v>AE96</x:v>
      </x:c>
      <x:c r="C518" s="26" t="str">
        <x:v>IF(T96&lt;&gt;"NET","N/A",IF(ABS(S96)&lt;=1000,"PASS","REVIEW"))</x:v>
      </x:c>
      <x:c r="D518" s="26" t="str">
        <x:v>1000</x:v>
      </x:c>
      <x:c r="E518" s="26" t="str">
        <x:v>VALIDATION THRESHOLD</x:v>
      </x:c>
      <x:c r="F518" s="26" t="str">
        <x:v>YES</x:v>
      </x:c>
      <x:c r="G518" s="26" t="str">
        <x:v>CENTRALIZED</x:v>
      </x:c>
      <x:c r="H518" s="26" t="str">
        <x:v>P-003</x:v>
      </x:c>
      <x:c r="I518" s="26" t="str">
        <x:v>Internal $1,000 reconciliation tolerance; reviewer approval required</x:v>
      </x:c>
      <x:c r="J518" s="26" t="str">
        <x:v>v0.21 baseline formula; v0.23 disposition</x:v>
      </x:c>
    </x:row>
    <x:row r="519">
      <x:c r="A519" s="26" t="str">
        <x:v>AB_OS_Project_Data_2024</x:v>
      </x:c>
      <x:c r="B519" s="26" t="str">
        <x:v>AF96</x:v>
      </x:c>
      <x:c r="C519" s="26" t="str">
        <x:v>IF(ABS(X96)&lt;=1000,"WITHIN $1K","DISPLAY RATE / ADJUSTMENT")</x:v>
      </x:c>
      <x:c r="D519" s="26" t="str">
        <x:v>1000</x:v>
      </x:c>
      <x:c r="E519" s="26" t="str">
        <x:v>VALIDATION THRESHOLD</x:v>
      </x:c>
      <x:c r="F519" s="26" t="str">
        <x:v>YES</x:v>
      </x:c>
      <x:c r="G519" s="26" t="str">
        <x:v>CENTRALIZED</x:v>
      </x:c>
      <x:c r="H519" s="26" t="str">
        <x:v>P-003</x:v>
      </x:c>
      <x:c r="I519" s="26" t="str">
        <x:v>Internal $1,000 reconciliation tolerance; reviewer approval required</x:v>
      </x:c>
      <x:c r="J519" s="26" t="str">
        <x:v>v0.21 baseline formula; v0.23 disposition</x:v>
      </x:c>
    </x:row>
    <x:row r="520">
      <x:c r="A520" s="26" t="str">
        <x:v>AB_OS_Project_Data_2024</x:v>
      </x:c>
      <x:c r="B520" s="26" t="str">
        <x:v>W97</x:v>
      </x:c>
      <x:c r="C520" s="26" t="str">
        <x:v>IF(T97="NET",Q97*U97/100,G97*U97/100)</x:v>
      </x:c>
      <x:c r="D520" s="26" t="str">
        <x:v>100, 100</x:v>
      </x:c>
      <x:c r="E520" s="26" t="str">
        <x:v>UNIT CONVERSION</x:v>
      </x:c>
      <x:c r="F520" s="26" t="str">
        <x:v>NO</x:v>
      </x:c>
      <x:c r="G520" s="26" t="str">
        <x:v>RETAIN LITERAL</x:v>
      </x:c>
      <x:c r="H520" s="26" t="str">
        <x:v>Percentage divisor</x:v>
      </x:c>
      <x:c r="I520" s="26" t="str">
        <x:v>Divides percentage points by 100</x:v>
      </x:c>
      <x:c r="J520" s="26" t="str">
        <x:v>v0.21 baseline formula; v0.23 disposition</x:v>
      </x:c>
    </x:row>
    <x:row r="521">
      <x:c r="A521" s="26" t="str">
        <x:v>AB_OS_Project_Data_2024</x:v>
      </x:c>
      <x:c r="B521" s="26" t="str">
        <x:v>AD97</x:v>
      </x:c>
      <x:c r="C521" s="26" t="str">
        <x:v>IF(ABS(H97)&lt;=1000,"PASS","REVIEW")</x:v>
      </x:c>
      <x:c r="D521" s="26" t="str">
        <x:v>1000</x:v>
      </x:c>
      <x:c r="E521" s="26" t="str">
        <x:v>VALIDATION THRESHOLD</x:v>
      </x:c>
      <x:c r="F521" s="26" t="str">
        <x:v>YES</x:v>
      </x:c>
      <x:c r="G521" s="26" t="str">
        <x:v>CENTRALIZED</x:v>
      </x:c>
      <x:c r="H521" s="26" t="str">
        <x:v>P-003</x:v>
      </x:c>
      <x:c r="I521" s="26" t="str">
        <x:v>Internal $1,000 reconciliation tolerance; reviewer approval required</x:v>
      </x:c>
      <x:c r="J521" s="26" t="str">
        <x:v>v0.21 baseline formula; v0.23 disposition</x:v>
      </x:c>
    </x:row>
    <x:row r="522">
      <x:c r="A522" s="26" t="str">
        <x:v>AB_OS_Project_Data_2024</x:v>
      </x:c>
      <x:c r="B522" s="26" t="str">
        <x:v>AE97</x:v>
      </x:c>
      <x:c r="C522" s="26" t="str">
        <x:v>IF(T97&lt;&gt;"NET","N/A",IF(ABS(S97)&lt;=1000,"PASS","REVIEW"))</x:v>
      </x:c>
      <x:c r="D522" s="26" t="str">
        <x:v>1000</x:v>
      </x:c>
      <x:c r="E522" s="26" t="str">
        <x:v>VALIDATION THRESHOLD</x:v>
      </x:c>
      <x:c r="F522" s="26" t="str">
        <x:v>YES</x:v>
      </x:c>
      <x:c r="G522" s="26" t="str">
        <x:v>CENTRALIZED</x:v>
      </x:c>
      <x:c r="H522" s="26" t="str">
        <x:v>P-003</x:v>
      </x:c>
      <x:c r="I522" s="26" t="str">
        <x:v>Internal $1,000 reconciliation tolerance; reviewer approval required</x:v>
      </x:c>
      <x:c r="J522" s="26" t="str">
        <x:v>v0.21 baseline formula; v0.23 disposition</x:v>
      </x:c>
    </x:row>
    <x:row r="523">
      <x:c r="A523" s="26" t="str">
        <x:v>AB_OS_Project_Data_2024</x:v>
      </x:c>
      <x:c r="B523" s="26" t="str">
        <x:v>AF97</x:v>
      </x:c>
      <x:c r="C523" s="26" t="str">
        <x:v>IF(ABS(X97)&lt;=1000,"WITHIN $1K","DISPLAY RATE / ADJUSTMENT")</x:v>
      </x:c>
      <x:c r="D523" s="26" t="str">
        <x:v>1000</x:v>
      </x:c>
      <x:c r="E523" s="26" t="str">
        <x:v>VALIDATION THRESHOLD</x:v>
      </x:c>
      <x:c r="F523" s="26" t="str">
        <x:v>YES</x:v>
      </x:c>
      <x:c r="G523" s="26" t="str">
        <x:v>CENTRALIZED</x:v>
      </x:c>
      <x:c r="H523" s="26" t="str">
        <x:v>P-003</x:v>
      </x:c>
      <x:c r="I523" s="26" t="str">
        <x:v>Internal $1,000 reconciliation tolerance; reviewer approval required</x:v>
      </x:c>
      <x:c r="J523" s="26" t="str">
        <x:v>v0.21 baseline formula; v0.23 disposition</x:v>
      </x:c>
    </x:row>
    <x:row r="524">
      <x:c r="A524" s="26" t="str">
        <x:v>AB_OS_Project_Data_2024</x:v>
      </x:c>
      <x:c r="B524" s="26" t="str">
        <x:v>W98</x:v>
      </x:c>
      <x:c r="C524" s="26" t="str">
        <x:v>IF(T98="NET",Q98*U98/100,G98*U98/100)</x:v>
      </x:c>
      <x:c r="D524" s="26" t="str">
        <x:v>100, 100</x:v>
      </x:c>
      <x:c r="E524" s="26" t="str">
        <x:v>UNIT CONVERSION</x:v>
      </x:c>
      <x:c r="F524" s="26" t="str">
        <x:v>NO</x:v>
      </x:c>
      <x:c r="G524" s="26" t="str">
        <x:v>RETAIN LITERAL</x:v>
      </x:c>
      <x:c r="H524" s="26" t="str">
        <x:v>Percentage divisor</x:v>
      </x:c>
      <x:c r="I524" s="26" t="str">
        <x:v>Divides percentage points by 100</x:v>
      </x:c>
      <x:c r="J524" s="26" t="str">
        <x:v>v0.21 baseline formula; v0.23 disposition</x:v>
      </x:c>
    </x:row>
    <x:row r="525">
      <x:c r="A525" s="26" t="str">
        <x:v>AB_OS_Project_Data_2024</x:v>
      </x:c>
      <x:c r="B525" s="26" t="str">
        <x:v>AD98</x:v>
      </x:c>
      <x:c r="C525" s="26" t="str">
        <x:v>IF(ABS(H98)&lt;=1000,"PASS","REVIEW")</x:v>
      </x:c>
      <x:c r="D525" s="26" t="str">
        <x:v>1000</x:v>
      </x:c>
      <x:c r="E525" s="26" t="str">
        <x:v>VALIDATION THRESHOLD</x:v>
      </x:c>
      <x:c r="F525" s="26" t="str">
        <x:v>YES</x:v>
      </x:c>
      <x:c r="G525" s="26" t="str">
        <x:v>CENTRALIZED</x:v>
      </x:c>
      <x:c r="H525" s="26" t="str">
        <x:v>P-003</x:v>
      </x:c>
      <x:c r="I525" s="26" t="str">
        <x:v>Internal $1,000 reconciliation tolerance; reviewer approval required</x:v>
      </x:c>
      <x:c r="J525" s="26" t="str">
        <x:v>v0.21 baseline formula; v0.23 disposition</x:v>
      </x:c>
    </x:row>
    <x:row r="526">
      <x:c r="A526" s="26" t="str">
        <x:v>AB_OS_Project_Data_2024</x:v>
      </x:c>
      <x:c r="B526" s="26" t="str">
        <x:v>AE98</x:v>
      </x:c>
      <x:c r="C526" s="26" t="str">
        <x:v>IF(T98&lt;&gt;"NET","N/A",IF(ABS(S98)&lt;=1000,"PASS","REVIEW"))</x:v>
      </x:c>
      <x:c r="D526" s="26" t="str">
        <x:v>1000</x:v>
      </x:c>
      <x:c r="E526" s="26" t="str">
        <x:v>VALIDATION THRESHOLD</x:v>
      </x:c>
      <x:c r="F526" s="26" t="str">
        <x:v>YES</x:v>
      </x:c>
      <x:c r="G526" s="26" t="str">
        <x:v>CENTRALIZED</x:v>
      </x:c>
      <x:c r="H526" s="26" t="str">
        <x:v>P-003</x:v>
      </x:c>
      <x:c r="I526" s="26" t="str">
        <x:v>Internal $1,000 reconciliation tolerance; reviewer approval required</x:v>
      </x:c>
      <x:c r="J526" s="26" t="str">
        <x:v>v0.21 baseline formula; v0.23 disposition</x:v>
      </x:c>
    </x:row>
    <x:row r="527">
      <x:c r="A527" s="26" t="str">
        <x:v>AB_OS_Project_Data_2024</x:v>
      </x:c>
      <x:c r="B527" s="26" t="str">
        <x:v>AF98</x:v>
      </x:c>
      <x:c r="C527" s="26" t="str">
        <x:v>IF(ABS(X98)&lt;=1000,"WITHIN $1K","DISPLAY RATE / ADJUSTMENT")</x:v>
      </x:c>
      <x:c r="D527" s="26" t="str">
        <x:v>1000</x:v>
      </x:c>
      <x:c r="E527" s="26" t="str">
        <x:v>VALIDATION THRESHOLD</x:v>
      </x:c>
      <x:c r="F527" s="26" t="str">
        <x:v>YES</x:v>
      </x:c>
      <x:c r="G527" s="26" t="str">
        <x:v>CENTRALIZED</x:v>
      </x:c>
      <x:c r="H527" s="26" t="str">
        <x:v>P-003</x:v>
      </x:c>
      <x:c r="I527" s="26" t="str">
        <x:v>Internal $1,000 reconciliation tolerance; reviewer approval required</x:v>
      </x:c>
      <x:c r="J527" s="26" t="str">
        <x:v>v0.21 baseline formula; v0.23 disposition</x:v>
      </x:c>
    </x:row>
    <x:row r="528">
      <x:c r="A528" s="26" t="str">
        <x:v>AB_OS_Project_Data_2024</x:v>
      </x:c>
      <x:c r="B528" s="26" t="str">
        <x:v>W99</x:v>
      </x:c>
      <x:c r="C528" s="26" t="str">
        <x:v>IF(T99="NET",Q99*U99/100,G99*U99/100)</x:v>
      </x:c>
      <x:c r="D528" s="26" t="str">
        <x:v>100, 100</x:v>
      </x:c>
      <x:c r="E528" s="26" t="str">
        <x:v>UNIT CONVERSION</x:v>
      </x:c>
      <x:c r="F528" s="26" t="str">
        <x:v>NO</x:v>
      </x:c>
      <x:c r="G528" s="26" t="str">
        <x:v>RETAIN LITERAL</x:v>
      </x:c>
      <x:c r="H528" s="26" t="str">
        <x:v>Percentage divisor</x:v>
      </x:c>
      <x:c r="I528" s="26" t="str">
        <x:v>Divides percentage points by 100</x:v>
      </x:c>
      <x:c r="J528" s="26" t="str">
        <x:v>v0.21 baseline formula; v0.23 disposition</x:v>
      </x:c>
    </x:row>
    <x:row r="529">
      <x:c r="A529" s="26" t="str">
        <x:v>AB_OS_Project_Data_2024</x:v>
      </x:c>
      <x:c r="B529" s="26" t="str">
        <x:v>AD99</x:v>
      </x:c>
      <x:c r="C529" s="26" t="str">
        <x:v>IF(ABS(H99)&lt;=1000,"PASS","REVIEW")</x:v>
      </x:c>
      <x:c r="D529" s="26" t="str">
        <x:v>1000</x:v>
      </x:c>
      <x:c r="E529" s="26" t="str">
        <x:v>VALIDATION THRESHOLD</x:v>
      </x:c>
      <x:c r="F529" s="26" t="str">
        <x:v>YES</x:v>
      </x:c>
      <x:c r="G529" s="26" t="str">
        <x:v>CENTRALIZED</x:v>
      </x:c>
      <x:c r="H529" s="26" t="str">
        <x:v>P-003</x:v>
      </x:c>
      <x:c r="I529" s="26" t="str">
        <x:v>Internal $1,000 reconciliation tolerance; reviewer approval required</x:v>
      </x:c>
      <x:c r="J529" s="26" t="str">
        <x:v>v0.21 baseline formula; v0.23 disposition</x:v>
      </x:c>
    </x:row>
    <x:row r="530">
      <x:c r="A530" s="26" t="str">
        <x:v>AB_OS_Project_Data_2024</x:v>
      </x:c>
      <x:c r="B530" s="26" t="str">
        <x:v>AE99</x:v>
      </x:c>
      <x:c r="C530" s="26" t="str">
        <x:v>IF(T99&lt;&gt;"NET","N/A",IF(ABS(S99)&lt;=1000,"PASS","REVIEW"))</x:v>
      </x:c>
      <x:c r="D530" s="26" t="str">
        <x:v>1000</x:v>
      </x:c>
      <x:c r="E530" s="26" t="str">
        <x:v>VALIDATION THRESHOLD</x:v>
      </x:c>
      <x:c r="F530" s="26" t="str">
        <x:v>YES</x:v>
      </x:c>
      <x:c r="G530" s="26" t="str">
        <x:v>CENTRALIZED</x:v>
      </x:c>
      <x:c r="H530" s="26" t="str">
        <x:v>P-003</x:v>
      </x:c>
      <x:c r="I530" s="26" t="str">
        <x:v>Internal $1,000 reconciliation tolerance; reviewer approval required</x:v>
      </x:c>
      <x:c r="J530" s="26" t="str">
        <x:v>v0.21 baseline formula; v0.23 disposition</x:v>
      </x:c>
    </x:row>
    <x:row r="531">
      <x:c r="A531" s="26" t="str">
        <x:v>AB_OS_Project_Data_2024</x:v>
      </x:c>
      <x:c r="B531" s="26" t="str">
        <x:v>AF99</x:v>
      </x:c>
      <x:c r="C531" s="26" t="str">
        <x:v>IF(ABS(X99)&lt;=1000,"WITHIN $1K","DISPLAY RATE / ADJUSTMENT")</x:v>
      </x:c>
      <x:c r="D531" s="26" t="str">
        <x:v>1000</x:v>
      </x:c>
      <x:c r="E531" s="26" t="str">
        <x:v>VALIDATION THRESHOLD</x:v>
      </x:c>
      <x:c r="F531" s="26" t="str">
        <x:v>YES</x:v>
      </x:c>
      <x:c r="G531" s="26" t="str">
        <x:v>CENTRALIZED</x:v>
      </x:c>
      <x:c r="H531" s="26" t="str">
        <x:v>P-003</x:v>
      </x:c>
      <x:c r="I531" s="26" t="str">
        <x:v>Internal $1,000 reconciliation tolerance; reviewer approval required</x:v>
      </x:c>
      <x:c r="J531" s="26" t="str">
        <x:v>v0.21 baseline formula; v0.23 disposition</x:v>
      </x:c>
    </x:row>
    <x:row r="532">
      <x:c r="A532" s="26" t="str">
        <x:v>AB_OS_Project_Data_2024</x:v>
      </x:c>
      <x:c r="B532" s="26" t="str">
        <x:v>W100</x:v>
      </x:c>
      <x:c r="C532" s="26" t="str">
        <x:v>IF(T100="NET",Q100*U100/100,G100*U100/100)</x:v>
      </x:c>
      <x:c r="D532" s="26" t="str">
        <x:v>100, 100</x:v>
      </x:c>
      <x:c r="E532" s="26" t="str">
        <x:v>UNIT CONVERSION</x:v>
      </x:c>
      <x:c r="F532" s="26" t="str">
        <x:v>NO</x:v>
      </x:c>
      <x:c r="G532" s="26" t="str">
        <x:v>RETAIN LITERAL</x:v>
      </x:c>
      <x:c r="H532" s="26" t="str">
        <x:v>Percentage divisor</x:v>
      </x:c>
      <x:c r="I532" s="26" t="str">
        <x:v>Divides percentage points by 100</x:v>
      </x:c>
      <x:c r="J532" s="26" t="str">
        <x:v>v0.21 baseline formula; v0.23 disposition</x:v>
      </x:c>
    </x:row>
    <x:row r="533">
      <x:c r="A533" s="26" t="str">
        <x:v>AB_OS_Project_Data_2024</x:v>
      </x:c>
      <x:c r="B533" s="26" t="str">
        <x:v>AD100</x:v>
      </x:c>
      <x:c r="C533" s="26" t="str">
        <x:v>IF(ABS(H100)&lt;=1000,"PASS","REVIEW")</x:v>
      </x:c>
      <x:c r="D533" s="26" t="str">
        <x:v>1000</x:v>
      </x:c>
      <x:c r="E533" s="26" t="str">
        <x:v>VALIDATION THRESHOLD</x:v>
      </x:c>
      <x:c r="F533" s="26" t="str">
        <x:v>YES</x:v>
      </x:c>
      <x:c r="G533" s="26" t="str">
        <x:v>CENTRALIZED</x:v>
      </x:c>
      <x:c r="H533" s="26" t="str">
        <x:v>P-003</x:v>
      </x:c>
      <x:c r="I533" s="26" t="str">
        <x:v>Internal $1,000 reconciliation tolerance; reviewer approval required</x:v>
      </x:c>
      <x:c r="J533" s="26" t="str">
        <x:v>v0.21 baseline formula; v0.23 disposition</x:v>
      </x:c>
    </x:row>
    <x:row r="534">
      <x:c r="A534" s="26" t="str">
        <x:v>AB_OS_Project_Data_2024</x:v>
      </x:c>
      <x:c r="B534" s="26" t="str">
        <x:v>AE100</x:v>
      </x:c>
      <x:c r="C534" s="26" t="str">
        <x:v>IF(T100&lt;&gt;"NET","N/A",IF(ABS(S100)&lt;=1000,"PASS","REVIEW"))</x:v>
      </x:c>
      <x:c r="D534" s="26" t="str">
        <x:v>1000</x:v>
      </x:c>
      <x:c r="E534" s="26" t="str">
        <x:v>VALIDATION THRESHOLD</x:v>
      </x:c>
      <x:c r="F534" s="26" t="str">
        <x:v>YES</x:v>
      </x:c>
      <x:c r="G534" s="26" t="str">
        <x:v>CENTRALIZED</x:v>
      </x:c>
      <x:c r="H534" s="26" t="str">
        <x:v>P-003</x:v>
      </x:c>
      <x:c r="I534" s="26" t="str">
        <x:v>Internal $1,000 reconciliation tolerance; reviewer approval required</x:v>
      </x:c>
      <x:c r="J534" s="26" t="str">
        <x:v>v0.21 baseline formula; v0.23 disposition</x:v>
      </x:c>
    </x:row>
    <x:row r="535">
      <x:c r="A535" s="26" t="str">
        <x:v>AB_OS_Project_Data_2024</x:v>
      </x:c>
      <x:c r="B535" s="26" t="str">
        <x:v>AF100</x:v>
      </x:c>
      <x:c r="C535" s="26" t="str">
        <x:v>IF(ABS(X100)&lt;=1000,"WITHIN $1K","DISPLAY RATE / ADJUSTMENT")</x:v>
      </x:c>
      <x:c r="D535" s="26" t="str">
        <x:v>1000</x:v>
      </x:c>
      <x:c r="E535" s="26" t="str">
        <x:v>VALIDATION THRESHOLD</x:v>
      </x:c>
      <x:c r="F535" s="26" t="str">
        <x:v>YES</x:v>
      </x:c>
      <x:c r="G535" s="26" t="str">
        <x:v>CENTRALIZED</x:v>
      </x:c>
      <x:c r="H535" s="26" t="str">
        <x:v>P-003</x:v>
      </x:c>
      <x:c r="I535" s="26" t="str">
        <x:v>Internal $1,000 reconciliation tolerance; reviewer approval required</x:v>
      </x:c>
      <x:c r="J535" s="26" t="str">
        <x:v>v0.21 baseline formula; v0.23 disposition</x:v>
      </x:c>
    </x:row>
    <x:row r="536">
      <x:c r="A536" s="26" t="str">
        <x:v>AB_OS_Project_Data_2024</x:v>
      </x:c>
      <x:c r="B536" s="26" t="str">
        <x:v>W101</x:v>
      </x:c>
      <x:c r="C536" s="26" t="str">
        <x:v>IF(T101="NET",Q101*U101/100,G101*U101/100)</x:v>
      </x:c>
      <x:c r="D536" s="26" t="str">
        <x:v>100, 100</x:v>
      </x:c>
      <x:c r="E536" s="26" t="str">
        <x:v>UNIT CONVERSION</x:v>
      </x:c>
      <x:c r="F536" s="26" t="str">
        <x:v>NO</x:v>
      </x:c>
      <x:c r="G536" s="26" t="str">
        <x:v>RETAIN LITERAL</x:v>
      </x:c>
      <x:c r="H536" s="26" t="str">
        <x:v>Percentage divisor</x:v>
      </x:c>
      <x:c r="I536" s="26" t="str">
        <x:v>Divides percentage points by 100</x:v>
      </x:c>
      <x:c r="J536" s="26" t="str">
        <x:v>v0.21 baseline formula; v0.23 disposition</x:v>
      </x:c>
    </x:row>
    <x:row r="537">
      <x:c r="A537" s="26" t="str">
        <x:v>AB_OS_Project_Data_2024</x:v>
      </x:c>
      <x:c r="B537" s="26" t="str">
        <x:v>AD101</x:v>
      </x:c>
      <x:c r="C537" s="26" t="str">
        <x:v>IF(ABS(H101)&lt;=1000,"PASS","REVIEW")</x:v>
      </x:c>
      <x:c r="D537" s="26" t="str">
        <x:v>1000</x:v>
      </x:c>
      <x:c r="E537" s="26" t="str">
        <x:v>VALIDATION THRESHOLD</x:v>
      </x:c>
      <x:c r="F537" s="26" t="str">
        <x:v>YES</x:v>
      </x:c>
      <x:c r="G537" s="26" t="str">
        <x:v>CENTRALIZED</x:v>
      </x:c>
      <x:c r="H537" s="26" t="str">
        <x:v>P-003</x:v>
      </x:c>
      <x:c r="I537" s="26" t="str">
        <x:v>Internal $1,000 reconciliation tolerance; reviewer approval required</x:v>
      </x:c>
      <x:c r="J537" s="26" t="str">
        <x:v>v0.21 baseline formula; v0.23 disposition</x:v>
      </x:c>
    </x:row>
    <x:row r="538">
      <x:c r="A538" s="26" t="str">
        <x:v>AB_OS_Project_Data_2024</x:v>
      </x:c>
      <x:c r="B538" s="26" t="str">
        <x:v>AE101</x:v>
      </x:c>
      <x:c r="C538" s="26" t="str">
        <x:v>IF(T101&lt;&gt;"NET","N/A",IF(ABS(S101)&lt;=1000,"PASS","REVIEW"))</x:v>
      </x:c>
      <x:c r="D538" s="26" t="str">
        <x:v>1000</x:v>
      </x:c>
      <x:c r="E538" s="26" t="str">
        <x:v>VALIDATION THRESHOLD</x:v>
      </x:c>
      <x:c r="F538" s="26" t="str">
        <x:v>YES</x:v>
      </x:c>
      <x:c r="G538" s="26" t="str">
        <x:v>CENTRALIZED</x:v>
      </x:c>
      <x:c r="H538" s="26" t="str">
        <x:v>P-003</x:v>
      </x:c>
      <x:c r="I538" s="26" t="str">
        <x:v>Internal $1,000 reconciliation tolerance; reviewer approval required</x:v>
      </x:c>
      <x:c r="J538" s="26" t="str">
        <x:v>v0.21 baseline formula; v0.23 disposition</x:v>
      </x:c>
    </x:row>
    <x:row r="539">
      <x:c r="A539" s="26" t="str">
        <x:v>AB_OS_Project_Data_2024</x:v>
      </x:c>
      <x:c r="B539" s="26" t="str">
        <x:v>AF101</x:v>
      </x:c>
      <x:c r="C539" s="26" t="str">
        <x:v>IF(ABS(X101)&lt;=1000,"WITHIN $1K","DISPLAY RATE / ADJUSTMENT")</x:v>
      </x:c>
      <x:c r="D539" s="26" t="str">
        <x:v>1000</x:v>
      </x:c>
      <x:c r="E539" s="26" t="str">
        <x:v>VALIDATION THRESHOLD</x:v>
      </x:c>
      <x:c r="F539" s="26" t="str">
        <x:v>YES</x:v>
      </x:c>
      <x:c r="G539" s="26" t="str">
        <x:v>CENTRALIZED</x:v>
      </x:c>
      <x:c r="H539" s="26" t="str">
        <x:v>P-003</x:v>
      </x:c>
      <x:c r="I539" s="26" t="str">
        <x:v>Internal $1,000 reconciliation tolerance; reviewer approval required</x:v>
      </x:c>
      <x:c r="J539" s="26" t="str">
        <x:v>v0.21 baseline formula; v0.23 disposition</x:v>
      </x:c>
    </x:row>
    <x:row r="540">
      <x:c r="A540" s="26" t="str">
        <x:v>AB_OS_Project_Data_2024</x:v>
      </x:c>
      <x:c r="B540" s="26" t="str">
        <x:v>W102</x:v>
      </x:c>
      <x:c r="C540" s="26" t="str">
        <x:v>IF(T102="NET",Q102*U102/100,G102*U102/100)</x:v>
      </x:c>
      <x:c r="D540" s="26" t="str">
        <x:v>100, 100</x:v>
      </x:c>
      <x:c r="E540" s="26" t="str">
        <x:v>UNIT CONVERSION</x:v>
      </x:c>
      <x:c r="F540" s="26" t="str">
        <x:v>NO</x:v>
      </x:c>
      <x:c r="G540" s="26" t="str">
        <x:v>RETAIN LITERAL</x:v>
      </x:c>
      <x:c r="H540" s="26" t="str">
        <x:v>Percentage divisor</x:v>
      </x:c>
      <x:c r="I540" s="26" t="str">
        <x:v>Divides percentage points by 100</x:v>
      </x:c>
      <x:c r="J540" s="26" t="str">
        <x:v>v0.21 baseline formula; v0.23 disposition</x:v>
      </x:c>
    </x:row>
    <x:row r="541">
      <x:c r="A541" s="26" t="str">
        <x:v>AB_OS_Project_Data_2024</x:v>
      </x:c>
      <x:c r="B541" s="26" t="str">
        <x:v>AD102</x:v>
      </x:c>
      <x:c r="C541" s="26" t="str">
        <x:v>IF(ABS(H102)&lt;=1000,"PASS","REVIEW")</x:v>
      </x:c>
      <x:c r="D541" s="26" t="str">
        <x:v>1000</x:v>
      </x:c>
      <x:c r="E541" s="26" t="str">
        <x:v>VALIDATION THRESHOLD</x:v>
      </x:c>
      <x:c r="F541" s="26" t="str">
        <x:v>YES</x:v>
      </x:c>
      <x:c r="G541" s="26" t="str">
        <x:v>CENTRALIZED</x:v>
      </x:c>
      <x:c r="H541" s="26" t="str">
        <x:v>P-003</x:v>
      </x:c>
      <x:c r="I541" s="26" t="str">
        <x:v>Internal $1,000 reconciliation tolerance; reviewer approval required</x:v>
      </x:c>
      <x:c r="J541" s="26" t="str">
        <x:v>v0.21 baseline formula; v0.23 disposition</x:v>
      </x:c>
    </x:row>
    <x:row r="542">
      <x:c r="A542" s="26" t="str">
        <x:v>AB_OS_Project_Data_2024</x:v>
      </x:c>
      <x:c r="B542" s="26" t="str">
        <x:v>AE102</x:v>
      </x:c>
      <x:c r="C542" s="26" t="str">
        <x:v>IF(T102&lt;&gt;"NET","N/A",IF(ABS(S102)&lt;=1000,"PASS","REVIEW"))</x:v>
      </x:c>
      <x:c r="D542" s="26" t="str">
        <x:v>1000</x:v>
      </x:c>
      <x:c r="E542" s="26" t="str">
        <x:v>VALIDATION THRESHOLD</x:v>
      </x:c>
      <x:c r="F542" s="26" t="str">
        <x:v>YES</x:v>
      </x:c>
      <x:c r="G542" s="26" t="str">
        <x:v>CENTRALIZED</x:v>
      </x:c>
      <x:c r="H542" s="26" t="str">
        <x:v>P-003</x:v>
      </x:c>
      <x:c r="I542" s="26" t="str">
        <x:v>Internal $1,000 reconciliation tolerance; reviewer approval required</x:v>
      </x:c>
      <x:c r="J542" s="26" t="str">
        <x:v>v0.21 baseline formula; v0.23 disposition</x:v>
      </x:c>
    </x:row>
    <x:row r="543">
      <x:c r="A543" s="26" t="str">
        <x:v>AB_OS_Project_Data_2024</x:v>
      </x:c>
      <x:c r="B543" s="26" t="str">
        <x:v>AF102</x:v>
      </x:c>
      <x:c r="C543" s="26" t="str">
        <x:v>IF(ABS(X102)&lt;=1000,"WITHIN $1K","DISPLAY RATE / ADJUSTMENT")</x:v>
      </x:c>
      <x:c r="D543" s="26" t="str">
        <x:v>1000</x:v>
      </x:c>
      <x:c r="E543" s="26" t="str">
        <x:v>VALIDATION THRESHOLD</x:v>
      </x:c>
      <x:c r="F543" s="26" t="str">
        <x:v>YES</x:v>
      </x:c>
      <x:c r="G543" s="26" t="str">
        <x:v>CENTRALIZED</x:v>
      </x:c>
      <x:c r="H543" s="26" t="str">
        <x:v>P-003</x:v>
      </x:c>
      <x:c r="I543" s="26" t="str">
        <x:v>Internal $1,000 reconciliation tolerance; reviewer approval required</x:v>
      </x:c>
      <x:c r="J543" s="26" t="str">
        <x:v>v0.21 baseline formula; v0.23 disposition</x:v>
      </x:c>
    </x:row>
    <x:row r="544">
      <x:c r="A544" s="26" t="str">
        <x:v>AB_OS_Project_Data_2024</x:v>
      </x:c>
      <x:c r="B544" s="26" t="str">
        <x:v>W103</x:v>
      </x:c>
      <x:c r="C544" s="26" t="str">
        <x:v>IF(T103="NET",Q103*U103/100,G103*U103/100)</x:v>
      </x:c>
      <x:c r="D544" s="26" t="str">
        <x:v>100, 100</x:v>
      </x:c>
      <x:c r="E544" s="26" t="str">
        <x:v>UNIT CONVERSION</x:v>
      </x:c>
      <x:c r="F544" s="26" t="str">
        <x:v>NO</x:v>
      </x:c>
      <x:c r="G544" s="26" t="str">
        <x:v>RETAIN LITERAL</x:v>
      </x:c>
      <x:c r="H544" s="26" t="str">
        <x:v>Percentage divisor</x:v>
      </x:c>
      <x:c r="I544" s="26" t="str">
        <x:v>Divides percentage points by 100</x:v>
      </x:c>
      <x:c r="J544" s="26" t="str">
        <x:v>v0.21 baseline formula; v0.23 disposition</x:v>
      </x:c>
    </x:row>
    <x:row r="545">
      <x:c r="A545" s="26" t="str">
        <x:v>AB_OS_Project_Data_2024</x:v>
      </x:c>
      <x:c r="B545" s="26" t="str">
        <x:v>AD103</x:v>
      </x:c>
      <x:c r="C545" s="26" t="str">
        <x:v>IF(ABS(H103)&lt;=1000,"PASS","REVIEW")</x:v>
      </x:c>
      <x:c r="D545" s="26" t="str">
        <x:v>1000</x:v>
      </x:c>
      <x:c r="E545" s="26" t="str">
        <x:v>VALIDATION THRESHOLD</x:v>
      </x:c>
      <x:c r="F545" s="26" t="str">
        <x:v>YES</x:v>
      </x:c>
      <x:c r="G545" s="26" t="str">
        <x:v>CENTRALIZED</x:v>
      </x:c>
      <x:c r="H545" s="26" t="str">
        <x:v>P-003</x:v>
      </x:c>
      <x:c r="I545" s="26" t="str">
        <x:v>Internal $1,000 reconciliation tolerance; reviewer approval required</x:v>
      </x:c>
      <x:c r="J545" s="26" t="str">
        <x:v>v0.21 baseline formula; v0.23 disposition</x:v>
      </x:c>
    </x:row>
    <x:row r="546">
      <x:c r="A546" s="26" t="str">
        <x:v>AB_OS_Project_Data_2024</x:v>
      </x:c>
      <x:c r="B546" s="26" t="str">
        <x:v>AE103</x:v>
      </x:c>
      <x:c r="C546" s="26" t="str">
        <x:v>IF(T103&lt;&gt;"NET","N/A",IF(ABS(S103)&lt;=1000,"PASS","REVIEW"))</x:v>
      </x:c>
      <x:c r="D546" s="26" t="str">
        <x:v>1000</x:v>
      </x:c>
      <x:c r="E546" s="26" t="str">
        <x:v>VALIDATION THRESHOLD</x:v>
      </x:c>
      <x:c r="F546" s="26" t="str">
        <x:v>YES</x:v>
      </x:c>
      <x:c r="G546" s="26" t="str">
        <x:v>CENTRALIZED</x:v>
      </x:c>
      <x:c r="H546" s="26" t="str">
        <x:v>P-003</x:v>
      </x:c>
      <x:c r="I546" s="26" t="str">
        <x:v>Internal $1,000 reconciliation tolerance; reviewer approval required</x:v>
      </x:c>
      <x:c r="J546" s="26" t="str">
        <x:v>v0.21 baseline formula; v0.23 disposition</x:v>
      </x:c>
    </x:row>
    <x:row r="547">
      <x:c r="A547" s="26" t="str">
        <x:v>AB_OS_Project_Data_2024</x:v>
      </x:c>
      <x:c r="B547" s="26" t="str">
        <x:v>AF103</x:v>
      </x:c>
      <x:c r="C547" s="26" t="str">
        <x:v>IF(ABS(X103)&lt;=1000,"WITHIN $1K","DISPLAY RATE / ADJUSTMENT")</x:v>
      </x:c>
      <x:c r="D547" s="26" t="str">
        <x:v>1000</x:v>
      </x:c>
      <x:c r="E547" s="26" t="str">
        <x:v>VALIDATION THRESHOLD</x:v>
      </x:c>
      <x:c r="F547" s="26" t="str">
        <x:v>YES</x:v>
      </x:c>
      <x:c r="G547" s="26" t="str">
        <x:v>CENTRALIZED</x:v>
      </x:c>
      <x:c r="H547" s="26" t="str">
        <x:v>P-003</x:v>
      </x:c>
      <x:c r="I547" s="26" t="str">
        <x:v>Internal $1,000 reconciliation tolerance; reviewer approval required</x:v>
      </x:c>
      <x:c r="J547" s="26" t="str">
        <x:v>v0.21 baseline formula; v0.23 disposition</x:v>
      </x:c>
    </x:row>
    <x:row r="548">
      <x:c r="A548" s="26" t="str">
        <x:v>AB_OS_Project_Data_2024</x:v>
      </x:c>
      <x:c r="B548" s="26" t="str">
        <x:v>W104</x:v>
      </x:c>
      <x:c r="C548" s="26" t="str">
        <x:v>IF(T104="NET",Q104*U104/100,G104*U104/100)</x:v>
      </x:c>
      <x:c r="D548" s="26" t="str">
        <x:v>100, 100</x:v>
      </x:c>
      <x:c r="E548" s="26" t="str">
        <x:v>UNIT CONVERSION</x:v>
      </x:c>
      <x:c r="F548" s="26" t="str">
        <x:v>NO</x:v>
      </x:c>
      <x:c r="G548" s="26" t="str">
        <x:v>RETAIN LITERAL</x:v>
      </x:c>
      <x:c r="H548" s="26" t="str">
        <x:v>Percentage divisor</x:v>
      </x:c>
      <x:c r="I548" s="26" t="str">
        <x:v>Divides percentage points by 100</x:v>
      </x:c>
      <x:c r="J548" s="26" t="str">
        <x:v>v0.21 baseline formula; v0.23 disposition</x:v>
      </x:c>
    </x:row>
    <x:row r="549">
      <x:c r="A549" s="26" t="str">
        <x:v>AB_OS_Project_Data_2024</x:v>
      </x:c>
      <x:c r="B549" s="26" t="str">
        <x:v>AD104</x:v>
      </x:c>
      <x:c r="C549" s="26" t="str">
        <x:v>IF(ABS(H104)&lt;=1000,"PASS","REVIEW")</x:v>
      </x:c>
      <x:c r="D549" s="26" t="str">
        <x:v>1000</x:v>
      </x:c>
      <x:c r="E549" s="26" t="str">
        <x:v>VALIDATION THRESHOLD</x:v>
      </x:c>
      <x:c r="F549" s="26" t="str">
        <x:v>YES</x:v>
      </x:c>
      <x:c r="G549" s="26" t="str">
        <x:v>CENTRALIZED</x:v>
      </x:c>
      <x:c r="H549" s="26" t="str">
        <x:v>P-003</x:v>
      </x:c>
      <x:c r="I549" s="26" t="str">
        <x:v>Internal $1,000 reconciliation tolerance; reviewer approval required</x:v>
      </x:c>
      <x:c r="J549" s="26" t="str">
        <x:v>v0.21 baseline formula; v0.23 disposition</x:v>
      </x:c>
    </x:row>
    <x:row r="550">
      <x:c r="A550" s="26" t="str">
        <x:v>AB_OS_Project_Data_2024</x:v>
      </x:c>
      <x:c r="B550" s="26" t="str">
        <x:v>AE104</x:v>
      </x:c>
      <x:c r="C550" s="26" t="str">
        <x:v>IF(T104&lt;&gt;"NET","N/A",IF(ABS(S104)&lt;=1000,"PASS","REVIEW"))</x:v>
      </x:c>
      <x:c r="D550" s="26" t="str">
        <x:v>1000</x:v>
      </x:c>
      <x:c r="E550" s="26" t="str">
        <x:v>VALIDATION THRESHOLD</x:v>
      </x:c>
      <x:c r="F550" s="26" t="str">
        <x:v>YES</x:v>
      </x:c>
      <x:c r="G550" s="26" t="str">
        <x:v>CENTRALIZED</x:v>
      </x:c>
      <x:c r="H550" s="26" t="str">
        <x:v>P-003</x:v>
      </x:c>
      <x:c r="I550" s="26" t="str">
        <x:v>Internal $1,000 reconciliation tolerance; reviewer approval required</x:v>
      </x:c>
      <x:c r="J550" s="26" t="str">
        <x:v>v0.21 baseline formula; v0.23 disposition</x:v>
      </x:c>
    </x:row>
    <x:row r="551">
      <x:c r="A551" s="26" t="str">
        <x:v>AB_OS_Project_Data_2024</x:v>
      </x:c>
      <x:c r="B551" s="26" t="str">
        <x:v>AF104</x:v>
      </x:c>
      <x:c r="C551" s="26" t="str">
        <x:v>IF(ABS(X104)&lt;=1000,"WITHIN $1K","DISPLAY RATE / ADJUSTMENT")</x:v>
      </x:c>
      <x:c r="D551" s="26" t="str">
        <x:v>1000</x:v>
      </x:c>
      <x:c r="E551" s="26" t="str">
        <x:v>VALIDATION THRESHOLD</x:v>
      </x:c>
      <x:c r="F551" s="26" t="str">
        <x:v>YES</x:v>
      </x:c>
      <x:c r="G551" s="26" t="str">
        <x:v>CENTRALIZED</x:v>
      </x:c>
      <x:c r="H551" s="26" t="str">
        <x:v>P-003</x:v>
      </x:c>
      <x:c r="I551" s="26" t="str">
        <x:v>Internal $1,000 reconciliation tolerance; reviewer approval required</x:v>
      </x:c>
      <x:c r="J551" s="26" t="str">
        <x:v>v0.21 baseline formula; v0.23 disposition</x:v>
      </x:c>
    </x:row>
    <x:row r="552">
      <x:c r="A552" s="26" t="str">
        <x:v>AB_OS_Project_Data_2024</x:v>
      </x:c>
      <x:c r="B552" s="26" t="str">
        <x:v>W105</x:v>
      </x:c>
      <x:c r="C552" s="26" t="str">
        <x:v>IF(T105="NET",Q105*U105/100,G105*U105/100)</x:v>
      </x:c>
      <x:c r="D552" s="26" t="str">
        <x:v>100, 100</x:v>
      </x:c>
      <x:c r="E552" s="26" t="str">
        <x:v>UNIT CONVERSION</x:v>
      </x:c>
      <x:c r="F552" s="26" t="str">
        <x:v>NO</x:v>
      </x:c>
      <x:c r="G552" s="26" t="str">
        <x:v>RETAIN LITERAL</x:v>
      </x:c>
      <x:c r="H552" s="26" t="str">
        <x:v>Percentage divisor</x:v>
      </x:c>
      <x:c r="I552" s="26" t="str">
        <x:v>Divides percentage points by 100</x:v>
      </x:c>
      <x:c r="J552" s="26" t="str">
        <x:v>v0.21 baseline formula; v0.23 disposition</x:v>
      </x:c>
    </x:row>
    <x:row r="553">
      <x:c r="A553" s="26" t="str">
        <x:v>AB_OS_Project_Data_2024</x:v>
      </x:c>
      <x:c r="B553" s="26" t="str">
        <x:v>AD105</x:v>
      </x:c>
      <x:c r="C553" s="26" t="str">
        <x:v>IF(ABS(H105)&lt;=1000,"PASS","REVIEW")</x:v>
      </x:c>
      <x:c r="D553" s="26" t="str">
        <x:v>1000</x:v>
      </x:c>
      <x:c r="E553" s="26" t="str">
        <x:v>VALIDATION THRESHOLD</x:v>
      </x:c>
      <x:c r="F553" s="26" t="str">
        <x:v>YES</x:v>
      </x:c>
      <x:c r="G553" s="26" t="str">
        <x:v>CENTRALIZED</x:v>
      </x:c>
      <x:c r="H553" s="26" t="str">
        <x:v>P-003</x:v>
      </x:c>
      <x:c r="I553" s="26" t="str">
        <x:v>Internal $1,000 reconciliation tolerance; reviewer approval required</x:v>
      </x:c>
      <x:c r="J553" s="26" t="str">
        <x:v>v0.21 baseline formula; v0.23 disposition</x:v>
      </x:c>
    </x:row>
    <x:row r="554">
      <x:c r="A554" s="26" t="str">
        <x:v>AB_OS_Project_Data_2024</x:v>
      </x:c>
      <x:c r="B554" s="26" t="str">
        <x:v>AE105</x:v>
      </x:c>
      <x:c r="C554" s="26" t="str">
        <x:v>IF(T105&lt;&gt;"NET","N/A",IF(ABS(S105)&lt;=1000,"PASS","REVIEW"))</x:v>
      </x:c>
      <x:c r="D554" s="26" t="str">
        <x:v>1000</x:v>
      </x:c>
      <x:c r="E554" s="26" t="str">
        <x:v>VALIDATION THRESHOLD</x:v>
      </x:c>
      <x:c r="F554" s="26" t="str">
        <x:v>YES</x:v>
      </x:c>
      <x:c r="G554" s="26" t="str">
        <x:v>CENTRALIZED</x:v>
      </x:c>
      <x:c r="H554" s="26" t="str">
        <x:v>P-003</x:v>
      </x:c>
      <x:c r="I554" s="26" t="str">
        <x:v>Internal $1,000 reconciliation tolerance; reviewer approval required</x:v>
      </x:c>
      <x:c r="J554" s="26" t="str">
        <x:v>v0.21 baseline formula; v0.23 disposition</x:v>
      </x:c>
    </x:row>
    <x:row r="555">
      <x:c r="A555" s="26" t="str">
        <x:v>AB_OS_Project_Data_2024</x:v>
      </x:c>
      <x:c r="B555" s="26" t="str">
        <x:v>AF105</x:v>
      </x:c>
      <x:c r="C555" s="26" t="str">
        <x:v>IF(ABS(X105)&lt;=1000,"WITHIN $1K","DISPLAY RATE / ADJUSTMENT")</x:v>
      </x:c>
      <x:c r="D555" s="26" t="str">
        <x:v>1000</x:v>
      </x:c>
      <x:c r="E555" s="26" t="str">
        <x:v>VALIDATION THRESHOLD</x:v>
      </x:c>
      <x:c r="F555" s="26" t="str">
        <x:v>YES</x:v>
      </x:c>
      <x:c r="G555" s="26" t="str">
        <x:v>CENTRALIZED</x:v>
      </x:c>
      <x:c r="H555" s="26" t="str">
        <x:v>P-003</x:v>
      </x:c>
      <x:c r="I555" s="26" t="str">
        <x:v>Internal $1,000 reconciliation tolerance; reviewer approval required</x:v>
      </x:c>
      <x:c r="J555" s="26" t="str">
        <x:v>v0.21 baseline formula; v0.23 disposition</x:v>
      </x:c>
    </x:row>
    <x:row r="556">
      <x:c r="A556" s="26" t="str">
        <x:v>AB_OS_Project_Data_2024</x:v>
      </x:c>
      <x:c r="B556" s="26" t="str">
        <x:v>W106</x:v>
      </x:c>
      <x:c r="C556" s="26" t="str">
        <x:v>IF(T106="NET",Q106*U106/100,G106*U106/100)</x:v>
      </x:c>
      <x:c r="D556" s="26" t="str">
        <x:v>100, 100</x:v>
      </x:c>
      <x:c r="E556" s="26" t="str">
        <x:v>UNIT CONVERSION</x:v>
      </x:c>
      <x:c r="F556" s="26" t="str">
        <x:v>NO</x:v>
      </x:c>
      <x:c r="G556" s="26" t="str">
        <x:v>RETAIN LITERAL</x:v>
      </x:c>
      <x:c r="H556" s="26" t="str">
        <x:v>Percentage divisor</x:v>
      </x:c>
      <x:c r="I556" s="26" t="str">
        <x:v>Divides percentage points by 100</x:v>
      </x:c>
      <x:c r="J556" s="26" t="str">
        <x:v>v0.21 baseline formula; v0.23 disposition</x:v>
      </x:c>
    </x:row>
    <x:row r="557">
      <x:c r="A557" s="26" t="str">
        <x:v>AB_OS_Project_Data_2024</x:v>
      </x:c>
      <x:c r="B557" s="26" t="str">
        <x:v>AD106</x:v>
      </x:c>
      <x:c r="C557" s="26" t="str">
        <x:v>IF(ABS(H106)&lt;=1000,"PASS","REVIEW")</x:v>
      </x:c>
      <x:c r="D557" s="26" t="str">
        <x:v>1000</x:v>
      </x:c>
      <x:c r="E557" s="26" t="str">
        <x:v>VALIDATION THRESHOLD</x:v>
      </x:c>
      <x:c r="F557" s="26" t="str">
        <x:v>YES</x:v>
      </x:c>
      <x:c r="G557" s="26" t="str">
        <x:v>CENTRALIZED</x:v>
      </x:c>
      <x:c r="H557" s="26" t="str">
        <x:v>P-003</x:v>
      </x:c>
      <x:c r="I557" s="26" t="str">
        <x:v>Internal $1,000 reconciliation tolerance; reviewer approval required</x:v>
      </x:c>
      <x:c r="J557" s="26" t="str">
        <x:v>v0.21 baseline formula; v0.23 disposition</x:v>
      </x:c>
    </x:row>
    <x:row r="558">
      <x:c r="A558" s="26" t="str">
        <x:v>AB_OS_Project_Data_2024</x:v>
      </x:c>
      <x:c r="B558" s="26" t="str">
        <x:v>AE106</x:v>
      </x:c>
      <x:c r="C558" s="26" t="str">
        <x:v>IF(T106&lt;&gt;"NET","N/A",IF(ABS(S106)&lt;=1000,"PASS","REVIEW"))</x:v>
      </x:c>
      <x:c r="D558" s="26" t="str">
        <x:v>1000</x:v>
      </x:c>
      <x:c r="E558" s="26" t="str">
        <x:v>VALIDATION THRESHOLD</x:v>
      </x:c>
      <x:c r="F558" s="26" t="str">
        <x:v>YES</x:v>
      </x:c>
      <x:c r="G558" s="26" t="str">
        <x:v>CENTRALIZED</x:v>
      </x:c>
      <x:c r="H558" s="26" t="str">
        <x:v>P-003</x:v>
      </x:c>
      <x:c r="I558" s="26" t="str">
        <x:v>Internal $1,000 reconciliation tolerance; reviewer approval required</x:v>
      </x:c>
      <x:c r="J558" s="26" t="str">
        <x:v>v0.21 baseline formula; v0.23 disposition</x:v>
      </x:c>
    </x:row>
    <x:row r="559">
      <x:c r="A559" s="26" t="str">
        <x:v>AB_OS_Project_Data_2024</x:v>
      </x:c>
      <x:c r="B559" s="26" t="str">
        <x:v>AF106</x:v>
      </x:c>
      <x:c r="C559" s="26" t="str">
        <x:v>IF(ABS(X106)&lt;=1000,"WITHIN $1K","DISPLAY RATE / ADJUSTMENT")</x:v>
      </x:c>
      <x:c r="D559" s="26" t="str">
        <x:v>1000</x:v>
      </x:c>
      <x:c r="E559" s="26" t="str">
        <x:v>VALIDATION THRESHOLD</x:v>
      </x:c>
      <x:c r="F559" s="26" t="str">
        <x:v>YES</x:v>
      </x:c>
      <x:c r="G559" s="26" t="str">
        <x:v>CENTRALIZED</x:v>
      </x:c>
      <x:c r="H559" s="26" t="str">
        <x:v>P-003</x:v>
      </x:c>
      <x:c r="I559" s="26" t="str">
        <x:v>Internal $1,000 reconciliation tolerance; reviewer approval required</x:v>
      </x:c>
      <x:c r="J559" s="26" t="str">
        <x:v>v0.21 baseline formula; v0.23 disposition</x:v>
      </x:c>
    </x:row>
    <x:row r="560">
      <x:c r="A560" s="26" t="str">
        <x:v>AB_OS_Project_Data_2024</x:v>
      </x:c>
      <x:c r="B560" s="26" t="str">
        <x:v>W107</x:v>
      </x:c>
      <x:c r="C560" s="26" t="str">
        <x:v>IF(T107="NET",Q107*U107/100,G107*U107/100)</x:v>
      </x:c>
      <x:c r="D560" s="26" t="str">
        <x:v>100, 100</x:v>
      </x:c>
      <x:c r="E560" s="26" t="str">
        <x:v>UNIT CONVERSION</x:v>
      </x:c>
      <x:c r="F560" s="26" t="str">
        <x:v>NO</x:v>
      </x:c>
      <x:c r="G560" s="26" t="str">
        <x:v>RETAIN LITERAL</x:v>
      </x:c>
      <x:c r="H560" s="26" t="str">
        <x:v>Percentage divisor</x:v>
      </x:c>
      <x:c r="I560" s="26" t="str">
        <x:v>Divides percentage points by 100</x:v>
      </x:c>
      <x:c r="J560" s="26" t="str">
        <x:v>v0.21 baseline formula; v0.23 disposition</x:v>
      </x:c>
    </x:row>
    <x:row r="561">
      <x:c r="A561" s="26" t="str">
        <x:v>AB_OS_Project_Data_2024</x:v>
      </x:c>
      <x:c r="B561" s="26" t="str">
        <x:v>AD107</x:v>
      </x:c>
      <x:c r="C561" s="26" t="str">
        <x:v>IF(ABS(H107)&lt;=1000,"PASS","REVIEW")</x:v>
      </x:c>
      <x:c r="D561" s="26" t="str">
        <x:v>1000</x:v>
      </x:c>
      <x:c r="E561" s="26" t="str">
        <x:v>VALIDATION THRESHOLD</x:v>
      </x:c>
      <x:c r="F561" s="26" t="str">
        <x:v>YES</x:v>
      </x:c>
      <x:c r="G561" s="26" t="str">
        <x:v>CENTRALIZED</x:v>
      </x:c>
      <x:c r="H561" s="26" t="str">
        <x:v>P-003</x:v>
      </x:c>
      <x:c r="I561" s="26" t="str">
        <x:v>Internal $1,000 reconciliation tolerance; reviewer approval required</x:v>
      </x:c>
      <x:c r="J561" s="26" t="str">
        <x:v>v0.21 baseline formula; v0.23 disposition</x:v>
      </x:c>
    </x:row>
    <x:row r="562">
      <x:c r="A562" s="26" t="str">
        <x:v>AB_OS_Project_Data_2024</x:v>
      </x:c>
      <x:c r="B562" s="26" t="str">
        <x:v>AE107</x:v>
      </x:c>
      <x:c r="C562" s="26" t="str">
        <x:v>IF(T107&lt;&gt;"NET","N/A",IF(ABS(S107)&lt;=1000,"PASS","REVIEW"))</x:v>
      </x:c>
      <x:c r="D562" s="26" t="str">
        <x:v>1000</x:v>
      </x:c>
      <x:c r="E562" s="26" t="str">
        <x:v>VALIDATION THRESHOLD</x:v>
      </x:c>
      <x:c r="F562" s="26" t="str">
        <x:v>YES</x:v>
      </x:c>
      <x:c r="G562" s="26" t="str">
        <x:v>CENTRALIZED</x:v>
      </x:c>
      <x:c r="H562" s="26" t="str">
        <x:v>P-003</x:v>
      </x:c>
      <x:c r="I562" s="26" t="str">
        <x:v>Internal $1,000 reconciliation tolerance; reviewer approval required</x:v>
      </x:c>
      <x:c r="J562" s="26" t="str">
        <x:v>v0.21 baseline formula; v0.23 disposition</x:v>
      </x:c>
    </x:row>
    <x:row r="563">
      <x:c r="A563" s="26" t="str">
        <x:v>AB_OS_Project_Data_2024</x:v>
      </x:c>
      <x:c r="B563" s="26" t="str">
        <x:v>AF107</x:v>
      </x:c>
      <x:c r="C563" s="26" t="str">
        <x:v>IF(ABS(X107)&lt;=1000,"WITHIN $1K","DISPLAY RATE / ADJUSTMENT")</x:v>
      </x:c>
      <x:c r="D563" s="26" t="str">
        <x:v>1000</x:v>
      </x:c>
      <x:c r="E563" s="26" t="str">
        <x:v>VALIDATION THRESHOLD</x:v>
      </x:c>
      <x:c r="F563" s="26" t="str">
        <x:v>YES</x:v>
      </x:c>
      <x:c r="G563" s="26" t="str">
        <x:v>CENTRALIZED</x:v>
      </x:c>
      <x:c r="H563" s="26" t="str">
        <x:v>P-003</x:v>
      </x:c>
      <x:c r="I563" s="26" t="str">
        <x:v>Internal $1,000 reconciliation tolerance; reviewer approval required</x:v>
      </x:c>
      <x:c r="J563" s="26" t="str">
        <x:v>v0.21 baseline formula; v0.23 disposition</x:v>
      </x:c>
    </x:row>
    <x:row r="564">
      <x:c r="A564" s="26" t="str">
        <x:v>AB_OS_Project_Data_2024</x:v>
      </x:c>
      <x:c r="B564" s="26" t="str">
        <x:v>W108</x:v>
      </x:c>
      <x:c r="C564" s="26" t="str">
        <x:v>IF(T108="NET",Q108*U108/100,G108*U108/100)</x:v>
      </x:c>
      <x:c r="D564" s="26" t="str">
        <x:v>100, 100</x:v>
      </x:c>
      <x:c r="E564" s="26" t="str">
        <x:v>UNIT CONVERSION</x:v>
      </x:c>
      <x:c r="F564" s="26" t="str">
        <x:v>NO</x:v>
      </x:c>
      <x:c r="G564" s="26" t="str">
        <x:v>RETAIN LITERAL</x:v>
      </x:c>
      <x:c r="H564" s="26" t="str">
        <x:v>Percentage divisor</x:v>
      </x:c>
      <x:c r="I564" s="26" t="str">
        <x:v>Divides percentage points by 100</x:v>
      </x:c>
      <x:c r="J564" s="26" t="str">
        <x:v>v0.21 baseline formula; v0.23 disposition</x:v>
      </x:c>
    </x:row>
    <x:row r="565">
      <x:c r="A565" s="26" t="str">
        <x:v>AB_OS_Project_Data_2024</x:v>
      </x:c>
      <x:c r="B565" s="26" t="str">
        <x:v>AD108</x:v>
      </x:c>
      <x:c r="C565" s="26" t="str">
        <x:v>IF(ABS(H108)&lt;=1000,"PASS","REVIEW")</x:v>
      </x:c>
      <x:c r="D565" s="26" t="str">
        <x:v>1000</x:v>
      </x:c>
      <x:c r="E565" s="26" t="str">
        <x:v>VALIDATION THRESHOLD</x:v>
      </x:c>
      <x:c r="F565" s="26" t="str">
        <x:v>YES</x:v>
      </x:c>
      <x:c r="G565" s="26" t="str">
        <x:v>CENTRALIZED</x:v>
      </x:c>
      <x:c r="H565" s="26" t="str">
        <x:v>P-003</x:v>
      </x:c>
      <x:c r="I565" s="26" t="str">
        <x:v>Internal $1,000 reconciliation tolerance; reviewer approval required</x:v>
      </x:c>
      <x:c r="J565" s="26" t="str">
        <x:v>v0.21 baseline formula; v0.23 disposition</x:v>
      </x:c>
    </x:row>
    <x:row r="566">
      <x:c r="A566" s="26" t="str">
        <x:v>AB_OS_Project_Data_2024</x:v>
      </x:c>
      <x:c r="B566" s="26" t="str">
        <x:v>AE108</x:v>
      </x:c>
      <x:c r="C566" s="26" t="str">
        <x:v>IF(T108&lt;&gt;"NET","N/A",IF(ABS(S108)&lt;=1000,"PASS","REVIEW"))</x:v>
      </x:c>
      <x:c r="D566" s="26" t="str">
        <x:v>1000</x:v>
      </x:c>
      <x:c r="E566" s="26" t="str">
        <x:v>VALIDATION THRESHOLD</x:v>
      </x:c>
      <x:c r="F566" s="26" t="str">
        <x:v>YES</x:v>
      </x:c>
      <x:c r="G566" s="26" t="str">
        <x:v>CENTRALIZED</x:v>
      </x:c>
      <x:c r="H566" s="26" t="str">
        <x:v>P-003</x:v>
      </x:c>
      <x:c r="I566" s="26" t="str">
        <x:v>Internal $1,000 reconciliation tolerance; reviewer approval required</x:v>
      </x:c>
      <x:c r="J566" s="26" t="str">
        <x:v>v0.21 baseline formula; v0.23 disposition</x:v>
      </x:c>
    </x:row>
    <x:row r="567">
      <x:c r="A567" s="26" t="str">
        <x:v>AB_OS_Project_Data_2024</x:v>
      </x:c>
      <x:c r="B567" s="26" t="str">
        <x:v>AF108</x:v>
      </x:c>
      <x:c r="C567" s="26" t="str">
        <x:v>IF(ABS(X108)&lt;=1000,"WITHIN $1K","DISPLAY RATE / ADJUSTMENT")</x:v>
      </x:c>
      <x:c r="D567" s="26" t="str">
        <x:v>1000</x:v>
      </x:c>
      <x:c r="E567" s="26" t="str">
        <x:v>VALIDATION THRESHOLD</x:v>
      </x:c>
      <x:c r="F567" s="26" t="str">
        <x:v>YES</x:v>
      </x:c>
      <x:c r="G567" s="26" t="str">
        <x:v>CENTRALIZED</x:v>
      </x:c>
      <x:c r="H567" s="26" t="str">
        <x:v>P-003</x:v>
      </x:c>
      <x:c r="I567" s="26" t="str">
        <x:v>Internal $1,000 reconciliation tolerance; reviewer approval required</x:v>
      </x:c>
      <x:c r="J567" s="26" t="str">
        <x:v>v0.21 baseline formula; v0.23 disposition</x:v>
      </x:c>
    </x:row>
    <x:row r="568">
      <x:c r="A568" s="26" t="str">
        <x:v>AB_OS_Project_Data_2024</x:v>
      </x:c>
      <x:c r="B568" s="26" t="str">
        <x:v>W109</x:v>
      </x:c>
      <x:c r="C568" s="26" t="str">
        <x:v>IF(T109="NET",Q109*U109/100,G109*U109/100)</x:v>
      </x:c>
      <x:c r="D568" s="26" t="str">
        <x:v>100, 100</x:v>
      </x:c>
      <x:c r="E568" s="26" t="str">
        <x:v>UNIT CONVERSION</x:v>
      </x:c>
      <x:c r="F568" s="26" t="str">
        <x:v>NO</x:v>
      </x:c>
      <x:c r="G568" s="26" t="str">
        <x:v>RETAIN LITERAL</x:v>
      </x:c>
      <x:c r="H568" s="26" t="str">
        <x:v>Percentage divisor</x:v>
      </x:c>
      <x:c r="I568" s="26" t="str">
        <x:v>Divides percentage points by 100</x:v>
      </x:c>
      <x:c r="J568" s="26" t="str">
        <x:v>v0.21 baseline formula; v0.23 disposition</x:v>
      </x:c>
    </x:row>
    <x:row r="569">
      <x:c r="A569" s="26" t="str">
        <x:v>AB_OS_Project_Data_2024</x:v>
      </x:c>
      <x:c r="B569" s="26" t="str">
        <x:v>AD109</x:v>
      </x:c>
      <x:c r="C569" s="26" t="str">
        <x:v>IF(ABS(H109)&lt;=1000,"PASS","REVIEW")</x:v>
      </x:c>
      <x:c r="D569" s="26" t="str">
        <x:v>1000</x:v>
      </x:c>
      <x:c r="E569" s="26" t="str">
        <x:v>VALIDATION THRESHOLD</x:v>
      </x:c>
      <x:c r="F569" s="26" t="str">
        <x:v>YES</x:v>
      </x:c>
      <x:c r="G569" s="26" t="str">
        <x:v>CENTRALIZED</x:v>
      </x:c>
      <x:c r="H569" s="26" t="str">
        <x:v>P-003</x:v>
      </x:c>
      <x:c r="I569" s="26" t="str">
        <x:v>Internal $1,000 reconciliation tolerance; reviewer approval required</x:v>
      </x:c>
      <x:c r="J569" s="26" t="str">
        <x:v>v0.21 baseline formula; v0.23 disposition</x:v>
      </x:c>
    </x:row>
    <x:row r="570">
      <x:c r="A570" s="26" t="str">
        <x:v>AB_OS_Project_Data_2024</x:v>
      </x:c>
      <x:c r="B570" s="26" t="str">
        <x:v>AE109</x:v>
      </x:c>
      <x:c r="C570" s="26" t="str">
        <x:v>IF(T109&lt;&gt;"NET","N/A",IF(ABS(S109)&lt;=1000,"PASS","REVIEW"))</x:v>
      </x:c>
      <x:c r="D570" s="26" t="str">
        <x:v>1000</x:v>
      </x:c>
      <x:c r="E570" s="26" t="str">
        <x:v>VALIDATION THRESHOLD</x:v>
      </x:c>
      <x:c r="F570" s="26" t="str">
        <x:v>YES</x:v>
      </x:c>
      <x:c r="G570" s="26" t="str">
        <x:v>CENTRALIZED</x:v>
      </x:c>
      <x:c r="H570" s="26" t="str">
        <x:v>P-003</x:v>
      </x:c>
      <x:c r="I570" s="26" t="str">
        <x:v>Internal $1,000 reconciliation tolerance; reviewer approval required</x:v>
      </x:c>
      <x:c r="J570" s="26" t="str">
        <x:v>v0.21 baseline formula; v0.23 disposition</x:v>
      </x:c>
    </x:row>
    <x:row r="571">
      <x:c r="A571" s="26" t="str">
        <x:v>AB_OS_Project_Data_2024</x:v>
      </x:c>
      <x:c r="B571" s="26" t="str">
        <x:v>AF109</x:v>
      </x:c>
      <x:c r="C571" s="26" t="str">
        <x:v>IF(ABS(X109)&lt;=1000,"WITHIN $1K","DISPLAY RATE / ADJUSTMENT")</x:v>
      </x:c>
      <x:c r="D571" s="26" t="str">
        <x:v>1000</x:v>
      </x:c>
      <x:c r="E571" s="26" t="str">
        <x:v>VALIDATION THRESHOLD</x:v>
      </x:c>
      <x:c r="F571" s="26" t="str">
        <x:v>YES</x:v>
      </x:c>
      <x:c r="G571" s="26" t="str">
        <x:v>CENTRALIZED</x:v>
      </x:c>
      <x:c r="H571" s="26" t="str">
        <x:v>P-003</x:v>
      </x:c>
      <x:c r="I571" s="26" t="str">
        <x:v>Internal $1,000 reconciliation tolerance; reviewer approval required</x:v>
      </x:c>
      <x:c r="J571" s="26" t="str">
        <x:v>v0.21 baseline formula; v0.23 disposition</x:v>
      </x:c>
    </x:row>
    <x:row r="572">
      <x:c r="A572" s="26" t="str">
        <x:v>AB_OS_Project_Data_2024</x:v>
      </x:c>
      <x:c r="B572" s="26" t="str">
        <x:v>W110</x:v>
      </x:c>
      <x:c r="C572" s="26" t="str">
        <x:v>IF(T110="NET",Q110*U110/100,G110*U110/100)</x:v>
      </x:c>
      <x:c r="D572" s="26" t="str">
        <x:v>100, 100</x:v>
      </x:c>
      <x:c r="E572" s="26" t="str">
        <x:v>UNIT CONVERSION</x:v>
      </x:c>
      <x:c r="F572" s="26" t="str">
        <x:v>NO</x:v>
      </x:c>
      <x:c r="G572" s="26" t="str">
        <x:v>RETAIN LITERAL</x:v>
      </x:c>
      <x:c r="H572" s="26" t="str">
        <x:v>Percentage divisor</x:v>
      </x:c>
      <x:c r="I572" s="26" t="str">
        <x:v>Divides percentage points by 100</x:v>
      </x:c>
      <x:c r="J572" s="26" t="str">
        <x:v>v0.21 baseline formula; v0.23 disposition</x:v>
      </x:c>
    </x:row>
    <x:row r="573">
      <x:c r="A573" s="26" t="str">
        <x:v>AB_OS_Project_Data_2024</x:v>
      </x:c>
      <x:c r="B573" s="26" t="str">
        <x:v>AD110</x:v>
      </x:c>
      <x:c r="C573" s="26" t="str">
        <x:v>IF(ABS(H110)&lt;=1000,"PASS","REVIEW")</x:v>
      </x:c>
      <x:c r="D573" s="26" t="str">
        <x:v>1000</x:v>
      </x:c>
      <x:c r="E573" s="26" t="str">
        <x:v>VALIDATION THRESHOLD</x:v>
      </x:c>
      <x:c r="F573" s="26" t="str">
        <x:v>YES</x:v>
      </x:c>
      <x:c r="G573" s="26" t="str">
        <x:v>CENTRALIZED</x:v>
      </x:c>
      <x:c r="H573" s="26" t="str">
        <x:v>P-003</x:v>
      </x:c>
      <x:c r="I573" s="26" t="str">
        <x:v>Internal $1,000 reconciliation tolerance; reviewer approval required</x:v>
      </x:c>
      <x:c r="J573" s="26" t="str">
        <x:v>v0.21 baseline formula; v0.23 disposition</x:v>
      </x:c>
    </x:row>
    <x:row r="574">
      <x:c r="A574" s="26" t="str">
        <x:v>AB_OS_Project_Data_2024</x:v>
      </x:c>
      <x:c r="B574" s="26" t="str">
        <x:v>AE110</x:v>
      </x:c>
      <x:c r="C574" s="26" t="str">
        <x:v>IF(T110&lt;&gt;"NET","N/A",IF(ABS(S110)&lt;=1000,"PASS","REVIEW"))</x:v>
      </x:c>
      <x:c r="D574" s="26" t="str">
        <x:v>1000</x:v>
      </x:c>
      <x:c r="E574" s="26" t="str">
        <x:v>VALIDATION THRESHOLD</x:v>
      </x:c>
      <x:c r="F574" s="26" t="str">
        <x:v>YES</x:v>
      </x:c>
      <x:c r="G574" s="26" t="str">
        <x:v>CENTRALIZED</x:v>
      </x:c>
      <x:c r="H574" s="26" t="str">
        <x:v>P-003</x:v>
      </x:c>
      <x:c r="I574" s="26" t="str">
        <x:v>Internal $1,000 reconciliation tolerance; reviewer approval required</x:v>
      </x:c>
      <x:c r="J574" s="26" t="str">
        <x:v>v0.21 baseline formula; v0.23 disposition</x:v>
      </x:c>
    </x:row>
    <x:row r="575">
      <x:c r="A575" s="26" t="str">
        <x:v>AB_OS_Project_Data_2024</x:v>
      </x:c>
      <x:c r="B575" s="26" t="str">
        <x:v>AF110</x:v>
      </x:c>
      <x:c r="C575" s="26" t="str">
        <x:v>IF(ABS(X110)&lt;=1000,"WITHIN $1K","DISPLAY RATE / ADJUSTMENT")</x:v>
      </x:c>
      <x:c r="D575" s="26" t="str">
        <x:v>1000</x:v>
      </x:c>
      <x:c r="E575" s="26" t="str">
        <x:v>VALIDATION THRESHOLD</x:v>
      </x:c>
      <x:c r="F575" s="26" t="str">
        <x:v>YES</x:v>
      </x:c>
      <x:c r="G575" s="26" t="str">
        <x:v>CENTRALIZED</x:v>
      </x:c>
      <x:c r="H575" s="26" t="str">
        <x:v>P-003</x:v>
      </x:c>
      <x:c r="I575" s="26" t="str">
        <x:v>Internal $1,000 reconciliation tolerance; reviewer approval required</x:v>
      </x:c>
      <x:c r="J575" s="26" t="str">
        <x:v>v0.21 baseline formula; v0.23 disposition</x:v>
      </x:c>
    </x:row>
    <x:row r="576">
      <x:c r="A576" s="26" t="str">
        <x:v>AB_OS_Project_Data_2024</x:v>
      </x:c>
      <x:c r="B576" s="26" t="str">
        <x:v>W111</x:v>
      </x:c>
      <x:c r="C576" s="26" t="str">
        <x:v>IF(T111="NET",Q111*U111/100,G111*U111/100)</x:v>
      </x:c>
      <x:c r="D576" s="26" t="str">
        <x:v>100, 100</x:v>
      </x:c>
      <x:c r="E576" s="26" t="str">
        <x:v>UNIT CONVERSION</x:v>
      </x:c>
      <x:c r="F576" s="26" t="str">
        <x:v>NO</x:v>
      </x:c>
      <x:c r="G576" s="26" t="str">
        <x:v>RETAIN LITERAL</x:v>
      </x:c>
      <x:c r="H576" s="26" t="str">
        <x:v>Percentage divisor</x:v>
      </x:c>
      <x:c r="I576" s="26" t="str">
        <x:v>Divides percentage points by 100</x:v>
      </x:c>
      <x:c r="J576" s="26" t="str">
        <x:v>v0.21 baseline formula; v0.23 disposition</x:v>
      </x:c>
    </x:row>
    <x:row r="577">
      <x:c r="A577" s="26" t="str">
        <x:v>AB_OS_Project_Data_2024</x:v>
      </x:c>
      <x:c r="B577" s="26" t="str">
        <x:v>AD111</x:v>
      </x:c>
      <x:c r="C577" s="26" t="str">
        <x:v>IF(ABS(H111)&lt;=1000,"PASS","REVIEW")</x:v>
      </x:c>
      <x:c r="D577" s="26" t="str">
        <x:v>1000</x:v>
      </x:c>
      <x:c r="E577" s="26" t="str">
        <x:v>VALIDATION THRESHOLD</x:v>
      </x:c>
      <x:c r="F577" s="26" t="str">
        <x:v>YES</x:v>
      </x:c>
      <x:c r="G577" s="26" t="str">
        <x:v>CENTRALIZED</x:v>
      </x:c>
      <x:c r="H577" s="26" t="str">
        <x:v>P-003</x:v>
      </x:c>
      <x:c r="I577" s="26" t="str">
        <x:v>Internal $1,000 reconciliation tolerance; reviewer approval required</x:v>
      </x:c>
      <x:c r="J577" s="26" t="str">
        <x:v>v0.21 baseline formula; v0.23 disposition</x:v>
      </x:c>
    </x:row>
    <x:row r="578">
      <x:c r="A578" s="26" t="str">
        <x:v>AB_OS_Project_Data_2024</x:v>
      </x:c>
      <x:c r="B578" s="26" t="str">
        <x:v>AE111</x:v>
      </x:c>
      <x:c r="C578" s="26" t="str">
        <x:v>IF(T111&lt;&gt;"NET","N/A",IF(ABS(S111)&lt;=1000,"PASS","REVIEW"))</x:v>
      </x:c>
      <x:c r="D578" s="26" t="str">
        <x:v>1000</x:v>
      </x:c>
      <x:c r="E578" s="26" t="str">
        <x:v>VALIDATION THRESHOLD</x:v>
      </x:c>
      <x:c r="F578" s="26" t="str">
        <x:v>YES</x:v>
      </x:c>
      <x:c r="G578" s="26" t="str">
        <x:v>CENTRALIZED</x:v>
      </x:c>
      <x:c r="H578" s="26" t="str">
        <x:v>P-003</x:v>
      </x:c>
      <x:c r="I578" s="26" t="str">
        <x:v>Internal $1,000 reconciliation tolerance; reviewer approval required</x:v>
      </x:c>
      <x:c r="J578" s="26" t="str">
        <x:v>v0.21 baseline formula; v0.23 disposition</x:v>
      </x:c>
    </x:row>
    <x:row r="579">
      <x:c r="A579" s="26" t="str">
        <x:v>AB_OS_Project_Data_2024</x:v>
      </x:c>
      <x:c r="B579" s="26" t="str">
        <x:v>AF111</x:v>
      </x:c>
      <x:c r="C579" s="26" t="str">
        <x:v>IF(ABS(X111)&lt;=1000,"WITHIN $1K","DISPLAY RATE / ADJUSTMENT")</x:v>
      </x:c>
      <x:c r="D579" s="26" t="str">
        <x:v>1000</x:v>
      </x:c>
      <x:c r="E579" s="26" t="str">
        <x:v>VALIDATION THRESHOLD</x:v>
      </x:c>
      <x:c r="F579" s="26" t="str">
        <x:v>YES</x:v>
      </x:c>
      <x:c r="G579" s="26" t="str">
        <x:v>CENTRALIZED</x:v>
      </x:c>
      <x:c r="H579" s="26" t="str">
        <x:v>P-003</x:v>
      </x:c>
      <x:c r="I579" s="26" t="str">
        <x:v>Internal $1,000 reconciliation tolerance; reviewer approval required</x:v>
      </x:c>
      <x:c r="J579" s="26" t="str">
        <x:v>v0.21 baseline formula; v0.23 disposition</x:v>
      </x:c>
    </x:row>
    <x:row r="580">
      <x:c r="A580" s="26" t="str">
        <x:v>AB_OS_Project_Data_2024</x:v>
      </x:c>
      <x:c r="B580" s="26" t="str">
        <x:v>W112</x:v>
      </x:c>
      <x:c r="C580" s="26" t="str">
        <x:v>IF(T112="NET",Q112*U112/100,G112*U112/100)</x:v>
      </x:c>
      <x:c r="D580" s="26" t="str">
        <x:v>100, 100</x:v>
      </x:c>
      <x:c r="E580" s="26" t="str">
        <x:v>UNIT CONVERSION</x:v>
      </x:c>
      <x:c r="F580" s="26" t="str">
        <x:v>NO</x:v>
      </x:c>
      <x:c r="G580" s="26" t="str">
        <x:v>RETAIN LITERAL</x:v>
      </x:c>
      <x:c r="H580" s="26" t="str">
        <x:v>Percentage divisor</x:v>
      </x:c>
      <x:c r="I580" s="26" t="str">
        <x:v>Divides percentage points by 100</x:v>
      </x:c>
      <x:c r="J580" s="26" t="str">
        <x:v>v0.21 baseline formula; v0.23 disposition</x:v>
      </x:c>
    </x:row>
    <x:row r="581">
      <x:c r="A581" s="26" t="str">
        <x:v>AB_OS_Project_Data_2024</x:v>
      </x:c>
      <x:c r="B581" s="26" t="str">
        <x:v>AD112</x:v>
      </x:c>
      <x:c r="C581" s="26" t="str">
        <x:v>IF(ABS(H112)&lt;=1000,"PASS","REVIEW")</x:v>
      </x:c>
      <x:c r="D581" s="26" t="str">
        <x:v>1000</x:v>
      </x:c>
      <x:c r="E581" s="26" t="str">
        <x:v>VALIDATION THRESHOLD</x:v>
      </x:c>
      <x:c r="F581" s="26" t="str">
        <x:v>YES</x:v>
      </x:c>
      <x:c r="G581" s="26" t="str">
        <x:v>CENTRALIZED</x:v>
      </x:c>
      <x:c r="H581" s="26" t="str">
        <x:v>P-003</x:v>
      </x:c>
      <x:c r="I581" s="26" t="str">
        <x:v>Internal $1,000 reconciliation tolerance; reviewer approval required</x:v>
      </x:c>
      <x:c r="J581" s="26" t="str">
        <x:v>v0.21 baseline formula; v0.23 disposition</x:v>
      </x:c>
    </x:row>
    <x:row r="582">
      <x:c r="A582" s="26" t="str">
        <x:v>AB_OS_Project_Data_2024</x:v>
      </x:c>
      <x:c r="B582" s="26" t="str">
        <x:v>AE112</x:v>
      </x:c>
      <x:c r="C582" s="26" t="str">
        <x:v>IF(T112&lt;&gt;"NET","N/A",IF(ABS(S112)&lt;=1000,"PASS","REVIEW"))</x:v>
      </x:c>
      <x:c r="D582" s="26" t="str">
        <x:v>1000</x:v>
      </x:c>
      <x:c r="E582" s="26" t="str">
        <x:v>VALIDATION THRESHOLD</x:v>
      </x:c>
      <x:c r="F582" s="26" t="str">
        <x:v>YES</x:v>
      </x:c>
      <x:c r="G582" s="26" t="str">
        <x:v>CENTRALIZED</x:v>
      </x:c>
      <x:c r="H582" s="26" t="str">
        <x:v>P-003</x:v>
      </x:c>
      <x:c r="I582" s="26" t="str">
        <x:v>Internal $1,000 reconciliation tolerance; reviewer approval required</x:v>
      </x:c>
      <x:c r="J582" s="26" t="str">
        <x:v>v0.21 baseline formula; v0.23 disposition</x:v>
      </x:c>
    </x:row>
    <x:row r="583">
      <x:c r="A583" s="26" t="str">
        <x:v>AB_OS_Project_Data_2024</x:v>
      </x:c>
      <x:c r="B583" s="26" t="str">
        <x:v>AF112</x:v>
      </x:c>
      <x:c r="C583" s="26" t="str">
        <x:v>IF(ABS(X112)&lt;=1000,"WITHIN $1K","DISPLAY RATE / ADJUSTMENT")</x:v>
      </x:c>
      <x:c r="D583" s="26" t="str">
        <x:v>1000</x:v>
      </x:c>
      <x:c r="E583" s="26" t="str">
        <x:v>VALIDATION THRESHOLD</x:v>
      </x:c>
      <x:c r="F583" s="26" t="str">
        <x:v>YES</x:v>
      </x:c>
      <x:c r="G583" s="26" t="str">
        <x:v>CENTRALIZED</x:v>
      </x:c>
      <x:c r="H583" s="26" t="str">
        <x:v>P-003</x:v>
      </x:c>
      <x:c r="I583" s="26" t="str">
        <x:v>Internal $1,000 reconciliation tolerance; reviewer approval required</x:v>
      </x:c>
      <x:c r="J583" s="26" t="str">
        <x:v>v0.21 baseline formula; v0.23 disposition</x:v>
      </x:c>
    </x:row>
    <x:row r="584">
      <x:c r="A584" s="26" t="str">
        <x:v>AB_OS_Project_Data_2024</x:v>
      </x:c>
      <x:c r="B584" s="26" t="str">
        <x:v>W113</x:v>
      </x:c>
      <x:c r="C584" s="26" t="str">
        <x:v>IF(T113="NET",Q113*U113/100,G113*U113/100)</x:v>
      </x:c>
      <x:c r="D584" s="26" t="str">
        <x:v>100, 100</x:v>
      </x:c>
      <x:c r="E584" s="26" t="str">
        <x:v>UNIT CONVERSION</x:v>
      </x:c>
      <x:c r="F584" s="26" t="str">
        <x:v>NO</x:v>
      </x:c>
      <x:c r="G584" s="26" t="str">
        <x:v>RETAIN LITERAL</x:v>
      </x:c>
      <x:c r="H584" s="26" t="str">
        <x:v>Percentage divisor</x:v>
      </x:c>
      <x:c r="I584" s="26" t="str">
        <x:v>Divides percentage points by 100</x:v>
      </x:c>
      <x:c r="J584" s="26" t="str">
        <x:v>v0.21 baseline formula; v0.23 disposition</x:v>
      </x:c>
    </x:row>
    <x:row r="585">
      <x:c r="A585" s="26" t="str">
        <x:v>AB_OS_Project_Data_2024</x:v>
      </x:c>
      <x:c r="B585" s="26" t="str">
        <x:v>AD113</x:v>
      </x:c>
      <x:c r="C585" s="26" t="str">
        <x:v>IF(ABS(H113)&lt;=1000,"PASS","REVIEW")</x:v>
      </x:c>
      <x:c r="D585" s="26" t="str">
        <x:v>1000</x:v>
      </x:c>
      <x:c r="E585" s="26" t="str">
        <x:v>VALIDATION THRESHOLD</x:v>
      </x:c>
      <x:c r="F585" s="26" t="str">
        <x:v>YES</x:v>
      </x:c>
      <x:c r="G585" s="26" t="str">
        <x:v>CENTRALIZED</x:v>
      </x:c>
      <x:c r="H585" s="26" t="str">
        <x:v>P-003</x:v>
      </x:c>
      <x:c r="I585" s="26" t="str">
        <x:v>Internal $1,000 reconciliation tolerance; reviewer approval required</x:v>
      </x:c>
      <x:c r="J585" s="26" t="str">
        <x:v>v0.21 baseline formula; v0.23 disposition</x:v>
      </x:c>
    </x:row>
    <x:row r="586">
      <x:c r="A586" s="26" t="str">
        <x:v>AB_OS_Project_Data_2024</x:v>
      </x:c>
      <x:c r="B586" s="26" t="str">
        <x:v>AE113</x:v>
      </x:c>
      <x:c r="C586" s="26" t="str">
        <x:v>IF(T113&lt;&gt;"NET","N/A",IF(ABS(S113)&lt;=1000,"PASS","REVIEW"))</x:v>
      </x:c>
      <x:c r="D586" s="26" t="str">
        <x:v>1000</x:v>
      </x:c>
      <x:c r="E586" s="26" t="str">
        <x:v>VALIDATION THRESHOLD</x:v>
      </x:c>
      <x:c r="F586" s="26" t="str">
        <x:v>YES</x:v>
      </x:c>
      <x:c r="G586" s="26" t="str">
        <x:v>CENTRALIZED</x:v>
      </x:c>
      <x:c r="H586" s="26" t="str">
        <x:v>P-003</x:v>
      </x:c>
      <x:c r="I586" s="26" t="str">
        <x:v>Internal $1,000 reconciliation tolerance; reviewer approval required</x:v>
      </x:c>
      <x:c r="J586" s="26" t="str">
        <x:v>v0.21 baseline formula; v0.23 disposition</x:v>
      </x:c>
    </x:row>
    <x:row r="587">
      <x:c r="A587" s="26" t="str">
        <x:v>AB_OS_Project_Data_2024</x:v>
      </x:c>
      <x:c r="B587" s="26" t="str">
        <x:v>AF113</x:v>
      </x:c>
      <x:c r="C587" s="26" t="str">
        <x:v>IF(ABS(X113)&lt;=1000,"WITHIN $1K","DISPLAY RATE / ADJUSTMENT")</x:v>
      </x:c>
      <x:c r="D587" s="26" t="str">
        <x:v>1000</x:v>
      </x:c>
      <x:c r="E587" s="26" t="str">
        <x:v>VALIDATION THRESHOLD</x:v>
      </x:c>
      <x:c r="F587" s="26" t="str">
        <x:v>YES</x:v>
      </x:c>
      <x:c r="G587" s="26" t="str">
        <x:v>CENTRALIZED</x:v>
      </x:c>
      <x:c r="H587" s="26" t="str">
        <x:v>P-003</x:v>
      </x:c>
      <x:c r="I587" s="26" t="str">
        <x:v>Internal $1,000 reconciliation tolerance; reviewer approval required</x:v>
      </x:c>
      <x:c r="J587" s="26" t="str">
        <x:v>v0.21 baseline formula; v0.23 disposition</x:v>
      </x:c>
    </x:row>
    <x:row r="588">
      <x:c r="A588" s="26" t="str">
        <x:v>AB_OS_Project_Data_2024</x:v>
      </x:c>
      <x:c r="B588" s="26" t="str">
        <x:v>W114</x:v>
      </x:c>
      <x:c r="C588" s="26" t="str">
        <x:v>IF(T114="NET",Q114*U114/100,G114*U114/100)</x:v>
      </x:c>
      <x:c r="D588" s="26" t="str">
        <x:v>100, 100</x:v>
      </x:c>
      <x:c r="E588" s="26" t="str">
        <x:v>UNIT CONVERSION</x:v>
      </x:c>
      <x:c r="F588" s="26" t="str">
        <x:v>NO</x:v>
      </x:c>
      <x:c r="G588" s="26" t="str">
        <x:v>RETAIN LITERAL</x:v>
      </x:c>
      <x:c r="H588" s="26" t="str">
        <x:v>Percentage divisor</x:v>
      </x:c>
      <x:c r="I588" s="26" t="str">
        <x:v>Divides percentage points by 100</x:v>
      </x:c>
      <x:c r="J588" s="26" t="str">
        <x:v>v0.21 baseline formula; v0.23 disposition</x:v>
      </x:c>
    </x:row>
    <x:row r="589">
      <x:c r="A589" s="26" t="str">
        <x:v>AB_OS_Project_Data_2024</x:v>
      </x:c>
      <x:c r="B589" s="26" t="str">
        <x:v>AD114</x:v>
      </x:c>
      <x:c r="C589" s="26" t="str">
        <x:v>IF(ABS(H114)&lt;=1000,"PASS","REVIEW")</x:v>
      </x:c>
      <x:c r="D589" s="26" t="str">
        <x:v>1000</x:v>
      </x:c>
      <x:c r="E589" s="26" t="str">
        <x:v>VALIDATION THRESHOLD</x:v>
      </x:c>
      <x:c r="F589" s="26" t="str">
        <x:v>YES</x:v>
      </x:c>
      <x:c r="G589" s="26" t="str">
        <x:v>CENTRALIZED</x:v>
      </x:c>
      <x:c r="H589" s="26" t="str">
        <x:v>P-003</x:v>
      </x:c>
      <x:c r="I589" s="26" t="str">
        <x:v>Internal $1,000 reconciliation tolerance; reviewer approval required</x:v>
      </x:c>
      <x:c r="J589" s="26" t="str">
        <x:v>v0.21 baseline formula; v0.23 disposition</x:v>
      </x:c>
    </x:row>
    <x:row r="590">
      <x:c r="A590" s="26" t="str">
        <x:v>AB_OS_Project_Data_2024</x:v>
      </x:c>
      <x:c r="B590" s="26" t="str">
        <x:v>AE114</x:v>
      </x:c>
      <x:c r="C590" s="26" t="str">
        <x:v>IF(T114&lt;&gt;"NET","N/A",IF(ABS(S114)&lt;=1000,"PASS","REVIEW"))</x:v>
      </x:c>
      <x:c r="D590" s="26" t="str">
        <x:v>1000</x:v>
      </x:c>
      <x:c r="E590" s="26" t="str">
        <x:v>VALIDATION THRESHOLD</x:v>
      </x:c>
      <x:c r="F590" s="26" t="str">
        <x:v>YES</x:v>
      </x:c>
      <x:c r="G590" s="26" t="str">
        <x:v>CENTRALIZED</x:v>
      </x:c>
      <x:c r="H590" s="26" t="str">
        <x:v>P-003</x:v>
      </x:c>
      <x:c r="I590" s="26" t="str">
        <x:v>Internal $1,000 reconciliation tolerance; reviewer approval required</x:v>
      </x:c>
      <x:c r="J590" s="26" t="str">
        <x:v>v0.21 baseline formula; v0.23 disposition</x:v>
      </x:c>
    </x:row>
    <x:row r="591">
      <x:c r="A591" s="26" t="str">
        <x:v>AB_OS_Project_Data_2024</x:v>
      </x:c>
      <x:c r="B591" s="26" t="str">
        <x:v>AF114</x:v>
      </x:c>
      <x:c r="C591" s="26" t="str">
        <x:v>IF(ABS(X114)&lt;=1000,"WITHIN $1K","DISPLAY RATE / ADJUSTMENT")</x:v>
      </x:c>
      <x:c r="D591" s="26" t="str">
        <x:v>1000</x:v>
      </x:c>
      <x:c r="E591" s="26" t="str">
        <x:v>VALIDATION THRESHOLD</x:v>
      </x:c>
      <x:c r="F591" s="26" t="str">
        <x:v>YES</x:v>
      </x:c>
      <x:c r="G591" s="26" t="str">
        <x:v>CENTRALIZED</x:v>
      </x:c>
      <x:c r="H591" s="26" t="str">
        <x:v>P-003</x:v>
      </x:c>
      <x:c r="I591" s="26" t="str">
        <x:v>Internal $1,000 reconciliation tolerance; reviewer approval required</x:v>
      </x:c>
      <x:c r="J591" s="26" t="str">
        <x:v>v0.21 baseline formula; v0.23 disposition</x:v>
      </x:c>
    </x:row>
    <x:row r="592">
      <x:c r="A592" s="26" t="str">
        <x:v>AB_OS_Project_Data_2024</x:v>
      </x:c>
      <x:c r="B592" s="26" t="str">
        <x:v>W115</x:v>
      </x:c>
      <x:c r="C592" s="26" t="str">
        <x:v>IF(T115="NET",Q115*U115/100,G115*U115/100)</x:v>
      </x:c>
      <x:c r="D592" s="26" t="str">
        <x:v>100, 100</x:v>
      </x:c>
      <x:c r="E592" s="26" t="str">
        <x:v>UNIT CONVERSION</x:v>
      </x:c>
      <x:c r="F592" s="26" t="str">
        <x:v>NO</x:v>
      </x:c>
      <x:c r="G592" s="26" t="str">
        <x:v>RETAIN LITERAL</x:v>
      </x:c>
      <x:c r="H592" s="26" t="str">
        <x:v>Percentage divisor</x:v>
      </x:c>
      <x:c r="I592" s="26" t="str">
        <x:v>Divides percentage points by 100</x:v>
      </x:c>
      <x:c r="J592" s="26" t="str">
        <x:v>v0.21 baseline formula; v0.23 disposition</x:v>
      </x:c>
    </x:row>
    <x:row r="593">
      <x:c r="A593" s="26" t="str">
        <x:v>AB_OS_Project_Data_2024</x:v>
      </x:c>
      <x:c r="B593" s="26" t="str">
        <x:v>AD115</x:v>
      </x:c>
      <x:c r="C593" s="26" t="str">
        <x:v>IF(ABS(H115)&lt;=1000,"PASS","REVIEW")</x:v>
      </x:c>
      <x:c r="D593" s="26" t="str">
        <x:v>1000</x:v>
      </x:c>
      <x:c r="E593" s="26" t="str">
        <x:v>VALIDATION THRESHOLD</x:v>
      </x:c>
      <x:c r="F593" s="26" t="str">
        <x:v>YES</x:v>
      </x:c>
      <x:c r="G593" s="26" t="str">
        <x:v>CENTRALIZED</x:v>
      </x:c>
      <x:c r="H593" s="26" t="str">
        <x:v>P-003</x:v>
      </x:c>
      <x:c r="I593" s="26" t="str">
        <x:v>Internal $1,000 reconciliation tolerance; reviewer approval required</x:v>
      </x:c>
      <x:c r="J593" s="26" t="str">
        <x:v>v0.21 baseline formula; v0.23 disposition</x:v>
      </x:c>
    </x:row>
    <x:row r="594">
      <x:c r="A594" s="26" t="str">
        <x:v>AB_OS_Project_Data_2024</x:v>
      </x:c>
      <x:c r="B594" s="26" t="str">
        <x:v>AE115</x:v>
      </x:c>
      <x:c r="C594" s="26" t="str">
        <x:v>IF(T115&lt;&gt;"NET","N/A",IF(ABS(S115)&lt;=1000,"PASS","REVIEW"))</x:v>
      </x:c>
      <x:c r="D594" s="26" t="str">
        <x:v>1000</x:v>
      </x:c>
      <x:c r="E594" s="26" t="str">
        <x:v>VALIDATION THRESHOLD</x:v>
      </x:c>
      <x:c r="F594" s="26" t="str">
        <x:v>YES</x:v>
      </x:c>
      <x:c r="G594" s="26" t="str">
        <x:v>CENTRALIZED</x:v>
      </x:c>
      <x:c r="H594" s="26" t="str">
        <x:v>P-003</x:v>
      </x:c>
      <x:c r="I594" s="26" t="str">
        <x:v>Internal $1,000 reconciliation tolerance; reviewer approval required</x:v>
      </x:c>
      <x:c r="J594" s="26" t="str">
        <x:v>v0.21 baseline formula; v0.23 disposition</x:v>
      </x:c>
    </x:row>
    <x:row r="595">
      <x:c r="A595" s="26" t="str">
        <x:v>AB_OS_Project_Data_2024</x:v>
      </x:c>
      <x:c r="B595" s="26" t="str">
        <x:v>AF115</x:v>
      </x:c>
      <x:c r="C595" s="26" t="str">
        <x:v>IF(ABS(X115)&lt;=1000,"WITHIN $1K","DISPLAY RATE / ADJUSTMENT")</x:v>
      </x:c>
      <x:c r="D595" s="26" t="str">
        <x:v>1000</x:v>
      </x:c>
      <x:c r="E595" s="26" t="str">
        <x:v>VALIDATION THRESHOLD</x:v>
      </x:c>
      <x:c r="F595" s="26" t="str">
        <x:v>YES</x:v>
      </x:c>
      <x:c r="G595" s="26" t="str">
        <x:v>CENTRALIZED</x:v>
      </x:c>
      <x:c r="H595" s="26" t="str">
        <x:v>P-003</x:v>
      </x:c>
      <x:c r="I595" s="26" t="str">
        <x:v>Internal $1,000 reconciliation tolerance; reviewer approval required</x:v>
      </x:c>
      <x:c r="J595" s="26" t="str">
        <x:v>v0.21 baseline formula; v0.23 disposition</x:v>
      </x:c>
    </x:row>
    <x:row r="596">
      <x:c r="A596" s="26" t="str">
        <x:v>AB_OS_Fiscal_Diagnostic</x:v>
      </x:c>
      <x:c r="B596" s="26" t="str">
        <x:v>B12</x:v>
      </x:c>
      <x:c r="C596" s="26" t="str">
        <x:v>SUM('AB_OS_Project_Data_2024'!E6:E115)/1000000000</x:v>
      </x:c>
      <x:c r="D596" s="26" t="str">
        <x:v>1000000000</x:v>
      </x:c>
      <x:c r="E596" s="26" t="str">
        <x:v>UNIT CONVERSION</x:v>
      </x:c>
      <x:c r="F596" s="26" t="str">
        <x:v>NO</x:v>
      </x:c>
      <x:c r="G596" s="26" t="str">
        <x:v>RETAIN LITERAL</x:v>
      </x:c>
      <x:c r="H596" s="26" t="str">
        <x:v>Billions divisor</x:v>
      </x:c>
      <x:c r="I596" s="26" t="str">
        <x:v>Converts source dollars to $B</x:v>
      </x:c>
      <x:c r="J596" s="26" t="str">
        <x:v>v0.21 baseline formula; v0.23 disposition</x:v>
      </x:c>
    </x:row>
    <x:row r="597">
      <x:c r="A597" s="26" t="str">
        <x:v>AB_OS_Fiscal_Diagnostic</x:v>
      </x:c>
      <x:c r="B597" s="26" t="str">
        <x:v>C12</x:v>
      </x:c>
      <x:c r="C597" s="26" t="str">
        <x:v>SUMIF('AB_OS_Project_Data_2024'!$T$6:$T$115,"GROSS",'AB_OS_Project_Data_2024'!E$6:E$115)/1000000000</x:v>
      </x:c>
      <x:c r="D597" s="26" t="str">
        <x:v>1000000000</x:v>
      </x:c>
      <x:c r="E597" s="26" t="str">
        <x:v>UNIT CONVERSION</x:v>
      </x:c>
      <x:c r="F597" s="26" t="str">
        <x:v>NO</x:v>
      </x:c>
      <x:c r="G597" s="26" t="str">
        <x:v>RETAIN LITERAL</x:v>
      </x:c>
      <x:c r="H597" s="26" t="str">
        <x:v>Billions divisor</x:v>
      </x:c>
      <x:c r="I597" s="26" t="str">
        <x:v>Converts source dollars to $B</x:v>
      </x:c>
      <x:c r="J597" s="26" t="str">
        <x:v>v0.21 baseline formula; v0.23 disposition</x:v>
      </x:c>
    </x:row>
    <x:row r="598">
      <x:c r="A598" s="26" t="str">
        <x:v>AB_OS_Fiscal_Diagnostic</x:v>
      </x:c>
      <x:c r="B598" s="26" t="str">
        <x:v>D12</x:v>
      </x:c>
      <x:c r="C598" s="26" t="str">
        <x:v>SUMIF('AB_OS_Project_Data_2024'!$T$6:$T$115,"NET",'AB_OS_Project_Data_2024'!E$6:E$115)/1000000000</x:v>
      </x:c>
      <x:c r="D598" s="26" t="str">
        <x:v>1000000000</x:v>
      </x:c>
      <x:c r="E598" s="26" t="str">
        <x:v>UNIT CONVERSION</x:v>
      </x:c>
      <x:c r="F598" s="26" t="str">
        <x:v>NO</x:v>
      </x:c>
      <x:c r="G598" s="26" t="str">
        <x:v>RETAIN LITERAL</x:v>
      </x:c>
      <x:c r="H598" s="26" t="str">
        <x:v>Billions divisor</x:v>
      </x:c>
      <x:c r="I598" s="26" t="str">
        <x:v>Converts source dollars to $B</x:v>
      </x:c>
      <x:c r="J598" s="26" t="str">
        <x:v>v0.21 baseline formula; v0.23 disposition</x:v>
      </x:c>
    </x:row>
    <x:row r="599">
      <x:c r="A599" s="26" t="str">
        <x:v>AB_OS_Fiscal_Diagnostic</x:v>
      </x:c>
      <x:c r="B599" s="26" t="str">
        <x:v>E12</x:v>
      </x:c>
      <x:c r="C599" s="26" t="str">
        <x:v>SUMIF('AB_OS_Project_Data_2024'!$Y$6:$Y$115,"PRE",'AB_OS_Project_Data_2024'!E$6:E$115)/1000000000</x:v>
      </x:c>
      <x:c r="D599" s="26" t="str">
        <x:v>1000000000</x:v>
      </x:c>
      <x:c r="E599" s="26" t="str">
        <x:v>UNIT CONVERSION</x:v>
      </x:c>
      <x:c r="F599" s="26" t="str">
        <x:v>NO</x:v>
      </x:c>
      <x:c r="G599" s="26" t="str">
        <x:v>RETAIN LITERAL</x:v>
      </x:c>
      <x:c r="H599" s="26" t="str">
        <x:v>Billions divisor</x:v>
      </x:c>
      <x:c r="I599" s="26" t="str">
        <x:v>Converts source dollars to $B</x:v>
      </x:c>
      <x:c r="J599" s="26" t="str">
        <x:v>v0.21 baseline formula; v0.23 disposition</x:v>
      </x:c>
    </x:row>
    <x:row r="600">
      <x:c r="A600" s="26" t="str">
        <x:v>AB_OS_Fiscal_Diagnostic</x:v>
      </x:c>
      <x:c r="B600" s="26" t="str">
        <x:v>F12</x:v>
      </x:c>
      <x:c r="C600" s="26" t="str">
        <x:v>SUMIF('AB_OS_Project_Data_2024'!$Y$6:$Y$115,"POST",'AB_OS_Project_Data_2024'!E$6:E$115)/1000000000</x:v>
      </x:c>
      <x:c r="D600" s="26" t="str">
        <x:v>1000000000</x:v>
      </x:c>
      <x:c r="E600" s="26" t="str">
        <x:v>UNIT CONVERSION</x:v>
      </x:c>
      <x:c r="F600" s="26" t="str">
        <x:v>NO</x:v>
      </x:c>
      <x:c r="G600" s="26" t="str">
        <x:v>RETAIN LITERAL</x:v>
      </x:c>
      <x:c r="H600" s="26" t="str">
        <x:v>Billions divisor</x:v>
      </x:c>
      <x:c r="I600" s="26" t="str">
        <x:v>Converts source dollars to $B</x:v>
      </x:c>
      <x:c r="J600" s="26" t="str">
        <x:v>v0.21 baseline formula; v0.23 disposition</x:v>
      </x:c>
    </x:row>
    <x:row r="601">
      <x:c r="A601" s="26" t="str">
        <x:v>AB_OS_Fiscal_Diagnostic</x:v>
      </x:c>
      <x:c r="B601" s="26" t="str">
        <x:v>B13</x:v>
      </x:c>
      <x:c r="C601" s="26" t="str">
        <x:v>SUM('AB_OS_Project_Data_2024'!F6:F115)/1000000000</x:v>
      </x:c>
      <x:c r="D601" s="26" t="str">
        <x:v>1000000000</x:v>
      </x:c>
      <x:c r="E601" s="26" t="str">
        <x:v>UNIT CONVERSION</x:v>
      </x:c>
      <x:c r="F601" s="26" t="str">
        <x:v>NO</x:v>
      </x:c>
      <x:c r="G601" s="26" t="str">
        <x:v>RETAIN LITERAL</x:v>
      </x:c>
      <x:c r="H601" s="26" t="str">
        <x:v>Billions divisor</x:v>
      </x:c>
      <x:c r="I601" s="26" t="str">
        <x:v>Converts source dollars to $B</x:v>
      </x:c>
      <x:c r="J601" s="26" t="str">
        <x:v>v0.21 baseline formula; v0.23 disposition</x:v>
      </x:c>
    </x:row>
    <x:row r="602">
      <x:c r="A602" s="26" t="str">
        <x:v>AB_OS_Fiscal_Diagnostic</x:v>
      </x:c>
      <x:c r="B602" s="26" t="str">
        <x:v>C13</x:v>
      </x:c>
      <x:c r="C602" s="26" t="str">
        <x:v>SUMIF('AB_OS_Project_Data_2024'!$T$6:$T$115,"GROSS",'AB_OS_Project_Data_2024'!F$6:F$115)/1000000000</x:v>
      </x:c>
      <x:c r="D602" s="26" t="str">
        <x:v>1000000000</x:v>
      </x:c>
      <x:c r="E602" s="26" t="str">
        <x:v>UNIT CONVERSION</x:v>
      </x:c>
      <x:c r="F602" s="26" t="str">
        <x:v>NO</x:v>
      </x:c>
      <x:c r="G602" s="26" t="str">
        <x:v>RETAIN LITERAL</x:v>
      </x:c>
      <x:c r="H602" s="26" t="str">
        <x:v>Billions divisor</x:v>
      </x:c>
      <x:c r="I602" s="26" t="str">
        <x:v>Converts source dollars to $B</x:v>
      </x:c>
      <x:c r="J602" s="26" t="str">
        <x:v>v0.21 baseline formula; v0.23 disposition</x:v>
      </x:c>
    </x:row>
    <x:row r="603">
      <x:c r="A603" s="26" t="str">
        <x:v>AB_OS_Fiscal_Diagnostic</x:v>
      </x:c>
      <x:c r="B603" s="26" t="str">
        <x:v>D13</x:v>
      </x:c>
      <x:c r="C603" s="26" t="str">
        <x:v>SUMIF('AB_OS_Project_Data_2024'!$T$6:$T$115,"NET",'AB_OS_Project_Data_2024'!F$6:F$115)/1000000000</x:v>
      </x:c>
      <x:c r="D603" s="26" t="str">
        <x:v>1000000000</x:v>
      </x:c>
      <x:c r="E603" s="26" t="str">
        <x:v>UNIT CONVERSION</x:v>
      </x:c>
      <x:c r="F603" s="26" t="str">
        <x:v>NO</x:v>
      </x:c>
      <x:c r="G603" s="26" t="str">
        <x:v>RETAIN LITERAL</x:v>
      </x:c>
      <x:c r="H603" s="26" t="str">
        <x:v>Billions divisor</x:v>
      </x:c>
      <x:c r="I603" s="26" t="str">
        <x:v>Converts source dollars to $B</x:v>
      </x:c>
      <x:c r="J603" s="26" t="str">
        <x:v>v0.21 baseline formula; v0.23 disposition</x:v>
      </x:c>
    </x:row>
    <x:row r="604">
      <x:c r="A604" s="26" t="str">
        <x:v>AB_OS_Fiscal_Diagnostic</x:v>
      </x:c>
      <x:c r="B604" s="26" t="str">
        <x:v>E13</x:v>
      </x:c>
      <x:c r="C604" s="26" t="str">
        <x:v>SUMIF('AB_OS_Project_Data_2024'!$Y$6:$Y$115,"PRE",'AB_OS_Project_Data_2024'!F$6:F$115)/1000000000</x:v>
      </x:c>
      <x:c r="D604" s="26" t="str">
        <x:v>1000000000</x:v>
      </x:c>
      <x:c r="E604" s="26" t="str">
        <x:v>UNIT CONVERSION</x:v>
      </x:c>
      <x:c r="F604" s="26" t="str">
        <x:v>NO</x:v>
      </x:c>
      <x:c r="G604" s="26" t="str">
        <x:v>RETAIN LITERAL</x:v>
      </x:c>
      <x:c r="H604" s="26" t="str">
        <x:v>Billions divisor</x:v>
      </x:c>
      <x:c r="I604" s="26" t="str">
        <x:v>Converts source dollars to $B</x:v>
      </x:c>
      <x:c r="J604" s="26" t="str">
        <x:v>v0.21 baseline formula; v0.23 disposition</x:v>
      </x:c>
    </x:row>
    <x:row r="605">
      <x:c r="A605" s="26" t="str">
        <x:v>AB_OS_Fiscal_Diagnostic</x:v>
      </x:c>
      <x:c r="B605" s="26" t="str">
        <x:v>F13</x:v>
      </x:c>
      <x:c r="C605" s="26" t="str">
        <x:v>SUMIF('AB_OS_Project_Data_2024'!$Y$6:$Y$115,"POST",'AB_OS_Project_Data_2024'!F$6:F$115)/1000000000</x:v>
      </x:c>
      <x:c r="D605" s="26" t="str">
        <x:v>1000000000</x:v>
      </x:c>
      <x:c r="E605" s="26" t="str">
        <x:v>UNIT CONVERSION</x:v>
      </x:c>
      <x:c r="F605" s="26" t="str">
        <x:v>NO</x:v>
      </x:c>
      <x:c r="G605" s="26" t="str">
        <x:v>RETAIN LITERAL</x:v>
      </x:c>
      <x:c r="H605" s="26" t="str">
        <x:v>Billions divisor</x:v>
      </x:c>
      <x:c r="I605" s="26" t="str">
        <x:v>Converts source dollars to $B</x:v>
      </x:c>
      <x:c r="J605" s="26" t="str">
        <x:v>v0.21 baseline formula; v0.23 disposition</x:v>
      </x:c>
    </x:row>
    <x:row r="606">
      <x:c r="A606" s="26" t="str">
        <x:v>AB_OS_Fiscal_Diagnostic</x:v>
      </x:c>
      <x:c r="B606" s="26" t="str">
        <x:v>B14</x:v>
      </x:c>
      <x:c r="C606" s="26" t="str">
        <x:v>SUM('AB_OS_Project_Data_2024'!G6:G115)/1000000000</x:v>
      </x:c>
      <x:c r="D606" s="26" t="str">
        <x:v>1000000000</x:v>
      </x:c>
      <x:c r="E606" s="26" t="str">
        <x:v>UNIT CONVERSION</x:v>
      </x:c>
      <x:c r="F606" s="26" t="str">
        <x:v>NO</x:v>
      </x:c>
      <x:c r="G606" s="26" t="str">
        <x:v>RETAIN LITERAL</x:v>
      </x:c>
      <x:c r="H606" s="26" t="str">
        <x:v>Billions divisor</x:v>
      </x:c>
      <x:c r="I606" s="26" t="str">
        <x:v>Converts source dollars to $B</x:v>
      </x:c>
      <x:c r="J606" s="26" t="str">
        <x:v>v0.21 baseline formula; v0.23 disposition</x:v>
      </x:c>
    </x:row>
    <x:row r="607">
      <x:c r="A607" s="26" t="str">
        <x:v>AB_OS_Fiscal_Diagnostic</x:v>
      </x:c>
      <x:c r="B607" s="26" t="str">
        <x:v>C14</x:v>
      </x:c>
      <x:c r="C607" s="26" t="str">
        <x:v>SUMIF('AB_OS_Project_Data_2024'!$T$6:$T$115,"GROSS",'AB_OS_Project_Data_2024'!G$6:G$115)/1000000000</x:v>
      </x:c>
      <x:c r="D607" s="26" t="str">
        <x:v>1000000000</x:v>
      </x:c>
      <x:c r="E607" s="26" t="str">
        <x:v>UNIT CONVERSION</x:v>
      </x:c>
      <x:c r="F607" s="26" t="str">
        <x:v>NO</x:v>
      </x:c>
      <x:c r="G607" s="26" t="str">
        <x:v>RETAIN LITERAL</x:v>
      </x:c>
      <x:c r="H607" s="26" t="str">
        <x:v>Billions divisor</x:v>
      </x:c>
      <x:c r="I607" s="26" t="str">
        <x:v>Converts source dollars to $B</x:v>
      </x:c>
      <x:c r="J607" s="26" t="str">
        <x:v>v0.21 baseline formula; v0.23 disposition</x:v>
      </x:c>
    </x:row>
    <x:row r="608">
      <x:c r="A608" s="26" t="str">
        <x:v>AB_OS_Fiscal_Diagnostic</x:v>
      </x:c>
      <x:c r="B608" s="26" t="str">
        <x:v>D14</x:v>
      </x:c>
      <x:c r="C608" s="26" t="str">
        <x:v>SUMIF('AB_OS_Project_Data_2024'!$T$6:$T$115,"NET",'AB_OS_Project_Data_2024'!G$6:G$115)/1000000000</x:v>
      </x:c>
      <x:c r="D608" s="26" t="str">
        <x:v>1000000000</x:v>
      </x:c>
      <x:c r="E608" s="26" t="str">
        <x:v>UNIT CONVERSION</x:v>
      </x:c>
      <x:c r="F608" s="26" t="str">
        <x:v>NO</x:v>
      </x:c>
      <x:c r="G608" s="26" t="str">
        <x:v>RETAIN LITERAL</x:v>
      </x:c>
      <x:c r="H608" s="26" t="str">
        <x:v>Billions divisor</x:v>
      </x:c>
      <x:c r="I608" s="26" t="str">
        <x:v>Converts source dollars to $B</x:v>
      </x:c>
      <x:c r="J608" s="26" t="str">
        <x:v>v0.21 baseline formula; v0.23 disposition</x:v>
      </x:c>
    </x:row>
    <x:row r="609">
      <x:c r="A609" s="26" t="str">
        <x:v>AB_OS_Fiscal_Diagnostic</x:v>
      </x:c>
      <x:c r="B609" s="26" t="str">
        <x:v>E14</x:v>
      </x:c>
      <x:c r="C609" s="26" t="str">
        <x:v>SUMIF('AB_OS_Project_Data_2024'!$Y$6:$Y$115,"PRE",'AB_OS_Project_Data_2024'!G$6:G$115)/1000000000</x:v>
      </x:c>
      <x:c r="D609" s="26" t="str">
        <x:v>1000000000</x:v>
      </x:c>
      <x:c r="E609" s="26" t="str">
        <x:v>UNIT CONVERSION</x:v>
      </x:c>
      <x:c r="F609" s="26" t="str">
        <x:v>NO</x:v>
      </x:c>
      <x:c r="G609" s="26" t="str">
        <x:v>RETAIN LITERAL</x:v>
      </x:c>
      <x:c r="H609" s="26" t="str">
        <x:v>Billions divisor</x:v>
      </x:c>
      <x:c r="I609" s="26" t="str">
        <x:v>Converts source dollars to $B</x:v>
      </x:c>
      <x:c r="J609" s="26" t="str">
        <x:v>v0.21 baseline formula; v0.23 disposition</x:v>
      </x:c>
    </x:row>
    <x:row r="610">
      <x:c r="A610" s="26" t="str">
        <x:v>AB_OS_Fiscal_Diagnostic</x:v>
      </x:c>
      <x:c r="B610" s="26" t="str">
        <x:v>F14</x:v>
      </x:c>
      <x:c r="C610" s="26" t="str">
        <x:v>SUMIF('AB_OS_Project_Data_2024'!$Y$6:$Y$115,"POST",'AB_OS_Project_Data_2024'!G$6:G$115)/1000000000</x:v>
      </x:c>
      <x:c r="D610" s="26" t="str">
        <x:v>1000000000</x:v>
      </x:c>
      <x:c r="E610" s="26" t="str">
        <x:v>UNIT CONVERSION</x:v>
      </x:c>
      <x:c r="F610" s="26" t="str">
        <x:v>NO</x:v>
      </x:c>
      <x:c r="G610" s="26" t="str">
        <x:v>RETAIN LITERAL</x:v>
      </x:c>
      <x:c r="H610" s="26" t="str">
        <x:v>Billions divisor</x:v>
      </x:c>
      <x:c r="I610" s="26" t="str">
        <x:v>Converts source dollars to $B</x:v>
      </x:c>
      <x:c r="J610" s="26" t="str">
        <x:v>v0.21 baseline formula; v0.23 disposition</x:v>
      </x:c>
    </x:row>
    <x:row r="611">
      <x:c r="A611" s="26" t="str">
        <x:v>AB_OS_Fiscal_Diagnostic</x:v>
      </x:c>
      <x:c r="B611" s="26" t="str">
        <x:v>B15</x:v>
      </x:c>
      <x:c r="C611" s="26" t="str">
        <x:v>SUM('AB_OS_Project_Data_2024'!I6:I115)/1000000</x:v>
      </x:c>
      <x:c r="D611" s="26" t="str">
        <x:v>1000000</x:v>
      </x:c>
      <x:c r="E611" s="26" t="str">
        <x:v>UNIT CONVERSION</x:v>
      </x:c>
      <x:c r="F611" s="26" t="str">
        <x:v>NO</x:v>
      </x:c>
      <x:c r="G611" s="26" t="str">
        <x:v>RETAIN LITERAL</x:v>
      </x:c>
      <x:c r="H611" s="26" t="str">
        <x:v>Billions divisor</x:v>
      </x:c>
      <x:c r="I611" s="26" t="str">
        <x:v>Converts source dollars to $B</x:v>
      </x:c>
      <x:c r="J611" s="26" t="str">
        <x:v>v0.21 baseline formula; v0.23 disposition</x:v>
      </x:c>
    </x:row>
    <x:row r="612">
      <x:c r="A612" s="26" t="str">
        <x:v>AB_OS_Fiscal_Diagnostic</x:v>
      </x:c>
      <x:c r="B612" s="26" t="str">
        <x:v>C15</x:v>
      </x:c>
      <x:c r="C612" s="26" t="str">
        <x:v>SUMIF('AB_OS_Project_Data_2024'!$T$6:$T$115,"GROSS",'AB_OS_Project_Data_2024'!I$6:I$115)/1000000</x:v>
      </x:c>
      <x:c r="D612" s="26" t="str">
        <x:v>1000000</x:v>
      </x:c>
      <x:c r="E612" s="26" t="str">
        <x:v>UNIT CONVERSION</x:v>
      </x:c>
      <x:c r="F612" s="26" t="str">
        <x:v>NO</x:v>
      </x:c>
      <x:c r="G612" s="26" t="str">
        <x:v>RETAIN LITERAL</x:v>
      </x:c>
      <x:c r="H612" s="26" t="str">
        <x:v>Billions divisor</x:v>
      </x:c>
      <x:c r="I612" s="26" t="str">
        <x:v>Converts source dollars to $B</x:v>
      </x:c>
      <x:c r="J612" s="26" t="str">
        <x:v>v0.21 baseline formula; v0.23 disposition</x:v>
      </x:c>
    </x:row>
    <x:row r="613">
      <x:c r="A613" s="26" t="str">
        <x:v>AB_OS_Fiscal_Diagnostic</x:v>
      </x:c>
      <x:c r="B613" s="26" t="str">
        <x:v>D15</x:v>
      </x:c>
      <x:c r="C613" s="26" t="str">
        <x:v>SUMIF('AB_OS_Project_Data_2024'!$T$6:$T$115,"NET",'AB_OS_Project_Data_2024'!I$6:I$115)/1000000</x:v>
      </x:c>
      <x:c r="D613" s="26" t="str">
        <x:v>1000000</x:v>
      </x:c>
      <x:c r="E613" s="26" t="str">
        <x:v>UNIT CONVERSION</x:v>
      </x:c>
      <x:c r="F613" s="26" t="str">
        <x:v>NO</x:v>
      </x:c>
      <x:c r="G613" s="26" t="str">
        <x:v>RETAIN LITERAL</x:v>
      </x:c>
      <x:c r="H613" s="26" t="str">
        <x:v>Billions divisor</x:v>
      </x:c>
      <x:c r="I613" s="26" t="str">
        <x:v>Converts source dollars to $B</x:v>
      </x:c>
      <x:c r="J613" s="26" t="str">
        <x:v>v0.21 baseline formula; v0.23 disposition</x:v>
      </x:c>
    </x:row>
    <x:row r="614">
      <x:c r="A614" s="26" t="str">
        <x:v>AB_OS_Fiscal_Diagnostic</x:v>
      </x:c>
      <x:c r="B614" s="26" t="str">
        <x:v>E15</x:v>
      </x:c>
      <x:c r="C614" s="26" t="str">
        <x:v>SUMIF('AB_OS_Project_Data_2024'!$Y$6:$Y$115,"PRE",'AB_OS_Project_Data_2024'!I$6:I$115)/1000000</x:v>
      </x:c>
      <x:c r="D614" s="26" t="str">
        <x:v>1000000</x:v>
      </x:c>
      <x:c r="E614" s="26" t="str">
        <x:v>UNIT CONVERSION</x:v>
      </x:c>
      <x:c r="F614" s="26" t="str">
        <x:v>NO</x:v>
      </x:c>
      <x:c r="G614" s="26" t="str">
        <x:v>RETAIN LITERAL</x:v>
      </x:c>
      <x:c r="H614" s="26" t="str">
        <x:v>Billions divisor</x:v>
      </x:c>
      <x:c r="I614" s="26" t="str">
        <x:v>Converts source dollars to $B</x:v>
      </x:c>
      <x:c r="J614" s="26" t="str">
        <x:v>v0.21 baseline formula; v0.23 disposition</x:v>
      </x:c>
    </x:row>
    <x:row r="615">
      <x:c r="A615" s="26" t="str">
        <x:v>AB_OS_Fiscal_Diagnostic</x:v>
      </x:c>
      <x:c r="B615" s="26" t="str">
        <x:v>F15</x:v>
      </x:c>
      <x:c r="C615" s="26" t="str">
        <x:v>SUMIF('AB_OS_Project_Data_2024'!$Y$6:$Y$115,"POST",'AB_OS_Project_Data_2024'!I$6:I$115)/1000000</x:v>
      </x:c>
      <x:c r="D615" s="26" t="str">
        <x:v>1000000</x:v>
      </x:c>
      <x:c r="E615" s="26" t="str">
        <x:v>UNIT CONVERSION</x:v>
      </x:c>
      <x:c r="F615" s="26" t="str">
        <x:v>NO</x:v>
      </x:c>
      <x:c r="G615" s="26" t="str">
        <x:v>RETAIN LITERAL</x:v>
      </x:c>
      <x:c r="H615" s="26" t="str">
        <x:v>Billions divisor</x:v>
      </x:c>
      <x:c r="I615" s="26" t="str">
        <x:v>Converts source dollars to $B</x:v>
      </x:c>
      <x:c r="J615" s="26" t="str">
        <x:v>v0.21 baseline formula; v0.23 disposition</x:v>
      </x:c>
    </x:row>
    <x:row r="616">
      <x:c r="A616" s="26" t="str">
        <x:v>AB_OS_Fiscal_Diagnostic</x:v>
      </x:c>
      <x:c r="B616" s="26" t="str">
        <x:v>B16</x:v>
      </x:c>
      <x:c r="C616" s="26" t="str">
        <x:v>SUM('AB_OS_Project_Data_2024'!L6:L115)/1000000000</x:v>
      </x:c>
      <x:c r="D616" s="26" t="str">
        <x:v>1000000000</x:v>
      </x:c>
      <x:c r="E616" s="26" t="str">
        <x:v>UNIT CONVERSION</x:v>
      </x:c>
      <x:c r="F616" s="26" t="str">
        <x:v>NO</x:v>
      </x:c>
      <x:c r="G616" s="26" t="str">
        <x:v>RETAIN LITERAL</x:v>
      </x:c>
      <x:c r="H616" s="26" t="str">
        <x:v>Billions divisor</x:v>
      </x:c>
      <x:c r="I616" s="26" t="str">
        <x:v>Converts source dollars to $B</x:v>
      </x:c>
      <x:c r="J616" s="26" t="str">
        <x:v>v0.21 baseline formula; v0.23 disposition</x:v>
      </x:c>
    </x:row>
    <x:row r="617">
      <x:c r="A617" s="26" t="str">
        <x:v>AB_OS_Fiscal_Diagnostic</x:v>
      </x:c>
      <x:c r="B617" s="26" t="str">
        <x:v>C16</x:v>
      </x:c>
      <x:c r="C617" s="26" t="str">
        <x:v>SUMIF('AB_OS_Project_Data_2024'!$T$6:$T$115,"GROSS",'AB_OS_Project_Data_2024'!L$6:L$115)/1000000000</x:v>
      </x:c>
      <x:c r="D617" s="26" t="str">
        <x:v>1000000000</x:v>
      </x:c>
      <x:c r="E617" s="26" t="str">
        <x:v>UNIT CONVERSION</x:v>
      </x:c>
      <x:c r="F617" s="26" t="str">
        <x:v>NO</x:v>
      </x:c>
      <x:c r="G617" s="26" t="str">
        <x:v>RETAIN LITERAL</x:v>
      </x:c>
      <x:c r="H617" s="26" t="str">
        <x:v>Billions divisor</x:v>
      </x:c>
      <x:c r="I617" s="26" t="str">
        <x:v>Converts source dollars to $B</x:v>
      </x:c>
      <x:c r="J617" s="26" t="str">
        <x:v>v0.21 baseline formula; v0.23 disposition</x:v>
      </x:c>
    </x:row>
    <x:row r="618">
      <x:c r="A618" s="26" t="str">
        <x:v>AB_OS_Fiscal_Diagnostic</x:v>
      </x:c>
      <x:c r="B618" s="26" t="str">
        <x:v>D16</x:v>
      </x:c>
      <x:c r="C618" s="26" t="str">
        <x:v>SUMIF('AB_OS_Project_Data_2024'!$T$6:$T$115,"NET",'AB_OS_Project_Data_2024'!L$6:L$115)/1000000000</x:v>
      </x:c>
      <x:c r="D618" s="26" t="str">
        <x:v>1000000000</x:v>
      </x:c>
      <x:c r="E618" s="26" t="str">
        <x:v>UNIT CONVERSION</x:v>
      </x:c>
      <x:c r="F618" s="26" t="str">
        <x:v>NO</x:v>
      </x:c>
      <x:c r="G618" s="26" t="str">
        <x:v>RETAIN LITERAL</x:v>
      </x:c>
      <x:c r="H618" s="26" t="str">
        <x:v>Billions divisor</x:v>
      </x:c>
      <x:c r="I618" s="26" t="str">
        <x:v>Converts source dollars to $B</x:v>
      </x:c>
      <x:c r="J618" s="26" t="str">
        <x:v>v0.21 baseline formula; v0.23 disposition</x:v>
      </x:c>
    </x:row>
    <x:row r="619">
      <x:c r="A619" s="26" t="str">
        <x:v>AB_OS_Fiscal_Diagnostic</x:v>
      </x:c>
      <x:c r="B619" s="26" t="str">
        <x:v>E16</x:v>
      </x:c>
      <x:c r="C619" s="26" t="str">
        <x:v>SUMIF('AB_OS_Project_Data_2024'!$Y$6:$Y$115,"PRE",'AB_OS_Project_Data_2024'!L$6:L$115)/1000000000</x:v>
      </x:c>
      <x:c r="D619" s="26" t="str">
        <x:v>1000000000</x:v>
      </x:c>
      <x:c r="E619" s="26" t="str">
        <x:v>UNIT CONVERSION</x:v>
      </x:c>
      <x:c r="F619" s="26" t="str">
        <x:v>NO</x:v>
      </x:c>
      <x:c r="G619" s="26" t="str">
        <x:v>RETAIN LITERAL</x:v>
      </x:c>
      <x:c r="H619" s="26" t="str">
        <x:v>Billions divisor</x:v>
      </x:c>
      <x:c r="I619" s="26" t="str">
        <x:v>Converts source dollars to $B</x:v>
      </x:c>
      <x:c r="J619" s="26" t="str">
        <x:v>v0.21 baseline formula; v0.23 disposition</x:v>
      </x:c>
    </x:row>
    <x:row r="620">
      <x:c r="A620" s="26" t="str">
        <x:v>AB_OS_Fiscal_Diagnostic</x:v>
      </x:c>
      <x:c r="B620" s="26" t="str">
        <x:v>F16</x:v>
      </x:c>
      <x:c r="C620" s="26" t="str">
        <x:v>SUMIF('AB_OS_Project_Data_2024'!$Y$6:$Y$115,"POST",'AB_OS_Project_Data_2024'!L$6:L$115)/1000000000</x:v>
      </x:c>
      <x:c r="D620" s="26" t="str">
        <x:v>1000000000</x:v>
      </x:c>
      <x:c r="E620" s="26" t="str">
        <x:v>UNIT CONVERSION</x:v>
      </x:c>
      <x:c r="F620" s="26" t="str">
        <x:v>NO</x:v>
      </x:c>
      <x:c r="G620" s="26" t="str">
        <x:v>RETAIN LITERAL</x:v>
      </x:c>
      <x:c r="H620" s="26" t="str">
        <x:v>Billions divisor</x:v>
      </x:c>
      <x:c r="I620" s="26" t="str">
        <x:v>Converts source dollars to $B</x:v>
      </x:c>
      <x:c r="J620" s="26" t="str">
        <x:v>v0.21 baseline formula; v0.23 disposition</x:v>
      </x:c>
    </x:row>
    <x:row r="621">
      <x:c r="A621" s="26" t="str">
        <x:v>AB_OS_Fiscal_Diagnostic</x:v>
      </x:c>
      <x:c r="B621" s="26" t="str">
        <x:v>B17</x:v>
      </x:c>
      <x:c r="C621" s="26" t="str">
        <x:v>SUM('AB_OS_Project_Data_2024'!M6:M115)/1000000000</x:v>
      </x:c>
      <x:c r="D621" s="26" t="str">
        <x:v>1000000000</x:v>
      </x:c>
      <x:c r="E621" s="26" t="str">
        <x:v>UNIT CONVERSION</x:v>
      </x:c>
      <x:c r="F621" s="26" t="str">
        <x:v>NO</x:v>
      </x:c>
      <x:c r="G621" s="26" t="str">
        <x:v>RETAIN LITERAL</x:v>
      </x:c>
      <x:c r="H621" s="26" t="str">
        <x:v>Billions divisor</x:v>
      </x:c>
      <x:c r="I621" s="26" t="str">
        <x:v>Converts source dollars to $B</x:v>
      </x:c>
      <x:c r="J621" s="26" t="str">
        <x:v>v0.21 baseline formula; v0.23 disposition</x:v>
      </x:c>
    </x:row>
    <x:row r="622">
      <x:c r="A622" s="26" t="str">
        <x:v>AB_OS_Fiscal_Diagnostic</x:v>
      </x:c>
      <x:c r="B622" s="26" t="str">
        <x:v>C17</x:v>
      </x:c>
      <x:c r="C622" s="26" t="str">
        <x:v>SUMIF('AB_OS_Project_Data_2024'!$T$6:$T$115,"GROSS",'AB_OS_Project_Data_2024'!M$6:M$115)/1000000000</x:v>
      </x:c>
      <x:c r="D622" s="26" t="str">
        <x:v>1000000000</x:v>
      </x:c>
      <x:c r="E622" s="26" t="str">
        <x:v>UNIT CONVERSION</x:v>
      </x:c>
      <x:c r="F622" s="26" t="str">
        <x:v>NO</x:v>
      </x:c>
      <x:c r="G622" s="26" t="str">
        <x:v>RETAIN LITERAL</x:v>
      </x:c>
      <x:c r="H622" s="26" t="str">
        <x:v>Billions divisor</x:v>
      </x:c>
      <x:c r="I622" s="26" t="str">
        <x:v>Converts source dollars to $B</x:v>
      </x:c>
      <x:c r="J622" s="26" t="str">
        <x:v>v0.21 baseline formula; v0.23 disposition</x:v>
      </x:c>
    </x:row>
    <x:row r="623">
      <x:c r="A623" s="26" t="str">
        <x:v>AB_OS_Fiscal_Diagnostic</x:v>
      </x:c>
      <x:c r="B623" s="26" t="str">
        <x:v>D17</x:v>
      </x:c>
      <x:c r="C623" s="26" t="str">
        <x:v>SUMIF('AB_OS_Project_Data_2024'!$T$6:$T$115,"NET",'AB_OS_Project_Data_2024'!M$6:M$115)/1000000000</x:v>
      </x:c>
      <x:c r="D623" s="26" t="str">
        <x:v>1000000000</x:v>
      </x:c>
      <x:c r="E623" s="26" t="str">
        <x:v>UNIT CONVERSION</x:v>
      </x:c>
      <x:c r="F623" s="26" t="str">
        <x:v>NO</x:v>
      </x:c>
      <x:c r="G623" s="26" t="str">
        <x:v>RETAIN LITERAL</x:v>
      </x:c>
      <x:c r="H623" s="26" t="str">
        <x:v>Billions divisor</x:v>
      </x:c>
      <x:c r="I623" s="26" t="str">
        <x:v>Converts source dollars to $B</x:v>
      </x:c>
      <x:c r="J623" s="26" t="str">
        <x:v>v0.21 baseline formula; v0.23 disposition</x:v>
      </x:c>
    </x:row>
    <x:row r="624">
      <x:c r="A624" s="26" t="str">
        <x:v>AB_OS_Fiscal_Diagnostic</x:v>
      </x:c>
      <x:c r="B624" s="26" t="str">
        <x:v>E17</x:v>
      </x:c>
      <x:c r="C624" s="26" t="str">
        <x:v>SUMIF('AB_OS_Project_Data_2024'!$Y$6:$Y$115,"PRE",'AB_OS_Project_Data_2024'!M$6:M$115)/1000000000</x:v>
      </x:c>
      <x:c r="D624" s="26" t="str">
        <x:v>1000000000</x:v>
      </x:c>
      <x:c r="E624" s="26" t="str">
        <x:v>UNIT CONVERSION</x:v>
      </x:c>
      <x:c r="F624" s="26" t="str">
        <x:v>NO</x:v>
      </x:c>
      <x:c r="G624" s="26" t="str">
        <x:v>RETAIN LITERAL</x:v>
      </x:c>
      <x:c r="H624" s="26" t="str">
        <x:v>Billions divisor</x:v>
      </x:c>
      <x:c r="I624" s="26" t="str">
        <x:v>Converts source dollars to $B</x:v>
      </x:c>
      <x:c r="J624" s="26" t="str">
        <x:v>v0.21 baseline formula; v0.23 disposition</x:v>
      </x:c>
    </x:row>
    <x:row r="625">
      <x:c r="A625" s="26" t="str">
        <x:v>AB_OS_Fiscal_Diagnostic</x:v>
      </x:c>
      <x:c r="B625" s="26" t="str">
        <x:v>F17</x:v>
      </x:c>
      <x:c r="C625" s="26" t="str">
        <x:v>SUMIF('AB_OS_Project_Data_2024'!$Y$6:$Y$115,"POST",'AB_OS_Project_Data_2024'!M$6:M$115)/1000000000</x:v>
      </x:c>
      <x:c r="D625" s="26" t="str">
        <x:v>1000000000</x:v>
      </x:c>
      <x:c r="E625" s="26" t="str">
        <x:v>UNIT CONVERSION</x:v>
      </x:c>
      <x:c r="F625" s="26" t="str">
        <x:v>NO</x:v>
      </x:c>
      <x:c r="G625" s="26" t="str">
        <x:v>RETAIN LITERAL</x:v>
      </x:c>
      <x:c r="H625" s="26" t="str">
        <x:v>Billions divisor</x:v>
      </x:c>
      <x:c r="I625" s="26" t="str">
        <x:v>Converts source dollars to $B</x:v>
      </x:c>
      <x:c r="J625" s="26" t="str">
        <x:v>v0.21 baseline formula; v0.23 disposition</x:v>
      </x:c>
    </x:row>
    <x:row r="626">
      <x:c r="A626" s="26" t="str">
        <x:v>AB_OS_Fiscal_Diagnostic</x:v>
      </x:c>
      <x:c r="B626" s="26" t="str">
        <x:v>B18</x:v>
      </x:c>
      <x:c r="C626" s="26" t="str">
        <x:v>SUM('AB_OS_Project_Data_2024'!N6:N115)/1000000000</x:v>
      </x:c>
      <x:c r="D626" s="26" t="str">
        <x:v>1000000000</x:v>
      </x:c>
      <x:c r="E626" s="26" t="str">
        <x:v>UNIT CONVERSION</x:v>
      </x:c>
      <x:c r="F626" s="26" t="str">
        <x:v>NO</x:v>
      </x:c>
      <x:c r="G626" s="26" t="str">
        <x:v>RETAIN LITERAL</x:v>
      </x:c>
      <x:c r="H626" s="26" t="str">
        <x:v>Billions divisor</x:v>
      </x:c>
      <x:c r="I626" s="26" t="str">
        <x:v>Converts source dollars to $B</x:v>
      </x:c>
      <x:c r="J626" s="26" t="str">
        <x:v>v0.21 baseline formula; v0.23 disposition</x:v>
      </x:c>
    </x:row>
    <x:row r="627">
      <x:c r="A627" s="26" t="str">
        <x:v>AB_OS_Fiscal_Diagnostic</x:v>
      </x:c>
      <x:c r="B627" s="26" t="str">
        <x:v>C18</x:v>
      </x:c>
      <x:c r="C627" s="26" t="str">
        <x:v>SUMIF('AB_OS_Project_Data_2024'!$T$6:$T$115,"GROSS",'AB_OS_Project_Data_2024'!N$6:N$115)/1000000000</x:v>
      </x:c>
      <x:c r="D627" s="26" t="str">
        <x:v>1000000000</x:v>
      </x:c>
      <x:c r="E627" s="26" t="str">
        <x:v>UNIT CONVERSION</x:v>
      </x:c>
      <x:c r="F627" s="26" t="str">
        <x:v>NO</x:v>
      </x:c>
      <x:c r="G627" s="26" t="str">
        <x:v>RETAIN LITERAL</x:v>
      </x:c>
      <x:c r="H627" s="26" t="str">
        <x:v>Billions divisor</x:v>
      </x:c>
      <x:c r="I627" s="26" t="str">
        <x:v>Converts source dollars to $B</x:v>
      </x:c>
      <x:c r="J627" s="26" t="str">
        <x:v>v0.21 baseline formula; v0.23 disposition</x:v>
      </x:c>
    </x:row>
    <x:row r="628">
      <x:c r="A628" s="26" t="str">
        <x:v>AB_OS_Fiscal_Diagnostic</x:v>
      </x:c>
      <x:c r="B628" s="26" t="str">
        <x:v>D18</x:v>
      </x:c>
      <x:c r="C628" s="26" t="str">
        <x:v>SUMIF('AB_OS_Project_Data_2024'!$T$6:$T$115,"NET",'AB_OS_Project_Data_2024'!N$6:N$115)/1000000000</x:v>
      </x:c>
      <x:c r="D628" s="26" t="str">
        <x:v>1000000000</x:v>
      </x:c>
      <x:c r="E628" s="26" t="str">
        <x:v>UNIT CONVERSION</x:v>
      </x:c>
      <x:c r="F628" s="26" t="str">
        <x:v>NO</x:v>
      </x:c>
      <x:c r="G628" s="26" t="str">
        <x:v>RETAIN LITERAL</x:v>
      </x:c>
      <x:c r="H628" s="26" t="str">
        <x:v>Billions divisor</x:v>
      </x:c>
      <x:c r="I628" s="26" t="str">
        <x:v>Converts source dollars to $B</x:v>
      </x:c>
      <x:c r="J628" s="26" t="str">
        <x:v>v0.21 baseline formula; v0.23 disposition</x:v>
      </x:c>
    </x:row>
    <x:row r="629">
      <x:c r="A629" s="26" t="str">
        <x:v>AB_OS_Fiscal_Diagnostic</x:v>
      </x:c>
      <x:c r="B629" s="26" t="str">
        <x:v>E18</x:v>
      </x:c>
      <x:c r="C629" s="26" t="str">
        <x:v>SUMIF('AB_OS_Project_Data_2024'!$Y$6:$Y$115,"PRE",'AB_OS_Project_Data_2024'!N$6:N$115)/1000000000</x:v>
      </x:c>
      <x:c r="D629" s="26" t="str">
        <x:v>1000000000</x:v>
      </x:c>
      <x:c r="E629" s="26" t="str">
        <x:v>UNIT CONVERSION</x:v>
      </x:c>
      <x:c r="F629" s="26" t="str">
        <x:v>NO</x:v>
      </x:c>
      <x:c r="G629" s="26" t="str">
        <x:v>RETAIN LITERAL</x:v>
      </x:c>
      <x:c r="H629" s="26" t="str">
        <x:v>Billions divisor</x:v>
      </x:c>
      <x:c r="I629" s="26" t="str">
        <x:v>Converts source dollars to $B</x:v>
      </x:c>
      <x:c r="J629" s="26" t="str">
        <x:v>v0.21 baseline formula; v0.23 disposition</x:v>
      </x:c>
    </x:row>
    <x:row r="630">
      <x:c r="A630" s="26" t="str">
        <x:v>AB_OS_Fiscal_Diagnostic</x:v>
      </x:c>
      <x:c r="B630" s="26" t="str">
        <x:v>F18</x:v>
      </x:c>
      <x:c r="C630" s="26" t="str">
        <x:v>SUMIF('AB_OS_Project_Data_2024'!$Y$6:$Y$115,"POST",'AB_OS_Project_Data_2024'!N$6:N$115)/1000000000</x:v>
      </x:c>
      <x:c r="D630" s="26" t="str">
        <x:v>1000000000</x:v>
      </x:c>
      <x:c r="E630" s="26" t="str">
        <x:v>UNIT CONVERSION</x:v>
      </x:c>
      <x:c r="F630" s="26" t="str">
        <x:v>NO</x:v>
      </x:c>
      <x:c r="G630" s="26" t="str">
        <x:v>RETAIN LITERAL</x:v>
      </x:c>
      <x:c r="H630" s="26" t="str">
        <x:v>Billions divisor</x:v>
      </x:c>
      <x:c r="I630" s="26" t="str">
        <x:v>Converts source dollars to $B</x:v>
      </x:c>
      <x:c r="J630" s="26" t="str">
        <x:v>v0.21 baseline formula; v0.23 disposition</x:v>
      </x:c>
    </x:row>
    <x:row r="631">
      <x:c r="A631" s="26" t="str">
        <x:v>AB_OS_Fiscal_Diagnostic</x:v>
      </x:c>
      <x:c r="B631" s="26" t="str">
        <x:v>B19</x:v>
      </x:c>
      <x:c r="C631" s="26" t="str">
        <x:v>SUM('AB_OS_Project_Data_2024'!O6:O115)/1000000000</x:v>
      </x:c>
      <x:c r="D631" s="26" t="str">
        <x:v>1000000000</x:v>
      </x:c>
      <x:c r="E631" s="26" t="str">
        <x:v>UNIT CONVERSION</x:v>
      </x:c>
      <x:c r="F631" s="26" t="str">
        <x:v>NO</x:v>
      </x:c>
      <x:c r="G631" s="26" t="str">
        <x:v>RETAIN LITERAL</x:v>
      </x:c>
      <x:c r="H631" s="26" t="str">
        <x:v>Billions divisor</x:v>
      </x:c>
      <x:c r="I631" s="26" t="str">
        <x:v>Converts source dollars to $B</x:v>
      </x:c>
      <x:c r="J631" s="26" t="str">
        <x:v>v0.21 baseline formula; v0.23 disposition</x:v>
      </x:c>
    </x:row>
    <x:row r="632">
      <x:c r="A632" s="26" t="str">
        <x:v>AB_OS_Fiscal_Diagnostic</x:v>
      </x:c>
      <x:c r="B632" s="26" t="str">
        <x:v>C19</x:v>
      </x:c>
      <x:c r="C632" s="26" t="str">
        <x:v>SUMIF('AB_OS_Project_Data_2024'!$T$6:$T$115,"GROSS",'AB_OS_Project_Data_2024'!O$6:O$115)/1000000000</x:v>
      </x:c>
      <x:c r="D632" s="26" t="str">
        <x:v>1000000000</x:v>
      </x:c>
      <x:c r="E632" s="26" t="str">
        <x:v>UNIT CONVERSION</x:v>
      </x:c>
      <x:c r="F632" s="26" t="str">
        <x:v>NO</x:v>
      </x:c>
      <x:c r="G632" s="26" t="str">
        <x:v>RETAIN LITERAL</x:v>
      </x:c>
      <x:c r="H632" s="26" t="str">
        <x:v>Billions divisor</x:v>
      </x:c>
      <x:c r="I632" s="26" t="str">
        <x:v>Converts source dollars to $B</x:v>
      </x:c>
      <x:c r="J632" s="26" t="str">
        <x:v>v0.21 baseline formula; v0.23 disposition</x:v>
      </x:c>
    </x:row>
    <x:row r="633">
      <x:c r="A633" s="26" t="str">
        <x:v>AB_OS_Fiscal_Diagnostic</x:v>
      </x:c>
      <x:c r="B633" s="26" t="str">
        <x:v>D19</x:v>
      </x:c>
      <x:c r="C633" s="26" t="str">
        <x:v>SUMIF('AB_OS_Project_Data_2024'!$T$6:$T$115,"NET",'AB_OS_Project_Data_2024'!O$6:O$115)/1000000000</x:v>
      </x:c>
      <x:c r="D633" s="26" t="str">
        <x:v>1000000000</x:v>
      </x:c>
      <x:c r="E633" s="26" t="str">
        <x:v>UNIT CONVERSION</x:v>
      </x:c>
      <x:c r="F633" s="26" t="str">
        <x:v>NO</x:v>
      </x:c>
      <x:c r="G633" s="26" t="str">
        <x:v>RETAIN LITERAL</x:v>
      </x:c>
      <x:c r="H633" s="26" t="str">
        <x:v>Billions divisor</x:v>
      </x:c>
      <x:c r="I633" s="26" t="str">
        <x:v>Converts source dollars to $B</x:v>
      </x:c>
      <x:c r="J633" s="26" t="str">
        <x:v>v0.21 baseline formula; v0.23 disposition</x:v>
      </x:c>
    </x:row>
    <x:row r="634">
      <x:c r="A634" s="26" t="str">
        <x:v>AB_OS_Fiscal_Diagnostic</x:v>
      </x:c>
      <x:c r="B634" s="26" t="str">
        <x:v>E19</x:v>
      </x:c>
      <x:c r="C634" s="26" t="str">
        <x:v>SUMIF('AB_OS_Project_Data_2024'!$Y$6:$Y$115,"PRE",'AB_OS_Project_Data_2024'!O$6:O$115)/1000000000</x:v>
      </x:c>
      <x:c r="D634" s="26" t="str">
        <x:v>1000000000</x:v>
      </x:c>
      <x:c r="E634" s="26" t="str">
        <x:v>UNIT CONVERSION</x:v>
      </x:c>
      <x:c r="F634" s="26" t="str">
        <x:v>NO</x:v>
      </x:c>
      <x:c r="G634" s="26" t="str">
        <x:v>RETAIN LITERAL</x:v>
      </x:c>
      <x:c r="H634" s="26" t="str">
        <x:v>Billions divisor</x:v>
      </x:c>
      <x:c r="I634" s="26" t="str">
        <x:v>Converts source dollars to $B</x:v>
      </x:c>
      <x:c r="J634" s="26" t="str">
        <x:v>v0.21 baseline formula; v0.23 disposition</x:v>
      </x:c>
    </x:row>
    <x:row r="635">
      <x:c r="A635" s="26" t="str">
        <x:v>AB_OS_Fiscal_Diagnostic</x:v>
      </x:c>
      <x:c r="B635" s="26" t="str">
        <x:v>F19</x:v>
      </x:c>
      <x:c r="C635" s="26" t="str">
        <x:v>SUMIF('AB_OS_Project_Data_2024'!$Y$6:$Y$115,"POST",'AB_OS_Project_Data_2024'!O$6:O$115)/1000000000</x:v>
      </x:c>
      <x:c r="D635" s="26" t="str">
        <x:v>1000000000</x:v>
      </x:c>
      <x:c r="E635" s="26" t="str">
        <x:v>UNIT CONVERSION</x:v>
      </x:c>
      <x:c r="F635" s="26" t="str">
        <x:v>NO</x:v>
      </x:c>
      <x:c r="G635" s="26" t="str">
        <x:v>RETAIN LITERAL</x:v>
      </x:c>
      <x:c r="H635" s="26" t="str">
        <x:v>Billions divisor</x:v>
      </x:c>
      <x:c r="I635" s="26" t="str">
        <x:v>Converts source dollars to $B</x:v>
      </x:c>
      <x:c r="J635" s="26" t="str">
        <x:v>v0.21 baseline formula; v0.23 disposition</x:v>
      </x:c>
    </x:row>
    <x:row r="636">
      <x:c r="A636" s="26" t="str">
        <x:v>AB_OS_Fiscal_Diagnostic</x:v>
      </x:c>
      <x:c r="B636" s="26" t="str">
        <x:v>B20</x:v>
      </x:c>
      <x:c r="C636" s="26" t="str">
        <x:v>SUM('AB_OS_Project_Data_2024'!P6:P115)/1000000000</x:v>
      </x:c>
      <x:c r="D636" s="26" t="str">
        <x:v>1000000000</x:v>
      </x:c>
      <x:c r="E636" s="26" t="str">
        <x:v>UNIT CONVERSION</x:v>
      </x:c>
      <x:c r="F636" s="26" t="str">
        <x:v>NO</x:v>
      </x:c>
      <x:c r="G636" s="26" t="str">
        <x:v>RETAIN LITERAL</x:v>
      </x:c>
      <x:c r="H636" s="26" t="str">
        <x:v>Billions divisor</x:v>
      </x:c>
      <x:c r="I636" s="26" t="str">
        <x:v>Converts source dollars to $B</x:v>
      </x:c>
      <x:c r="J636" s="26" t="str">
        <x:v>v0.21 baseline formula; v0.23 disposition</x:v>
      </x:c>
    </x:row>
    <x:row r="637">
      <x:c r="A637" s="26" t="str">
        <x:v>AB_OS_Fiscal_Diagnostic</x:v>
      </x:c>
      <x:c r="B637" s="26" t="str">
        <x:v>C20</x:v>
      </x:c>
      <x:c r="C637" s="26" t="str">
        <x:v>SUMIF('AB_OS_Project_Data_2024'!$T$6:$T$115,"GROSS",'AB_OS_Project_Data_2024'!P$6:P$115)/1000000000</x:v>
      </x:c>
      <x:c r="D637" s="26" t="str">
        <x:v>1000000000</x:v>
      </x:c>
      <x:c r="E637" s="26" t="str">
        <x:v>UNIT CONVERSION</x:v>
      </x:c>
      <x:c r="F637" s="26" t="str">
        <x:v>NO</x:v>
      </x:c>
      <x:c r="G637" s="26" t="str">
        <x:v>RETAIN LITERAL</x:v>
      </x:c>
      <x:c r="H637" s="26" t="str">
        <x:v>Billions divisor</x:v>
      </x:c>
      <x:c r="I637" s="26" t="str">
        <x:v>Converts source dollars to $B</x:v>
      </x:c>
      <x:c r="J637" s="26" t="str">
        <x:v>v0.21 baseline formula; v0.23 disposition</x:v>
      </x:c>
    </x:row>
    <x:row r="638">
      <x:c r="A638" s="26" t="str">
        <x:v>AB_OS_Fiscal_Diagnostic</x:v>
      </x:c>
      <x:c r="B638" s="26" t="str">
        <x:v>D20</x:v>
      </x:c>
      <x:c r="C638" s="26" t="str">
        <x:v>SUMIF('AB_OS_Project_Data_2024'!$T$6:$T$115,"NET",'AB_OS_Project_Data_2024'!P$6:P$115)/1000000000</x:v>
      </x:c>
      <x:c r="D638" s="26" t="str">
        <x:v>1000000000</x:v>
      </x:c>
      <x:c r="E638" s="26" t="str">
        <x:v>UNIT CONVERSION</x:v>
      </x:c>
      <x:c r="F638" s="26" t="str">
        <x:v>NO</x:v>
      </x:c>
      <x:c r="G638" s="26" t="str">
        <x:v>RETAIN LITERAL</x:v>
      </x:c>
      <x:c r="H638" s="26" t="str">
        <x:v>Billions divisor</x:v>
      </x:c>
      <x:c r="I638" s="26" t="str">
        <x:v>Converts source dollars to $B</x:v>
      </x:c>
      <x:c r="J638" s="26" t="str">
        <x:v>v0.21 baseline formula; v0.23 disposition</x:v>
      </x:c>
    </x:row>
    <x:row r="639">
      <x:c r="A639" s="26" t="str">
        <x:v>AB_OS_Fiscal_Diagnostic</x:v>
      </x:c>
      <x:c r="B639" s="26" t="str">
        <x:v>E20</x:v>
      </x:c>
      <x:c r="C639" s="26" t="str">
        <x:v>SUMIF('AB_OS_Project_Data_2024'!$Y$6:$Y$115,"PRE",'AB_OS_Project_Data_2024'!P$6:P$115)/1000000000</x:v>
      </x:c>
      <x:c r="D639" s="26" t="str">
        <x:v>1000000000</x:v>
      </x:c>
      <x:c r="E639" s="26" t="str">
        <x:v>UNIT CONVERSION</x:v>
      </x:c>
      <x:c r="F639" s="26" t="str">
        <x:v>NO</x:v>
      </x:c>
      <x:c r="G639" s="26" t="str">
        <x:v>RETAIN LITERAL</x:v>
      </x:c>
      <x:c r="H639" s="26" t="str">
        <x:v>Billions divisor</x:v>
      </x:c>
      <x:c r="I639" s="26" t="str">
        <x:v>Converts source dollars to $B</x:v>
      </x:c>
      <x:c r="J639" s="26" t="str">
        <x:v>v0.21 baseline formula; v0.23 disposition</x:v>
      </x:c>
    </x:row>
    <x:row r="640">
      <x:c r="A640" s="26" t="str">
        <x:v>AB_OS_Fiscal_Diagnostic</x:v>
      </x:c>
      <x:c r="B640" s="26" t="str">
        <x:v>F20</x:v>
      </x:c>
      <x:c r="C640" s="26" t="str">
        <x:v>SUMIF('AB_OS_Project_Data_2024'!$Y$6:$Y$115,"POST",'AB_OS_Project_Data_2024'!P$6:P$115)/1000000000</x:v>
      </x:c>
      <x:c r="D640" s="26" t="str">
        <x:v>1000000000</x:v>
      </x:c>
      <x:c r="E640" s="26" t="str">
        <x:v>UNIT CONVERSION</x:v>
      </x:c>
      <x:c r="F640" s="26" t="str">
        <x:v>NO</x:v>
      </x:c>
      <x:c r="G640" s="26" t="str">
        <x:v>RETAIN LITERAL</x:v>
      </x:c>
      <x:c r="H640" s="26" t="str">
        <x:v>Billions divisor</x:v>
      </x:c>
      <x:c r="I640" s="26" t="str">
        <x:v>Converts source dollars to $B</x:v>
      </x:c>
      <x:c r="J640" s="26" t="str">
        <x:v>v0.21 baseline formula; v0.23 disposition</x:v>
      </x:c>
    </x:row>
    <x:row r="641">
      <x:c r="A641" s="26" t="str">
        <x:v>AB_OS_Fiscal_Diagnostic</x:v>
      </x:c>
      <x:c r="B641" s="26" t="str">
        <x:v>B21</x:v>
      </x:c>
      <x:c r="C641" s="26" t="str">
        <x:v>SUM('AB_OS_Project_Data_2024'!Q6:Q115)/1000000000</x:v>
      </x:c>
      <x:c r="D641" s="26" t="str">
        <x:v>1000000000</x:v>
      </x:c>
      <x:c r="E641" s="26" t="str">
        <x:v>UNIT CONVERSION</x:v>
      </x:c>
      <x:c r="F641" s="26" t="str">
        <x:v>NO</x:v>
      </x:c>
      <x:c r="G641" s="26" t="str">
        <x:v>RETAIN LITERAL</x:v>
      </x:c>
      <x:c r="H641" s="26" t="str">
        <x:v>Billions divisor</x:v>
      </x:c>
      <x:c r="I641" s="26" t="str">
        <x:v>Converts source dollars to $B</x:v>
      </x:c>
      <x:c r="J641" s="26" t="str">
        <x:v>v0.21 baseline formula; v0.23 disposition</x:v>
      </x:c>
    </x:row>
    <x:row r="642">
      <x:c r="A642" s="26" t="str">
        <x:v>AB_OS_Fiscal_Diagnostic</x:v>
      </x:c>
      <x:c r="B642" s="26" t="str">
        <x:v>C21</x:v>
      </x:c>
      <x:c r="C642" s="26" t="str">
        <x:v>SUMIF('AB_OS_Project_Data_2024'!$T$6:$T$115,"GROSS",'AB_OS_Project_Data_2024'!Q$6:Q$115)/1000000000</x:v>
      </x:c>
      <x:c r="D642" s="26" t="str">
        <x:v>1000000000</x:v>
      </x:c>
      <x:c r="E642" s="26" t="str">
        <x:v>UNIT CONVERSION</x:v>
      </x:c>
      <x:c r="F642" s="26" t="str">
        <x:v>NO</x:v>
      </x:c>
      <x:c r="G642" s="26" t="str">
        <x:v>RETAIN LITERAL</x:v>
      </x:c>
      <x:c r="H642" s="26" t="str">
        <x:v>Billions divisor</x:v>
      </x:c>
      <x:c r="I642" s="26" t="str">
        <x:v>Converts source dollars to $B</x:v>
      </x:c>
      <x:c r="J642" s="26" t="str">
        <x:v>v0.21 baseline formula; v0.23 disposition</x:v>
      </x:c>
    </x:row>
    <x:row r="643">
      <x:c r="A643" s="26" t="str">
        <x:v>AB_OS_Fiscal_Diagnostic</x:v>
      </x:c>
      <x:c r="B643" s="26" t="str">
        <x:v>D21</x:v>
      </x:c>
      <x:c r="C643" s="26" t="str">
        <x:v>SUMIF('AB_OS_Project_Data_2024'!$T$6:$T$115,"NET",'AB_OS_Project_Data_2024'!Q$6:Q$115)/1000000000</x:v>
      </x:c>
      <x:c r="D643" s="26" t="str">
        <x:v>1000000000</x:v>
      </x:c>
      <x:c r="E643" s="26" t="str">
        <x:v>UNIT CONVERSION</x:v>
      </x:c>
      <x:c r="F643" s="26" t="str">
        <x:v>NO</x:v>
      </x:c>
      <x:c r="G643" s="26" t="str">
        <x:v>RETAIN LITERAL</x:v>
      </x:c>
      <x:c r="H643" s="26" t="str">
        <x:v>Billions divisor</x:v>
      </x:c>
      <x:c r="I643" s="26" t="str">
        <x:v>Converts source dollars to $B</x:v>
      </x:c>
      <x:c r="J643" s="26" t="str">
        <x:v>v0.21 baseline formula; v0.23 disposition</x:v>
      </x:c>
    </x:row>
    <x:row r="644">
      <x:c r="A644" s="26" t="str">
        <x:v>AB_OS_Fiscal_Diagnostic</x:v>
      </x:c>
      <x:c r="B644" s="26" t="str">
        <x:v>E21</x:v>
      </x:c>
      <x:c r="C644" s="26" t="str">
        <x:v>SUMIF('AB_OS_Project_Data_2024'!$Y$6:$Y$115,"PRE",'AB_OS_Project_Data_2024'!Q$6:Q$115)/1000000000</x:v>
      </x:c>
      <x:c r="D644" s="26" t="str">
        <x:v>1000000000</x:v>
      </x:c>
      <x:c r="E644" s="26" t="str">
        <x:v>UNIT CONVERSION</x:v>
      </x:c>
      <x:c r="F644" s="26" t="str">
        <x:v>NO</x:v>
      </x:c>
      <x:c r="G644" s="26" t="str">
        <x:v>RETAIN LITERAL</x:v>
      </x:c>
      <x:c r="H644" s="26" t="str">
        <x:v>Billions divisor</x:v>
      </x:c>
      <x:c r="I644" s="26" t="str">
        <x:v>Converts source dollars to $B</x:v>
      </x:c>
      <x:c r="J644" s="26" t="str">
        <x:v>v0.21 baseline formula; v0.23 disposition</x:v>
      </x:c>
    </x:row>
    <x:row r="645">
      <x:c r="A645" s="26" t="str">
        <x:v>AB_OS_Fiscal_Diagnostic</x:v>
      </x:c>
      <x:c r="B645" s="26" t="str">
        <x:v>F21</x:v>
      </x:c>
      <x:c r="C645" s="26" t="str">
        <x:v>SUMIF('AB_OS_Project_Data_2024'!$Y$6:$Y$115,"POST",'AB_OS_Project_Data_2024'!Q$6:Q$115)/1000000000</x:v>
      </x:c>
      <x:c r="D645" s="26" t="str">
        <x:v>1000000000</x:v>
      </x:c>
      <x:c r="E645" s="26" t="str">
        <x:v>UNIT CONVERSION</x:v>
      </x:c>
      <x:c r="F645" s="26" t="str">
        <x:v>NO</x:v>
      </x:c>
      <x:c r="G645" s="26" t="str">
        <x:v>RETAIN LITERAL</x:v>
      </x:c>
      <x:c r="H645" s="26" t="str">
        <x:v>Billions divisor</x:v>
      </x:c>
      <x:c r="I645" s="26" t="str">
        <x:v>Converts source dollars to $B</x:v>
      </x:c>
      <x:c r="J645" s="26" t="str">
        <x:v>v0.21 baseline formula; v0.23 disposition</x:v>
      </x:c>
    </x:row>
    <x:row r="646">
      <x:c r="A646" s="26" t="str">
        <x:v>AB_OS_Fiscal_Diagnostic</x:v>
      </x:c>
      <x:c r="B646" s="26" t="str">
        <x:v>B22</x:v>
      </x:c>
      <x:c r="C646" s="26" t="str">
        <x:v>SUM('AB_OS_Project_Data_2024'!V6:V115)/1000000000</x:v>
      </x:c>
      <x:c r="D646" s="26" t="str">
        <x:v>1000000000</x:v>
      </x:c>
      <x:c r="E646" s="26" t="str">
        <x:v>UNIT CONVERSION</x:v>
      </x:c>
      <x:c r="F646" s="26" t="str">
        <x:v>NO</x:v>
      </x:c>
      <x:c r="G646" s="26" t="str">
        <x:v>RETAIN LITERAL</x:v>
      </x:c>
      <x:c r="H646" s="26" t="str">
        <x:v>Billions divisor</x:v>
      </x:c>
      <x:c r="I646" s="26" t="str">
        <x:v>Converts source dollars to $B</x:v>
      </x:c>
      <x:c r="J646" s="26" t="str">
        <x:v>v0.21 baseline formula; v0.23 disposition</x:v>
      </x:c>
    </x:row>
    <x:row r="647">
      <x:c r="A647" s="26" t="str">
        <x:v>AB_OS_Fiscal_Diagnostic</x:v>
      </x:c>
      <x:c r="B647" s="26" t="str">
        <x:v>C22</x:v>
      </x:c>
      <x:c r="C647" s="26" t="str">
        <x:v>SUMIF('AB_OS_Project_Data_2024'!$T$6:$T$115,"GROSS",'AB_OS_Project_Data_2024'!V$6:V$115)/1000000000</x:v>
      </x:c>
      <x:c r="D647" s="26" t="str">
        <x:v>1000000000</x:v>
      </x:c>
      <x:c r="E647" s="26" t="str">
        <x:v>UNIT CONVERSION</x:v>
      </x:c>
      <x:c r="F647" s="26" t="str">
        <x:v>NO</x:v>
      </x:c>
      <x:c r="G647" s="26" t="str">
        <x:v>RETAIN LITERAL</x:v>
      </x:c>
      <x:c r="H647" s="26" t="str">
        <x:v>Billions divisor</x:v>
      </x:c>
      <x:c r="I647" s="26" t="str">
        <x:v>Converts source dollars to $B</x:v>
      </x:c>
      <x:c r="J647" s="26" t="str">
        <x:v>v0.21 baseline formula; v0.23 disposition</x:v>
      </x:c>
    </x:row>
    <x:row r="648">
      <x:c r="A648" s="26" t="str">
        <x:v>AB_OS_Fiscal_Diagnostic</x:v>
      </x:c>
      <x:c r="B648" s="26" t="str">
        <x:v>D22</x:v>
      </x:c>
      <x:c r="C648" s="26" t="str">
        <x:v>SUMIF('AB_OS_Project_Data_2024'!$T$6:$T$115,"NET",'AB_OS_Project_Data_2024'!V$6:V$115)/1000000000</x:v>
      </x:c>
      <x:c r="D648" s="26" t="str">
        <x:v>1000000000</x:v>
      </x:c>
      <x:c r="E648" s="26" t="str">
        <x:v>UNIT CONVERSION</x:v>
      </x:c>
      <x:c r="F648" s="26" t="str">
        <x:v>NO</x:v>
      </x:c>
      <x:c r="G648" s="26" t="str">
        <x:v>RETAIN LITERAL</x:v>
      </x:c>
      <x:c r="H648" s="26" t="str">
        <x:v>Billions divisor</x:v>
      </x:c>
      <x:c r="I648" s="26" t="str">
        <x:v>Converts source dollars to $B</x:v>
      </x:c>
      <x:c r="J648" s="26" t="str">
        <x:v>v0.21 baseline formula; v0.23 disposition</x:v>
      </x:c>
    </x:row>
    <x:row r="649">
      <x:c r="A649" s="26" t="str">
        <x:v>AB_OS_Fiscal_Diagnostic</x:v>
      </x:c>
      <x:c r="B649" s="26" t="str">
        <x:v>E22</x:v>
      </x:c>
      <x:c r="C649" s="26" t="str">
        <x:v>SUMIF('AB_OS_Project_Data_2024'!$Y$6:$Y$115,"PRE",'AB_OS_Project_Data_2024'!V$6:V$115)/1000000000</x:v>
      </x:c>
      <x:c r="D649" s="26" t="str">
        <x:v>1000000000</x:v>
      </x:c>
      <x:c r="E649" s="26" t="str">
        <x:v>UNIT CONVERSION</x:v>
      </x:c>
      <x:c r="F649" s="26" t="str">
        <x:v>NO</x:v>
      </x:c>
      <x:c r="G649" s="26" t="str">
        <x:v>RETAIN LITERAL</x:v>
      </x:c>
      <x:c r="H649" s="26" t="str">
        <x:v>Billions divisor</x:v>
      </x:c>
      <x:c r="I649" s="26" t="str">
        <x:v>Converts source dollars to $B</x:v>
      </x:c>
      <x:c r="J649" s="26" t="str">
        <x:v>v0.21 baseline formula; v0.23 disposition</x:v>
      </x:c>
    </x:row>
    <x:row r="650">
      <x:c r="A650" s="26" t="str">
        <x:v>AB_OS_Fiscal_Diagnostic</x:v>
      </x:c>
      <x:c r="B650" s="26" t="str">
        <x:v>F22</x:v>
      </x:c>
      <x:c r="C650" s="26" t="str">
        <x:v>SUMIF('AB_OS_Project_Data_2024'!$Y$6:$Y$115,"POST",'AB_OS_Project_Data_2024'!V$6:V$115)/1000000000</x:v>
      </x:c>
      <x:c r="D650" s="26" t="str">
        <x:v>1000000000</x:v>
      </x:c>
      <x:c r="E650" s="26" t="str">
        <x:v>UNIT CONVERSION</x:v>
      </x:c>
      <x:c r="F650" s="26" t="str">
        <x:v>NO</x:v>
      </x:c>
      <x:c r="G650" s="26" t="str">
        <x:v>RETAIN LITERAL</x:v>
      </x:c>
      <x:c r="H650" s="26" t="str">
        <x:v>Billions divisor</x:v>
      </x:c>
      <x:c r="I650" s="26" t="str">
        <x:v>Converts source dollars to $B</x:v>
      </x:c>
      <x:c r="J650" s="26" t="str">
        <x:v>v0.21 baseline formula; v0.23 disposition</x:v>
      </x:c>
    </x:row>
    <x:row r="651">
      <x:c r="A651" s="26" t="str">
        <x:v>AB_OS_Fiscal_Diagnostic</x:v>
      </x:c>
      <x:c r="B651" s="26" t="str">
        <x:v>B23</x:v>
      </x:c>
      <x:c r="C651" s="26" t="str">
        <x:v>SUM('AB_OS_Project_Data_2024'!Z6:Z115)/1000000000</x:v>
      </x:c>
      <x:c r="D651" s="26" t="str">
        <x:v>1000000000</x:v>
      </x:c>
      <x:c r="E651" s="26" t="str">
        <x:v>UNIT CONVERSION</x:v>
      </x:c>
      <x:c r="F651" s="26" t="str">
        <x:v>NO</x:v>
      </x:c>
      <x:c r="G651" s="26" t="str">
        <x:v>RETAIN LITERAL</x:v>
      </x:c>
      <x:c r="H651" s="26" t="str">
        <x:v>Billions divisor</x:v>
      </x:c>
      <x:c r="I651" s="26" t="str">
        <x:v>Converts source dollars to $B</x:v>
      </x:c>
      <x:c r="J651" s="26" t="str">
        <x:v>v0.21 baseline formula; v0.23 disposition</x:v>
      </x:c>
    </x:row>
    <x:row r="652">
      <x:c r="A652" s="26" t="str">
        <x:v>AB_OS_Fiscal_Diagnostic</x:v>
      </x:c>
      <x:c r="B652" s="26" t="str">
        <x:v>C23</x:v>
      </x:c>
      <x:c r="C652" s="26" t="str">
        <x:v>SUMIF('AB_OS_Project_Data_2024'!$T$6:$T$115,"GROSS",'AB_OS_Project_Data_2024'!Z$6:Z$115)/1000000000</x:v>
      </x:c>
      <x:c r="D652" s="26" t="str">
        <x:v>1000000000</x:v>
      </x:c>
      <x:c r="E652" s="26" t="str">
        <x:v>UNIT CONVERSION</x:v>
      </x:c>
      <x:c r="F652" s="26" t="str">
        <x:v>NO</x:v>
      </x:c>
      <x:c r="G652" s="26" t="str">
        <x:v>RETAIN LITERAL</x:v>
      </x:c>
      <x:c r="H652" s="26" t="str">
        <x:v>Billions divisor</x:v>
      </x:c>
      <x:c r="I652" s="26" t="str">
        <x:v>Converts source dollars to $B</x:v>
      </x:c>
      <x:c r="J652" s="26" t="str">
        <x:v>v0.21 baseline formula; v0.23 disposition</x:v>
      </x:c>
    </x:row>
    <x:row r="653">
      <x:c r="A653" s="26" t="str">
        <x:v>AB_OS_Fiscal_Diagnostic</x:v>
      </x:c>
      <x:c r="B653" s="26" t="str">
        <x:v>D23</x:v>
      </x:c>
      <x:c r="C653" s="26" t="str">
        <x:v>SUMIF('AB_OS_Project_Data_2024'!$T$6:$T$115,"NET",'AB_OS_Project_Data_2024'!Z$6:Z$115)/1000000000</x:v>
      </x:c>
      <x:c r="D653" s="26" t="str">
        <x:v>1000000000</x:v>
      </x:c>
      <x:c r="E653" s="26" t="str">
        <x:v>UNIT CONVERSION</x:v>
      </x:c>
      <x:c r="F653" s="26" t="str">
        <x:v>NO</x:v>
      </x:c>
      <x:c r="G653" s="26" t="str">
        <x:v>RETAIN LITERAL</x:v>
      </x:c>
      <x:c r="H653" s="26" t="str">
        <x:v>Billions divisor</x:v>
      </x:c>
      <x:c r="I653" s="26" t="str">
        <x:v>Converts source dollars to $B</x:v>
      </x:c>
      <x:c r="J653" s="26" t="str">
        <x:v>v0.21 baseline formula; v0.23 disposition</x:v>
      </x:c>
    </x:row>
    <x:row r="654">
      <x:c r="A654" s="26" t="str">
        <x:v>AB_OS_Fiscal_Diagnostic</x:v>
      </x:c>
      <x:c r="B654" s="26" t="str">
        <x:v>E23</x:v>
      </x:c>
      <x:c r="C654" s="26" t="str">
        <x:v>SUMIF('AB_OS_Project_Data_2024'!$Y$6:$Y$115,"PRE",'AB_OS_Project_Data_2024'!Z$6:Z$115)/1000000000</x:v>
      </x:c>
      <x:c r="D654" s="26" t="str">
        <x:v>1000000000</x:v>
      </x:c>
      <x:c r="E654" s="26" t="str">
        <x:v>UNIT CONVERSION</x:v>
      </x:c>
      <x:c r="F654" s="26" t="str">
        <x:v>NO</x:v>
      </x:c>
      <x:c r="G654" s="26" t="str">
        <x:v>RETAIN LITERAL</x:v>
      </x:c>
      <x:c r="H654" s="26" t="str">
        <x:v>Billions divisor</x:v>
      </x:c>
      <x:c r="I654" s="26" t="str">
        <x:v>Converts source dollars to $B</x:v>
      </x:c>
      <x:c r="J654" s="26" t="str">
        <x:v>v0.21 baseline formula; v0.23 disposition</x:v>
      </x:c>
    </x:row>
    <x:row r="655">
      <x:c r="A655" s="26" t="str">
        <x:v>AB_OS_Fiscal_Diagnostic</x:v>
      </x:c>
      <x:c r="B655" s="26" t="str">
        <x:v>F23</x:v>
      </x:c>
      <x:c r="C655" s="26" t="str">
        <x:v>SUMIF('AB_OS_Project_Data_2024'!$Y$6:$Y$115,"POST",'AB_OS_Project_Data_2024'!Z$6:Z$115)/1000000000</x:v>
      </x:c>
      <x:c r="D655" s="26" t="str">
        <x:v>1000000000</x:v>
      </x:c>
      <x:c r="E655" s="26" t="str">
        <x:v>UNIT CONVERSION</x:v>
      </x:c>
      <x:c r="F655" s="26" t="str">
        <x:v>NO</x:v>
      </x:c>
      <x:c r="G655" s="26" t="str">
        <x:v>RETAIN LITERAL</x:v>
      </x:c>
      <x:c r="H655" s="26" t="str">
        <x:v>Billions divisor</x:v>
      </x:c>
      <x:c r="I655" s="26" t="str">
        <x:v>Converts source dollars to $B</x:v>
      </x:c>
      <x:c r="J655" s="26" t="str">
        <x:v>v0.21 baseline formula; v0.23 disposition</x:v>
      </x:c>
    </x:row>
    <x:row r="656">
      <x:c r="A656" s="26" t="str">
        <x:v>AB_OS_Fiscal_Diagnostic</x:v>
      </x:c>
      <x:c r="B656" s="26" t="str">
        <x:v>B28</x:v>
      </x:c>
      <x:c r="C656" s="26" t="str">
        <x:v>B14/B15*1000</x:v>
      </x:c>
      <x:c r="D656" s="26" t="str">
        <x:v>1000</x:v>
      </x:c>
      <x:c r="E656" s="26" t="str">
        <x:v>UNIT CONVERSION</x:v>
      </x:c>
      <x:c r="F656" s="26" t="str">
        <x:v>NO</x:v>
      </x:c>
      <x:c r="G656" s="26" t="str">
        <x:v>RETAIN LITERAL</x:v>
      </x:c>
      <x:c r="H656" s="26" t="str">
        <x:v>Billions divisor</x:v>
      </x:c>
      <x:c r="I656" s="26" t="str">
        <x:v>Converts source dollars to $B</x:v>
      </x:c>
      <x:c r="J656" s="26" t="str">
        <x:v>v0.21 baseline formula; v0.23 disposition</x:v>
      </x:c>
    </x:row>
    <x:row r="657">
      <x:c r="A657" s="26" t="str">
        <x:v>Potash_CAPEX_Vintages</x:v>
      </x:c>
      <x:c r="B657" s="26" t="str">
        <x:v>O7</x:v>
      </x:c>
      <x:c r="C657" s="26" t="str">
        <x:v>IF(L6=0,"",L7/L6-1)</x:v>
      </x:c>
      <x:c r="D657" s="26" t="str">
        <x:v>-1</x:v>
      </x:c>
      <x:c r="E657" s="26" t="str">
        <x:v>MATHEMATICAL IDENTITY</x:v>
      </x:c>
      <x:c r="F657" s="26" t="str">
        <x:v>NO</x:v>
      </x:c>
      <x:c r="G657" s="26" t="str">
        <x:v>RETAIN LITERAL</x:v>
      </x:c>
      <x:c r="H657" s="26" t="str">
        <x:v>Growth formula</x:v>
      </x:c>
      <x:c r="I657" s="26" t="str">
        <x:v>Current divided by prior, minus one</x:v>
      </x:c>
      <x:c r="J657" s="26" t="str">
        <x:v>v0.21 baseline formula; v0.23 disposition</x:v>
      </x:c>
    </x:row>
    <x:row r="658">
      <x:c r="A658" s="26" t="str">
        <x:v>Potash_CAPEX_Vintages</x:v>
      </x:c>
      <x:c r="B658" s="26" t="str">
        <x:v>O8</x:v>
      </x:c>
      <x:c r="C658" s="26" t="str">
        <x:v>IF(L7=0,"",L8/L7-1)</x:v>
      </x:c>
      <x:c r="D658" s="26" t="str">
        <x:v>-1</x:v>
      </x:c>
      <x:c r="E658" s="26" t="str">
        <x:v>MATHEMATICAL IDENTITY</x:v>
      </x:c>
      <x:c r="F658" s="26" t="str">
        <x:v>NO</x:v>
      </x:c>
      <x:c r="G658" s="26" t="str">
        <x:v>RETAIN LITERAL</x:v>
      </x:c>
      <x:c r="H658" s="26" t="str">
        <x:v>Growth formula</x:v>
      </x:c>
      <x:c r="I658" s="26" t="str">
        <x:v>Current divided by prior, minus one</x:v>
      </x:c>
      <x:c r="J658" s="26" t="str">
        <x:v>v0.21 baseline formula; v0.23 disposition</x:v>
      </x:c>
    </x:row>
    <x:row r="659">
      <x:c r="A659" s="26" t="str">
        <x:v>Potash_CAPEX_Vintages</x:v>
      </x:c>
      <x:c r="B659" s="26" t="str">
        <x:v>O9</x:v>
      </x:c>
      <x:c r="C659" s="26" t="str">
        <x:v>IF(L8=0,"",L9/L8-1)</x:v>
      </x:c>
      <x:c r="D659" s="26" t="str">
        <x:v>-1</x:v>
      </x:c>
      <x:c r="E659" s="26" t="str">
        <x:v>MATHEMATICAL IDENTITY</x:v>
      </x:c>
      <x:c r="F659" s="26" t="str">
        <x:v>NO</x:v>
      </x:c>
      <x:c r="G659" s="26" t="str">
        <x:v>RETAIN LITERAL</x:v>
      </x:c>
      <x:c r="H659" s="26" t="str">
        <x:v>Growth formula</x:v>
      </x:c>
      <x:c r="I659" s="26" t="str">
        <x:v>Current divided by prior, minus one</x:v>
      </x:c>
      <x:c r="J659" s="26" t="str">
        <x:v>v0.21 baseline formula; v0.23 disposition</x:v>
      </x:c>
    </x:row>
    <x:row r="660">
      <x:c r="A660" s="26" t="str">
        <x:v>Potash_CAPEX_Vintages</x:v>
      </x:c>
      <x:c r="B660" s="26" t="str">
        <x:v>O10</x:v>
      </x:c>
      <x:c r="C660" s="26" t="str">
        <x:v>IF(L9=0,"",L10/L9-1)</x:v>
      </x:c>
      <x:c r="D660" s="26" t="str">
        <x:v>-1</x:v>
      </x:c>
      <x:c r="E660" s="26" t="str">
        <x:v>MATHEMATICAL IDENTITY</x:v>
      </x:c>
      <x:c r="F660" s="26" t="str">
        <x:v>NO</x:v>
      </x:c>
      <x:c r="G660" s="26" t="str">
        <x:v>RETAIN LITERAL</x:v>
      </x:c>
      <x:c r="H660" s="26" t="str">
        <x:v>Growth formula</x:v>
      </x:c>
      <x:c r="I660" s="26" t="str">
        <x:v>Current divided by prior, minus one</x:v>
      </x:c>
      <x:c r="J660" s="26" t="str">
        <x:v>v0.21 baseline formula; v0.23 disposition</x:v>
      </x:c>
    </x:row>
    <x:row r="661">
      <x:c r="A661" s="26" t="str">
        <x:v>Potash_CAPEX_Vintages</x:v>
      </x:c>
      <x:c r="B661" s="26" t="str">
        <x:v>O11</x:v>
      </x:c>
      <x:c r="C661" s="26" t="str">
        <x:v>IF(L10=0,"",L11/L10-1)</x:v>
      </x:c>
      <x:c r="D661" s="26" t="str">
        <x:v>-1</x:v>
      </x:c>
      <x:c r="E661" s="26" t="str">
        <x:v>MATHEMATICAL IDENTITY</x:v>
      </x:c>
      <x:c r="F661" s="26" t="str">
        <x:v>NO</x:v>
      </x:c>
      <x:c r="G661" s="26" t="str">
        <x:v>RETAIN LITERAL</x:v>
      </x:c>
      <x:c r="H661" s="26" t="str">
        <x:v>Growth formula</x:v>
      </x:c>
      <x:c r="I661" s="26" t="str">
        <x:v>Current divided by prior, minus one</x:v>
      </x:c>
      <x:c r="J661" s="26" t="str">
        <x:v>v0.21 baseline formula; v0.23 disposition</x:v>
      </x:c>
    </x:row>
    <x:row r="662">
      <x:c r="A662" s="26" t="str">
        <x:v>Potash_CAPEX_Vintages</x:v>
      </x:c>
      <x:c r="B662" s="26" t="str">
        <x:v>O12</x:v>
      </x:c>
      <x:c r="C662" s="26" t="str">
        <x:v>IF(L11=0,"",L12/L11-1)</x:v>
      </x:c>
      <x:c r="D662" s="26" t="str">
        <x:v>-1</x:v>
      </x:c>
      <x:c r="E662" s="26" t="str">
        <x:v>MATHEMATICAL IDENTITY</x:v>
      </x:c>
      <x:c r="F662" s="26" t="str">
        <x:v>NO</x:v>
      </x:c>
      <x:c r="G662" s="26" t="str">
        <x:v>RETAIN LITERAL</x:v>
      </x:c>
      <x:c r="H662" s="26" t="str">
        <x:v>Growth formula</x:v>
      </x:c>
      <x:c r="I662" s="26" t="str">
        <x:v>Current divided by prior, minus one</x:v>
      </x:c>
      <x:c r="J662" s="26" t="str">
        <x:v>v0.21 baseline formula; v0.23 disposition</x:v>
      </x:c>
    </x:row>
    <x:row r="663">
      <x:c r="A663" s="26" t="str">
        <x:v>Potash_CAPEX_Vintages</x:v>
      </x:c>
      <x:c r="B663" s="26" t="str">
        <x:v>O13</x:v>
      </x:c>
      <x:c r="C663" s="26" t="str">
        <x:v>IF(L12=0,"",L13/L12-1)</x:v>
      </x:c>
      <x:c r="D663" s="26" t="str">
        <x:v>-1</x:v>
      </x:c>
      <x:c r="E663" s="26" t="str">
        <x:v>MATHEMATICAL IDENTITY</x:v>
      </x:c>
      <x:c r="F663" s="26" t="str">
        <x:v>NO</x:v>
      </x:c>
      <x:c r="G663" s="26" t="str">
        <x:v>RETAIN LITERAL</x:v>
      </x:c>
      <x:c r="H663" s="26" t="str">
        <x:v>Growth formula</x:v>
      </x:c>
      <x:c r="I663" s="26" t="str">
        <x:v>Current divided by prior, minus one</x:v>
      </x:c>
      <x:c r="J663" s="26" t="str">
        <x:v>v0.21 baseline formula; v0.23 disposition</x:v>
      </x:c>
    </x:row>
    <x:row r="664">
      <x:c r="A664" s="26" t="str">
        <x:v>Potash_CAPEX_Vintages</x:v>
      </x:c>
      <x:c r="B664" s="26" t="str">
        <x:v>O14</x:v>
      </x:c>
      <x:c r="C664" s="26" t="str">
        <x:v>IF(L13=0,"",L14/L13-1)</x:v>
      </x:c>
      <x:c r="D664" s="26" t="str">
        <x:v>-1</x:v>
      </x:c>
      <x:c r="E664" s="26" t="str">
        <x:v>MATHEMATICAL IDENTITY</x:v>
      </x:c>
      <x:c r="F664" s="26" t="str">
        <x:v>NO</x:v>
      </x:c>
      <x:c r="G664" s="26" t="str">
        <x:v>RETAIN LITERAL</x:v>
      </x:c>
      <x:c r="H664" s="26" t="str">
        <x:v>Growth formula</x:v>
      </x:c>
      <x:c r="I664" s="26" t="str">
        <x:v>Current divided by prior, minus one</x:v>
      </x:c>
      <x:c r="J664" s="26" t="str">
        <x:v>v0.21 baseline formula; v0.23 disposition</x:v>
      </x:c>
    </x:row>
    <x:row r="665">
      <x:c r="A665" s="26" t="str">
        <x:v>Potash_CAPEX_Vintages</x:v>
      </x:c>
      <x:c r="B665" s="26" t="str">
        <x:v>O15</x:v>
      </x:c>
      <x:c r="C665" s="26" t="str">
        <x:v>IF(L14=0,"",L15/L14-1)</x:v>
      </x:c>
      <x:c r="D665" s="26" t="str">
        <x:v>-1</x:v>
      </x:c>
      <x:c r="E665" s="26" t="str">
        <x:v>MATHEMATICAL IDENTITY</x:v>
      </x:c>
      <x:c r="F665" s="26" t="str">
        <x:v>NO</x:v>
      </x:c>
      <x:c r="G665" s="26" t="str">
        <x:v>RETAIN LITERAL</x:v>
      </x:c>
      <x:c r="H665" s="26" t="str">
        <x:v>Growth formula</x:v>
      </x:c>
      <x:c r="I665" s="26" t="str">
        <x:v>Current divided by prior, minus one</x:v>
      </x:c>
      <x:c r="J665" s="26" t="str">
        <x:v>v0.21 baseline formula; v0.23 disposition</x:v>
      </x:c>
    </x:row>
    <x:row r="666">
      <x:c r="A666" s="26" t="str">
        <x:v>Potash_CAPEX_Vintages</x:v>
      </x:c>
      <x:c r="B666" s="26" t="str">
        <x:v>O16</x:v>
      </x:c>
      <x:c r="C666" s="26" t="str">
        <x:v>IF(L15=0,"",L16/L15-1)</x:v>
      </x:c>
      <x:c r="D666" s="26" t="str">
        <x:v>-1</x:v>
      </x:c>
      <x:c r="E666" s="26" t="str">
        <x:v>MATHEMATICAL IDENTITY</x:v>
      </x:c>
      <x:c r="F666" s="26" t="str">
        <x:v>NO</x:v>
      </x:c>
      <x:c r="G666" s="26" t="str">
        <x:v>RETAIN LITERAL</x:v>
      </x:c>
      <x:c r="H666" s="26" t="str">
        <x:v>Growth formula</x:v>
      </x:c>
      <x:c r="I666" s="26" t="str">
        <x:v>Current divided by prior, minus one</x:v>
      </x:c>
      <x:c r="J666" s="26" t="str">
        <x:v>v0.21 baseline formula; v0.23 disposition</x:v>
      </x:c>
    </x:row>
    <x:row r="667">
      <x:c r="A667" s="26" t="str">
        <x:v>Potash_CAPEX_Vintages</x:v>
      </x:c>
      <x:c r="B667" s="26" t="str">
        <x:v>O33</x:v>
      </x:c>
      <x:c r="C667" s="26" t="str">
        <x:v>IF(OR(L33="",N33=""),"",N33/L33-1)</x:v>
      </x:c>
      <x:c r="D667" s="26" t="str">
        <x:v>-1</x:v>
      </x:c>
      <x:c r="E667" s="26" t="str">
        <x:v>MATHEMATICAL IDENTITY</x:v>
      </x:c>
      <x:c r="F667" s="26" t="str">
        <x:v>NO</x:v>
      </x:c>
      <x:c r="G667" s="26" t="str">
        <x:v>RETAIN LITERAL</x:v>
      </x:c>
      <x:c r="H667" s="26" t="str">
        <x:v>Growth formula</x:v>
      </x:c>
      <x:c r="I667" s="26" t="str">
        <x:v>Current divided by prior, minus one</x:v>
      </x:c>
      <x:c r="J667" s="26" t="str">
        <x:v>v0.21 baseline formula; v0.23 disposition</x:v>
      </x:c>
    </x:row>
    <x:row r="668">
      <x:c r="A668" s="26" t="str">
        <x:v>Potash_CAPEX_Vintages</x:v>
      </x:c>
      <x:c r="B668" s="26" t="str">
        <x:v>O34</x:v>
      </x:c>
      <x:c r="C668" s="26" t="str">
        <x:v>IF(OR(L34="",N34=""),"",N34/L34-1)</x:v>
      </x:c>
      <x:c r="D668" s="26" t="str">
        <x:v>-1</x:v>
      </x:c>
      <x:c r="E668" s="26" t="str">
        <x:v>MATHEMATICAL IDENTITY</x:v>
      </x:c>
      <x:c r="F668" s="26" t="str">
        <x:v>NO</x:v>
      </x:c>
      <x:c r="G668" s="26" t="str">
        <x:v>RETAIN LITERAL</x:v>
      </x:c>
      <x:c r="H668" s="26" t="str">
        <x:v>Growth formula</x:v>
      </x:c>
      <x:c r="I668" s="26" t="str">
        <x:v>Current divided by prior, minus one</x:v>
      </x:c>
      <x:c r="J668" s="26" t="str">
        <x:v>v0.21 baseline formula; v0.23 disposition</x:v>
      </x:c>
    </x:row>
    <x:row r="669">
      <x:c r="A669" s="26" t="str">
        <x:v>Potash_CAPEX_Vintages</x:v>
      </x:c>
      <x:c r="B669" s="26" t="str">
        <x:v>O35</x:v>
      </x:c>
      <x:c r="C669" s="26" t="str">
        <x:v>IF(OR(L35="",N35=""),"",N35/L35-1)</x:v>
      </x:c>
      <x:c r="D669" s="26" t="str">
        <x:v>-1</x:v>
      </x:c>
      <x:c r="E669" s="26" t="str">
        <x:v>MATHEMATICAL IDENTITY</x:v>
      </x:c>
      <x:c r="F669" s="26" t="str">
        <x:v>NO</x:v>
      </x:c>
      <x:c r="G669" s="26" t="str">
        <x:v>RETAIN LITERAL</x:v>
      </x:c>
      <x:c r="H669" s="26" t="str">
        <x:v>Growth formula</x:v>
      </x:c>
      <x:c r="I669" s="26" t="str">
        <x:v>Current divided by prior, minus one</x:v>
      </x:c>
      <x:c r="J669" s="26" t="str">
        <x:v>v0.21 baseline formula; v0.23 disposition</x:v>
      </x:c>
    </x:row>
    <x:row r="670">
      <x:c r="A670" s="26" t="str">
        <x:v>Potash_CAPEX_Vintages</x:v>
      </x:c>
      <x:c r="B670" s="26" t="str">
        <x:v>O36</x:v>
      </x:c>
      <x:c r="C670" s="26" t="str">
        <x:v>IF(OR(L36="",N36=""),"",N36/L36-1)</x:v>
      </x:c>
      <x:c r="D670" s="26" t="str">
        <x:v>-1</x:v>
      </x:c>
      <x:c r="E670" s="26" t="str">
        <x:v>MATHEMATICAL IDENTITY</x:v>
      </x:c>
      <x:c r="F670" s="26" t="str">
        <x:v>NO</x:v>
      </x:c>
      <x:c r="G670" s="26" t="str">
        <x:v>RETAIN LITERAL</x:v>
      </x:c>
      <x:c r="H670" s="26" t="str">
        <x:v>Growth formula</x:v>
      </x:c>
      <x:c r="I670" s="26" t="str">
        <x:v>Current divided by prior, minus one</x:v>
      </x:c>
      <x:c r="J670" s="26" t="str">
        <x:v>v0.21 baseline formula; v0.23 disposition</x:v>
      </x:c>
    </x:row>
    <x:row r="671">
      <x:c r="A671" s="26" t="str">
        <x:v>Potash_CAPEX_Vintages</x:v>
      </x:c>
      <x:c r="B671" s="26" t="str">
        <x:v>O37</x:v>
      </x:c>
      <x:c r="C671" s="26" t="str">
        <x:v>IF(OR(L37="",N37=""),"",N37/L37-1)</x:v>
      </x:c>
      <x:c r="D671" s="26" t="str">
        <x:v>-1</x:v>
      </x:c>
      <x:c r="E671" s="26" t="str">
        <x:v>MATHEMATICAL IDENTITY</x:v>
      </x:c>
      <x:c r="F671" s="26" t="str">
        <x:v>NO</x:v>
      </x:c>
      <x:c r="G671" s="26" t="str">
        <x:v>RETAIN LITERAL</x:v>
      </x:c>
      <x:c r="H671" s="26" t="str">
        <x:v>Growth formula</x:v>
      </x:c>
      <x:c r="I671" s="26" t="str">
        <x:v>Current divided by prior, minus one</x:v>
      </x:c>
      <x:c r="J671" s="26" t="str">
        <x:v>v0.21 baseline formula; v0.23 disposition</x:v>
      </x:c>
    </x:row>
    <x:row r="672">
      <x:c r="A672" s="26" t="str">
        <x:v>Potash_CAPEX_Vintages</x:v>
      </x:c>
      <x:c r="B672" s="26" t="str">
        <x:v>O38</x:v>
      </x:c>
      <x:c r="C672" s="26" t="str">
        <x:v>IF(OR(L38="",N38=""),"",N38/L38-1)</x:v>
      </x:c>
      <x:c r="D672" s="26" t="str">
        <x:v>-1</x:v>
      </x:c>
      <x:c r="E672" s="26" t="str">
        <x:v>MATHEMATICAL IDENTITY</x:v>
      </x:c>
      <x:c r="F672" s="26" t="str">
        <x:v>NO</x:v>
      </x:c>
      <x:c r="G672" s="26" t="str">
        <x:v>RETAIN LITERAL</x:v>
      </x:c>
      <x:c r="H672" s="26" t="str">
        <x:v>Growth formula</x:v>
      </x:c>
      <x:c r="I672" s="26" t="str">
        <x:v>Current divided by prior, minus one</x:v>
      </x:c>
      <x:c r="J672" s="26" t="str">
        <x:v>v0.21 baseline formula; v0.23 disposition</x:v>
      </x:c>
    </x:row>
    <x:row r="673">
      <x:c r="A673" s="26" t="str">
        <x:v>Potash_CAPEX_Vintages</x:v>
      </x:c>
      <x:c r="B673" s="26" t="str">
        <x:v>O39</x:v>
      </x:c>
      <x:c r="C673" s="26" t="str">
        <x:v>IF(OR(L39="",N39=""),"",N39/L39-1)</x:v>
      </x:c>
      <x:c r="D673" s="26" t="str">
        <x:v>-1</x:v>
      </x:c>
      <x:c r="E673" s="26" t="str">
        <x:v>MATHEMATICAL IDENTITY</x:v>
      </x:c>
      <x:c r="F673" s="26" t="str">
        <x:v>NO</x:v>
      </x:c>
      <x:c r="G673" s="26" t="str">
        <x:v>RETAIN LITERAL</x:v>
      </x:c>
      <x:c r="H673" s="26" t="str">
        <x:v>Growth formula</x:v>
      </x:c>
      <x:c r="I673" s="26" t="str">
        <x:v>Current divided by prior, minus one</x:v>
      </x:c>
      <x:c r="J673" s="26" t="str">
        <x:v>v0.21 baseline formula; v0.23 disposition</x:v>
      </x:c>
    </x:row>
    <x:row r="674">
      <x:c r="A674" s="26" t="str">
        <x:v>Potash_CAPEX_Vintages</x:v>
      </x:c>
      <x:c r="B674" s="26" t="str">
        <x:v>O40</x:v>
      </x:c>
      <x:c r="C674" s="26" t="str">
        <x:v>IF(OR(L40="",N40=""),"",N40/L40-1)</x:v>
      </x:c>
      <x:c r="D674" s="26" t="str">
        <x:v>-1</x:v>
      </x:c>
      <x:c r="E674" s="26" t="str">
        <x:v>MATHEMATICAL IDENTITY</x:v>
      </x:c>
      <x:c r="F674" s="26" t="str">
        <x:v>NO</x:v>
      </x:c>
      <x:c r="G674" s="26" t="str">
        <x:v>RETAIN LITERAL</x:v>
      </x:c>
      <x:c r="H674" s="26" t="str">
        <x:v>Growth formula</x:v>
      </x:c>
      <x:c r="I674" s="26" t="str">
        <x:v>Current divided by prior, minus one</x:v>
      </x:c>
      <x:c r="J674" s="26" t="str">
        <x:v>v0.21 baseline formula; v0.23 disposition</x:v>
      </x:c>
    </x:row>
    <x:row r="675">
      <x:c r="A675" s="26" t="str">
        <x:v>AB_Royalty_Reconciliation</x:v>
      </x:c>
      <x:c r="B675" s="26" t="str">
        <x:v>B18</x:v>
      </x:c>
      <x:c r="C675" s="26" t="str">
        <x:v>25%*B8+75%*B9</x:v>
      </x:c>
      <x:c r="D675" s="26" t="str">
        <x:v>25%, 75%</x:v>
      </x:c>
      <x:c r="E675" s="26" t="str">
        <x:v>ILLUSTRATIVE TIMING ASSUMPTION</x:v>
      </x:c>
      <x:c r="F675" s="26" t="str">
        <x:v>YES</x:v>
      </x:c>
      <x:c r="G675" s="26" t="str">
        <x:v>CENTRALIZED</x:v>
      </x:c>
      <x:c r="H675" s="26" t="str">
        <x:v>P-010:P-011</x:v>
      </x:c>
      <x:c r="I675" s="26" t="str">
        <x:v>Fiscal-year blend weights; not an official calendar conversion</x:v>
      </x:c>
      <x:c r="J675" s="26" t="str">
        <x:v>v0.21 baseline formula; v0.23 disposition</x:v>
      </x:c>
    </x:row>
  </x:sheetData>
  <x:mergeCells>
    <x:mergeCell ref="A1:J1"/>
    <x:mergeCell ref="A2:J2"/>
    <x:mergeCell ref="A21:J21"/>
  </x:mergeCells>
  <x:pageMargins left="0.7" right="0.7" top="0.75" bottom="0.75" header="0.3" footer="0.3"/>
</x:worksheet>
</file>

<file path=xl/worksheets/sheet60.xml><?xml version="1.0" encoding="utf-8"?>
<x:worksheet xmlns:x="http://schemas.openxmlformats.org/spreadsheetml/2006/main">
  <x:sheetFormatPr defaultRowHeight="15"/>
  <x:cols>
    <x:col min="1" max="1" width="28" hidden="0" customWidth="1"/>
    <x:col min="2" max="2" width="10" hidden="0" customWidth="1"/>
    <x:col min="3" max="3" width="18" hidden="0" customWidth="1"/>
    <x:col min="4" max="4" width="28" hidden="0" customWidth="1"/>
    <x:col min="5" max="5" width="39" hidden="0" customWidth="1"/>
    <x:col min="6" max="6" width="24" hidden="0" customWidth="1"/>
    <x:col min="7" max="7" width="34" hidden="0" customWidth="1"/>
    <x:col min="8" max="8" width="39" hidden="0" customWidth="1"/>
    <x:col min="9" max="9" width="34" hidden="0" customWidth="1"/>
    <x:col min="10" max="10" width="11" hidden="0" customWidth="1"/>
  </x:cols>
  <x:sheetData>
    <x:row r="1" ht="28" customHeight="1">
      <x:c r="A1" s="1891" t="str">
        <x:v>Assumption Centralization and Reclassification Register</x:v>
      </x:c>
      <x:c r="B1" s="1891"/>
      <x:c r="C1" s="1891"/>
      <x:c r="D1" s="1891"/>
      <x:c r="E1" s="1891"/>
      <x:c r="F1" s="1891"/>
      <x:c r="G1" s="1891"/>
      <x:c r="H1" s="1891"/>
      <x:c r="I1" s="1891"/>
      <x:c r="J1" s="1891"/>
    </x:row>
    <x:row r="2" ht="44" customHeight="1">
      <x:c r="A2" s="1895" t="str">
        <x:v>The v0.21 audit identified 134 assumed cells. This register distinguishes true scenario assumptions from observed values, period labels and missing-data zeros, then records their canonical location or removal.</x:v>
      </x:c>
      <x:c r="B2" s="1895"/>
      <x:c r="C2" s="1895"/>
      <x:c r="D2" s="1895"/>
      <x:c r="E2" s="1895"/>
      <x:c r="F2" s="1895"/>
      <x:c r="G2" s="1895"/>
      <x:c r="H2" s="1895"/>
      <x:c r="I2" s="1895"/>
      <x:c r="J2" s="1895"/>
    </x:row>
    <x:row r="4">
      <x:c r="A4" s="1900" t="str">
        <x:v>Baseline sheet</x:v>
      </x:c>
      <x:c r="B4" s="1900" t="str">
        <x:v>Cell</x:v>
      </x:c>
      <x:c r="C4" s="1900" t="str">
        <x:v>Baseline value</x:v>
      </x:c>
      <x:c r="D4" s="1900" t="str">
        <x:v>Context</x:v>
      </x:c>
      <x:c r="E4" s="1900" t="str">
        <x:v>v0.21 reason</x:v>
      </x:c>
      <x:c r="F4" s="1900" t="str">
        <x:v>Corrected class</x:v>
      </x:c>
      <x:c r="G4" s="1900" t="str">
        <x:v>Canonical location</x:v>
      </x:c>
      <x:c r="H4" s="1900" t="str">
        <x:v>v0.23 disposition</x:v>
      </x:c>
      <x:c r="I4" s="1900" t="str">
        <x:v>Publication rule</x:v>
      </x:c>
      <x:c r="J4" s="1900" t="str">
        <x:v>Risk</x:v>
      </x:c>
    </x:row>
    <x:row r="5">
      <x:c r="A5" s="1906" t="str">
        <x:v>Assumptions</x:v>
      </x:c>
      <x:c r="B5" s="1906" t="str">
        <x:v>B5</x:v>
      </x:c>
      <x:c r="C5" s="1906" t="str">
        <x:v>2024</x:v>
      </x:c>
      <x:c r="D5" s="1906" t="str">
        <x:v>base</x:v>
      </x:c>
      <x:c r="E5" s="1906" t="str">
        <x:v>Selected scenario/model year</x:v>
      </x:c>
      <x:c r="F5" s="1906" t="str">
        <x:v>ASSUMED</x:v>
      </x:c>
      <x:c r="G5" s="1906" t="str">
        <x:v>Assumptions!B5</x:v>
      </x:c>
      <x:c r="H5" s="1906" t="str">
        <x:v>CANONICAL CENTRAL INPUT</x:v>
      </x:c>
      <x:c r="I5" s="1906" t="str">
        <x:v>Scenario only</x:v>
      </x:c>
      <x:c r="J5" s="1906" t="str">
        <x:v>MEDIUM</x:v>
      </x:c>
    </x:row>
    <x:row r="6">
      <x:c r="A6" s="1906" t="str">
        <x:v>Assumptions</x:v>
      </x:c>
      <x:c r="B6" s="1906" t="str">
        <x:v>C5</x:v>
      </x:c>
      <x:c r="C6" s="1906" t="str">
        <x:v>2024</x:v>
      </x:c>
      <x:c r="D6" s="1906" t="str">
        <x:v>low</x:v>
      </x:c>
      <x:c r="E6" s="1906" t="str">
        <x:v>Selected scenario/model year</x:v>
      </x:c>
      <x:c r="F6" s="1906" t="str">
        <x:v>ASSUMED</x:v>
      </x:c>
      <x:c r="G6" s="1906" t="str">
        <x:v>Assumptions!C5</x:v>
      </x:c>
      <x:c r="H6" s="1906" t="str">
        <x:v>CANONICAL CENTRAL INPUT</x:v>
      </x:c>
      <x:c r="I6" s="1906" t="str">
        <x:v>Scenario only</x:v>
      </x:c>
      <x:c r="J6" s="1906" t="str">
        <x:v>MEDIUM</x:v>
      </x:c>
    </x:row>
    <x:row r="7">
      <x:c r="A7" s="1906" t="str">
        <x:v>Assumptions</x:v>
      </x:c>
      <x:c r="B7" s="1906" t="str">
        <x:v>D5</x:v>
      </x:c>
      <x:c r="C7" s="1906" t="str">
        <x:v>2024</x:v>
      </x:c>
      <x:c r="D7" s="1906" t="str">
        <x:v>high</x:v>
      </x:c>
      <x:c r="E7" s="1906" t="str">
        <x:v>Selected scenario/model year</x:v>
      </x:c>
      <x:c r="F7" s="1906" t="str">
        <x:v>ASSUMED</x:v>
      </x:c>
      <x:c r="G7" s="1906" t="str">
        <x:v>Assumptions!D5</x:v>
      </x:c>
      <x:c r="H7" s="1906" t="str">
        <x:v>CANONICAL CENTRAL INPUT</x:v>
      </x:c>
      <x:c r="I7" s="1906" t="str">
        <x:v>Scenario only</x:v>
      </x:c>
      <x:c r="J7" s="1906" t="str">
        <x:v>MEDIUM</x:v>
      </x:c>
    </x:row>
    <x:row r="8">
      <x:c r="A8" s="1906" t="str">
        <x:v>Assumptions</x:v>
      </x:c>
      <x:c r="B8" s="1906" t="str">
        <x:v>B6</x:v>
      </x:c>
      <x:c r="C8" s="1906" t="str">
        <x:v>0.08</x:v>
      </x:c>
      <x:c r="D8" s="1906" t="str">
        <x:v>base</x:v>
      </x:c>
      <x:c r="E8" s="1906" t="str">
        <x:v>Explicit editable scenario assumption</x:v>
      </x:c>
      <x:c r="F8" s="1906" t="str">
        <x:v>ASSUMED</x:v>
      </x:c>
      <x:c r="G8" s="1906" t="str">
        <x:v>Assumptions!B6</x:v>
      </x:c>
      <x:c r="H8" s="1906" t="str">
        <x:v>CANONICAL CENTRAL INPUT</x:v>
      </x:c>
      <x:c r="I8" s="1906" t="str">
        <x:v>Scenario only</x:v>
      </x:c>
      <x:c r="J8" s="1906" t="str">
        <x:v>MEDIUM</x:v>
      </x:c>
    </x:row>
    <x:row r="9">
      <x:c r="A9" s="1906" t="str">
        <x:v>Assumptions</x:v>
      </x:c>
      <x:c r="B9" s="1906" t="str">
        <x:v>C6</x:v>
      </x:c>
      <x:c r="C9" s="1906" t="str">
        <x:v>0.05</x:v>
      </x:c>
      <x:c r="D9" s="1906" t="str">
        <x:v>low</x:v>
      </x:c>
      <x:c r="E9" s="1906" t="str">
        <x:v>Explicit editable scenario assumption</x:v>
      </x:c>
      <x:c r="F9" s="1906" t="str">
        <x:v>ASSUMED</x:v>
      </x:c>
      <x:c r="G9" s="1906" t="str">
        <x:v>Assumptions!C6</x:v>
      </x:c>
      <x:c r="H9" s="1906" t="str">
        <x:v>CANONICAL CENTRAL INPUT</x:v>
      </x:c>
      <x:c r="I9" s="1906" t="str">
        <x:v>Scenario only</x:v>
      </x:c>
      <x:c r="J9" s="1906" t="str">
        <x:v>MEDIUM</x:v>
      </x:c>
    </x:row>
    <x:row r="10">
      <x:c r="A10" s="1906" t="str">
        <x:v>Assumptions</x:v>
      </x:c>
      <x:c r="B10" s="1906" t="str">
        <x:v>D6</x:v>
      </x:c>
      <x:c r="C10" s="1906" t="str">
        <x:v>0.12</x:v>
      </x:c>
      <x:c r="D10" s="1906" t="str">
        <x:v>high</x:v>
      </x:c>
      <x:c r="E10" s="1906" t="str">
        <x:v>Explicit editable scenario assumption</x:v>
      </x:c>
      <x:c r="F10" s="1906" t="str">
        <x:v>ASSUMED</x:v>
      </x:c>
      <x:c r="G10" s="1906" t="str">
        <x:v>Assumptions!D6</x:v>
      </x:c>
      <x:c r="H10" s="1906" t="str">
        <x:v>CANONICAL CENTRAL INPUT</x:v>
      </x:c>
      <x:c r="I10" s="1906" t="str">
        <x:v>Scenario only</x:v>
      </x:c>
      <x:c r="J10" s="1906" t="str">
        <x:v>MEDIUM</x:v>
      </x:c>
    </x:row>
    <x:row r="11">
      <x:c r="A11" s="1906" t="str">
        <x:v>Assumptions</x:v>
      </x:c>
      <x:c r="B11" s="1906" t="str">
        <x:v>B7</x:v>
      </x:c>
      <x:c r="C11" s="1906" t="str">
        <x:v>0.06</x:v>
      </x:c>
      <x:c r="D11" s="1906" t="str">
        <x:v>base</x:v>
      </x:c>
      <x:c r="E11" s="1906" t="str">
        <x:v>Explicit editable scenario assumption</x:v>
      </x:c>
      <x:c r="F11" s="1906" t="str">
        <x:v>ASSUMED</x:v>
      </x:c>
      <x:c r="G11" s="1906" t="str">
        <x:v>Assumptions!B7</x:v>
      </x:c>
      <x:c r="H11" s="1906" t="str">
        <x:v>CANONICAL CENTRAL INPUT</x:v>
      </x:c>
      <x:c r="I11" s="1906" t="str">
        <x:v>Scenario only</x:v>
      </x:c>
      <x:c r="J11" s="1906" t="str">
        <x:v>MEDIUM</x:v>
      </x:c>
    </x:row>
    <x:row r="12">
      <x:c r="A12" s="1906" t="str">
        <x:v>Assumptions</x:v>
      </x:c>
      <x:c r="B12" s="1906" t="str">
        <x:v>C7</x:v>
      </x:c>
      <x:c r="C12" s="1906" t="str">
        <x:v>0.035</x:v>
      </x:c>
      <x:c r="D12" s="1906" t="str">
        <x:v>low</x:v>
      </x:c>
      <x:c r="E12" s="1906" t="str">
        <x:v>Explicit editable scenario assumption</x:v>
      </x:c>
      <x:c r="F12" s="1906" t="str">
        <x:v>ASSUMED</x:v>
      </x:c>
      <x:c r="G12" s="1906" t="str">
        <x:v>Assumptions!C7</x:v>
      </x:c>
      <x:c r="H12" s="1906" t="str">
        <x:v>CANONICAL CENTRAL INPUT</x:v>
      </x:c>
      <x:c r="I12" s="1906" t="str">
        <x:v>Scenario only</x:v>
      </x:c>
      <x:c r="J12" s="1906" t="str">
        <x:v>MEDIUM</x:v>
      </x:c>
    </x:row>
    <x:row r="13">
      <x:c r="A13" s="1906" t="str">
        <x:v>Assumptions</x:v>
      </x:c>
      <x:c r="B13" s="1906" t="str">
        <x:v>D7</x:v>
      </x:c>
      <x:c r="C13" s="1906" t="str">
        <x:v>0.1</x:v>
      </x:c>
      <x:c r="D13" s="1906" t="str">
        <x:v>high</x:v>
      </x:c>
      <x:c r="E13" s="1906" t="str">
        <x:v>Explicit editable scenario assumption</x:v>
      </x:c>
      <x:c r="F13" s="1906" t="str">
        <x:v>ASSUMED</x:v>
      </x:c>
      <x:c r="G13" s="1906" t="str">
        <x:v>Assumptions!D7</x:v>
      </x:c>
      <x:c r="H13" s="1906" t="str">
        <x:v>CANONICAL CENTRAL INPUT</x:v>
      </x:c>
      <x:c r="I13" s="1906" t="str">
        <x:v>Scenario only</x:v>
      </x:c>
      <x:c r="J13" s="1906" t="str">
        <x:v>MEDIUM</x:v>
      </x:c>
    </x:row>
    <x:row r="14">
      <x:c r="A14" s="1906" t="str">
        <x:v>Assumptions</x:v>
      </x:c>
      <x:c r="B14" s="1906" t="str">
        <x:v>B8</x:v>
      </x:c>
      <x:c r="C14" s="1906" t="str">
        <x:v>0.04</x:v>
      </x:c>
      <x:c r="D14" s="1906" t="str">
        <x:v>base</x:v>
      </x:c>
      <x:c r="E14" s="1906" t="str">
        <x:v>Explicit editable scenario assumption</x:v>
      </x:c>
      <x:c r="F14" s="1906" t="str">
        <x:v>ASSUMED</x:v>
      </x:c>
      <x:c r="G14" s="1906" t="str">
        <x:v>Assumptions!B8</x:v>
      </x:c>
      <x:c r="H14" s="1906" t="str">
        <x:v>CANONICAL CENTRAL INPUT</x:v>
      </x:c>
      <x:c r="I14" s="1906" t="str">
        <x:v>Scenario only</x:v>
      </x:c>
      <x:c r="J14" s="1906" t="str">
        <x:v>MEDIUM</x:v>
      </x:c>
    </x:row>
    <x:row r="15">
      <x:c r="A15" s="1906" t="str">
        <x:v>Assumptions</x:v>
      </x:c>
      <x:c r="B15" s="1906" t="str">
        <x:v>C8</x:v>
      </x:c>
      <x:c r="C15" s="1906" t="str">
        <x:v>0.02</x:v>
      </x:c>
      <x:c r="D15" s="1906" t="str">
        <x:v>low</x:v>
      </x:c>
      <x:c r="E15" s="1906" t="str">
        <x:v>Explicit editable scenario assumption</x:v>
      </x:c>
      <x:c r="F15" s="1906" t="str">
        <x:v>ASSUMED</x:v>
      </x:c>
      <x:c r="G15" s="1906" t="str">
        <x:v>Assumptions!C8</x:v>
      </x:c>
      <x:c r="H15" s="1906" t="str">
        <x:v>CANONICAL CENTRAL INPUT</x:v>
      </x:c>
      <x:c r="I15" s="1906" t="str">
        <x:v>Scenario only</x:v>
      </x:c>
      <x:c r="J15" s="1906" t="str">
        <x:v>MEDIUM</x:v>
      </x:c>
    </x:row>
    <x:row r="16">
      <x:c r="A16" s="1906" t="str">
        <x:v>Assumptions</x:v>
      </x:c>
      <x:c r="B16" s="1906" t="str">
        <x:v>D8</x:v>
      </x:c>
      <x:c r="C16" s="1906" t="str">
        <x:v>0.07</x:v>
      </x:c>
      <x:c r="D16" s="1906" t="str">
        <x:v>high</x:v>
      </x:c>
      <x:c r="E16" s="1906" t="str">
        <x:v>Explicit editable scenario assumption</x:v>
      </x:c>
      <x:c r="F16" s="1906" t="str">
        <x:v>ASSUMED</x:v>
      </x:c>
      <x:c r="G16" s="1906" t="str">
        <x:v>Assumptions!D8</x:v>
      </x:c>
      <x:c r="H16" s="1906" t="str">
        <x:v>CANONICAL CENTRAL INPUT</x:v>
      </x:c>
      <x:c r="I16" s="1906" t="str">
        <x:v>Scenario only</x:v>
      </x:c>
      <x:c r="J16" s="1906" t="str">
        <x:v>MEDIUM</x:v>
      </x:c>
    </x:row>
    <x:row r="17">
      <x:c r="A17" s="1906" t="str">
        <x:v>Assumptions</x:v>
      </x:c>
      <x:c r="B17" s="1906" t="str">
        <x:v>B9</x:v>
      </x:c>
      <x:c r="C17" s="1906" t="str">
        <x:v>0.3</x:v>
      </x:c>
      <x:c r="D17" s="1906" t="str">
        <x:v>base</x:v>
      </x:c>
      <x:c r="E17" s="1906" t="str">
        <x:v>Explicit editable scenario assumption</x:v>
      </x:c>
      <x:c r="F17" s="1906" t="str">
        <x:v>ASSUMED</x:v>
      </x:c>
      <x:c r="G17" s="1906" t="str">
        <x:v>Assumptions!B9</x:v>
      </x:c>
      <x:c r="H17" s="1906" t="str">
        <x:v>CANONICAL CENTRAL INPUT</x:v>
      </x:c>
      <x:c r="I17" s="1906" t="str">
        <x:v>Scenario only</x:v>
      </x:c>
      <x:c r="J17" s="1906" t="str">
        <x:v>MEDIUM</x:v>
      </x:c>
    </x:row>
    <x:row r="18">
      <x:c r="A18" s="1906" t="str">
        <x:v>Assumptions</x:v>
      </x:c>
      <x:c r="B18" s="1906" t="str">
        <x:v>C9</x:v>
      </x:c>
      <x:c r="C18" s="1906" t="str">
        <x:v>0.2</x:v>
      </x:c>
      <x:c r="D18" s="1906" t="str">
        <x:v>low</x:v>
      </x:c>
      <x:c r="E18" s="1906" t="str">
        <x:v>Explicit editable scenario assumption</x:v>
      </x:c>
      <x:c r="F18" s="1906" t="str">
        <x:v>ASSUMED</x:v>
      </x:c>
      <x:c r="G18" s="1906" t="str">
        <x:v>Assumptions!C9</x:v>
      </x:c>
      <x:c r="H18" s="1906" t="str">
        <x:v>CANONICAL CENTRAL INPUT</x:v>
      </x:c>
      <x:c r="I18" s="1906" t="str">
        <x:v>Scenario only</x:v>
      </x:c>
      <x:c r="J18" s="1906" t="str">
        <x:v>MEDIUM</x:v>
      </x:c>
    </x:row>
    <x:row r="19">
      <x:c r="A19" s="1906" t="str">
        <x:v>Assumptions</x:v>
      </x:c>
      <x:c r="B19" s="1906" t="str">
        <x:v>D9</x:v>
      </x:c>
      <x:c r="C19" s="1906" t="str">
        <x:v>0.4</x:v>
      </x:c>
      <x:c r="D19" s="1906" t="str">
        <x:v>high</x:v>
      </x:c>
      <x:c r="E19" s="1906" t="str">
        <x:v>Explicit editable scenario assumption</x:v>
      </x:c>
      <x:c r="F19" s="1906" t="str">
        <x:v>ASSUMED</x:v>
      </x:c>
      <x:c r="G19" s="1906" t="str">
        <x:v>Assumptions!D9</x:v>
      </x:c>
      <x:c r="H19" s="1906" t="str">
        <x:v>CANONICAL CENTRAL INPUT</x:v>
      </x:c>
      <x:c r="I19" s="1906" t="str">
        <x:v>Scenario only</x:v>
      </x:c>
      <x:c r="J19" s="1906" t="str">
        <x:v>MEDIUM</x:v>
      </x:c>
    </x:row>
    <x:row r="20">
      <x:c r="A20" s="1906" t="str">
        <x:v>Assumptions</x:v>
      </x:c>
      <x:c r="B20" s="1906" t="str">
        <x:v>B10</x:v>
      </x:c>
      <x:c r="C20" s="1906" t="str">
        <x:v>0.4</x:v>
      </x:c>
      <x:c r="D20" s="1906" t="str">
        <x:v>base</x:v>
      </x:c>
      <x:c r="E20" s="1906" t="str">
        <x:v>Explicit editable scenario assumption</x:v>
      </x:c>
      <x:c r="F20" s="1906" t="str">
        <x:v>ASSUMED</x:v>
      </x:c>
      <x:c r="G20" s="1906" t="str">
        <x:v>Assumptions!B10</x:v>
      </x:c>
      <x:c r="H20" s="1906" t="str">
        <x:v>CANONICAL CENTRAL INPUT</x:v>
      </x:c>
      <x:c r="I20" s="1906" t="str">
        <x:v>Scenario only</x:v>
      </x:c>
      <x:c r="J20" s="1906" t="str">
        <x:v>MEDIUM</x:v>
      </x:c>
    </x:row>
    <x:row r="21">
      <x:c r="A21" s="1906" t="str">
        <x:v>Assumptions</x:v>
      </x:c>
      <x:c r="B21" s="1906" t="str">
        <x:v>C10</x:v>
      </x:c>
      <x:c r="C21" s="1906" t="str">
        <x:v>0.3</x:v>
      </x:c>
      <x:c r="D21" s="1906" t="str">
        <x:v>low</x:v>
      </x:c>
      <x:c r="E21" s="1906" t="str">
        <x:v>Explicit editable scenario assumption</x:v>
      </x:c>
      <x:c r="F21" s="1906" t="str">
        <x:v>ASSUMED</x:v>
      </x:c>
      <x:c r="G21" s="1906" t="str">
        <x:v>Assumptions!C10</x:v>
      </x:c>
      <x:c r="H21" s="1906" t="str">
        <x:v>CANONICAL CENTRAL INPUT</x:v>
      </x:c>
      <x:c r="I21" s="1906" t="str">
        <x:v>Scenario only</x:v>
      </x:c>
      <x:c r="J21" s="1906" t="str">
        <x:v>MEDIUM</x:v>
      </x:c>
    </x:row>
    <x:row r="22">
      <x:c r="A22" s="1906" t="str">
        <x:v>Assumptions</x:v>
      </x:c>
      <x:c r="B22" s="1906" t="str">
        <x:v>D10</x:v>
      </x:c>
      <x:c r="C22" s="1906" t="str">
        <x:v>0.5</x:v>
      </x:c>
      <x:c r="D22" s="1906" t="str">
        <x:v>high</x:v>
      </x:c>
      <x:c r="E22" s="1906" t="str">
        <x:v>Explicit editable scenario assumption</x:v>
      </x:c>
      <x:c r="F22" s="1906" t="str">
        <x:v>ASSUMED</x:v>
      </x:c>
      <x:c r="G22" s="1906" t="str">
        <x:v>Assumptions!D10</x:v>
      </x:c>
      <x:c r="H22" s="1906" t="str">
        <x:v>CANONICAL CENTRAL INPUT</x:v>
      </x:c>
      <x:c r="I22" s="1906" t="str">
        <x:v>Scenario only</x:v>
      </x:c>
      <x:c r="J22" s="1906" t="str">
        <x:v>MEDIUM</x:v>
      </x:c>
    </x:row>
    <x:row r="23">
      <x:c r="A23" s="1906" t="str">
        <x:v>Assumptions</x:v>
      </x:c>
      <x:c r="B23" s="1906" t="str">
        <x:v>B11</x:v>
      </x:c>
      <x:c r="C23" s="1906" t="str">
        <x:v>0.2</x:v>
      </x:c>
      <x:c r="D23" s="1906" t="str">
        <x:v>base</x:v>
      </x:c>
      <x:c r="E23" s="1906" t="str">
        <x:v>Explicit editable scenario assumption</x:v>
      </x:c>
      <x:c r="F23" s="1906" t="str">
        <x:v>ASSUMED</x:v>
      </x:c>
      <x:c r="G23" s="1906" t="str">
        <x:v>Assumptions!B11</x:v>
      </x:c>
      <x:c r="H23" s="1906" t="str">
        <x:v>CANONICAL CENTRAL INPUT</x:v>
      </x:c>
      <x:c r="I23" s="1906" t="str">
        <x:v>Scenario only</x:v>
      </x:c>
      <x:c r="J23" s="1906" t="str">
        <x:v>MEDIUM</x:v>
      </x:c>
    </x:row>
    <x:row r="24">
      <x:c r="A24" s="1906" t="str">
        <x:v>Assumptions</x:v>
      </x:c>
      <x:c r="B24" s="1906" t="str">
        <x:v>C11</x:v>
      </x:c>
      <x:c r="C24" s="1906" t="str">
        <x:v>0.1</x:v>
      </x:c>
      <x:c r="D24" s="1906" t="str">
        <x:v>low</x:v>
      </x:c>
      <x:c r="E24" s="1906" t="str">
        <x:v>Explicit editable scenario assumption</x:v>
      </x:c>
      <x:c r="F24" s="1906" t="str">
        <x:v>ASSUMED</x:v>
      </x:c>
      <x:c r="G24" s="1906" t="str">
        <x:v>Assumptions!C11</x:v>
      </x:c>
      <x:c r="H24" s="1906" t="str">
        <x:v>CANONICAL CENTRAL INPUT</x:v>
      </x:c>
      <x:c r="I24" s="1906" t="str">
        <x:v>Scenario only</x:v>
      </x:c>
      <x:c r="J24" s="1906" t="str">
        <x:v>MEDIUM</x:v>
      </x:c>
    </x:row>
    <x:row r="25">
      <x:c r="A25" s="1906" t="str">
        <x:v>Assumptions</x:v>
      </x:c>
      <x:c r="B25" s="1906" t="str">
        <x:v>D11</x:v>
      </x:c>
      <x:c r="C25" s="1906" t="str">
        <x:v>0.3</x:v>
      </x:c>
      <x:c r="D25" s="1906" t="str">
        <x:v>high</x:v>
      </x:c>
      <x:c r="E25" s="1906" t="str">
        <x:v>Explicit editable scenario assumption</x:v>
      </x:c>
      <x:c r="F25" s="1906" t="str">
        <x:v>ASSUMED</x:v>
      </x:c>
      <x:c r="G25" s="1906" t="str">
        <x:v>Assumptions!D11</x:v>
      </x:c>
      <x:c r="H25" s="1906" t="str">
        <x:v>CANONICAL CENTRAL INPUT</x:v>
      </x:c>
      <x:c r="I25" s="1906" t="str">
        <x:v>Scenario only</x:v>
      </x:c>
      <x:c r="J25" s="1906" t="str">
        <x:v>MEDIUM</x:v>
      </x:c>
    </x:row>
    <x:row r="26">
      <x:c r="A26" s="1906" t="str">
        <x:v>Assumptions</x:v>
      </x:c>
      <x:c r="B26" s="1906" t="str">
        <x:v>B12</x:v>
      </x:c>
      <x:c r="C26" s="1906" t="str">
        <x:v>0.01</x:v>
      </x:c>
      <x:c r="D26" s="1906" t="str">
        <x:v>base</x:v>
      </x:c>
      <x:c r="E26" s="1906" t="str">
        <x:v>Explicit editable scenario assumption</x:v>
      </x:c>
      <x:c r="F26" s="1906" t="str">
        <x:v>ASSUMED</x:v>
      </x:c>
      <x:c r="G26" s="1906" t="str">
        <x:v>Assumptions!B12</x:v>
      </x:c>
      <x:c r="H26" s="1906" t="str">
        <x:v>CANONICAL CENTRAL INPUT</x:v>
      </x:c>
      <x:c r="I26" s="1906" t="str">
        <x:v>Scenario only</x:v>
      </x:c>
      <x:c r="J26" s="1906" t="str">
        <x:v>MEDIUM</x:v>
      </x:c>
    </x:row>
    <x:row r="27">
      <x:c r="A27" s="1906" t="str">
        <x:v>Assumptions</x:v>
      </x:c>
      <x:c r="B27" s="1906" t="str">
        <x:v>C12</x:v>
      </x:c>
      <x:c r="C27" s="1906" t="str">
        <x:v>0.0075</x:v>
      </x:c>
      <x:c r="D27" s="1906" t="str">
        <x:v>low</x:v>
      </x:c>
      <x:c r="E27" s="1906" t="str">
        <x:v>Explicit editable scenario assumption</x:v>
      </x:c>
      <x:c r="F27" s="1906" t="str">
        <x:v>ASSUMED</x:v>
      </x:c>
      <x:c r="G27" s="1906" t="str">
        <x:v>Assumptions!C12</x:v>
      </x:c>
      <x:c r="H27" s="1906" t="str">
        <x:v>CANONICAL CENTRAL INPUT</x:v>
      </x:c>
      <x:c r="I27" s="1906" t="str">
        <x:v>Scenario only</x:v>
      </x:c>
      <x:c r="J27" s="1906" t="str">
        <x:v>MEDIUM</x:v>
      </x:c>
    </x:row>
    <x:row r="28">
      <x:c r="A28" s="1906" t="str">
        <x:v>Assumptions</x:v>
      </x:c>
      <x:c r="B28" s="1906" t="str">
        <x:v>D12</x:v>
      </x:c>
      <x:c r="C28" s="1906" t="str">
        <x:v>0.0125</x:v>
      </x:c>
      <x:c r="D28" s="1906" t="str">
        <x:v>high</x:v>
      </x:c>
      <x:c r="E28" s="1906" t="str">
        <x:v>Explicit editable scenario assumption</x:v>
      </x:c>
      <x:c r="F28" s="1906" t="str">
        <x:v>ASSUMED</x:v>
      </x:c>
      <x:c r="G28" s="1906" t="str">
        <x:v>Assumptions!D12</x:v>
      </x:c>
      <x:c r="H28" s="1906" t="str">
        <x:v>CANONICAL CENTRAL INPUT</x:v>
      </x:c>
      <x:c r="I28" s="1906" t="str">
        <x:v>Scenario only</x:v>
      </x:c>
      <x:c r="J28" s="1906" t="str">
        <x:v>MEDIUM</x:v>
      </x:c>
    </x:row>
    <x:row r="29">
      <x:c r="A29" s="1906" t="str">
        <x:v>Assumptions</x:v>
      </x:c>
      <x:c r="B29" s="1906" t="str">
        <x:v>B13</x:v>
      </x:c>
      <x:c r="C29" s="1906" t="str">
        <x:v>0.2</x:v>
      </x:c>
      <x:c r="D29" s="1906" t="str">
        <x:v>base</x:v>
      </x:c>
      <x:c r="E29" s="1906" t="str">
        <x:v>Explicit editable scenario assumption</x:v>
      </x:c>
      <x:c r="F29" s="1906" t="str">
        <x:v>ASSUMED</x:v>
      </x:c>
      <x:c r="G29" s="1906" t="str">
        <x:v>Assumptions!B13</x:v>
      </x:c>
      <x:c r="H29" s="1906" t="str">
        <x:v>CANONICAL CENTRAL INPUT</x:v>
      </x:c>
      <x:c r="I29" s="1906" t="str">
        <x:v>Scenario only</x:v>
      </x:c>
      <x:c r="J29" s="1906" t="str">
        <x:v>MEDIUM</x:v>
      </x:c>
    </x:row>
    <x:row r="30">
      <x:c r="A30" s="1906" t="str">
        <x:v>Assumptions</x:v>
      </x:c>
      <x:c r="B30" s="1906" t="str">
        <x:v>C13</x:v>
      </x:c>
      <x:c r="C30" s="1906" t="str">
        <x:v>0.1</x:v>
      </x:c>
      <x:c r="D30" s="1906" t="str">
        <x:v>low</x:v>
      </x:c>
      <x:c r="E30" s="1906" t="str">
        <x:v>Explicit editable scenario assumption</x:v>
      </x:c>
      <x:c r="F30" s="1906" t="str">
        <x:v>ASSUMED</x:v>
      </x:c>
      <x:c r="G30" s="1906" t="str">
        <x:v>Assumptions!C13</x:v>
      </x:c>
      <x:c r="H30" s="1906" t="str">
        <x:v>CANONICAL CENTRAL INPUT</x:v>
      </x:c>
      <x:c r="I30" s="1906" t="str">
        <x:v>Scenario only</x:v>
      </x:c>
      <x:c r="J30" s="1906" t="str">
        <x:v>MEDIUM</x:v>
      </x:c>
    </x:row>
    <x:row r="31">
      <x:c r="A31" s="1906" t="str">
        <x:v>Assumptions</x:v>
      </x:c>
      <x:c r="B31" s="1906" t="str">
        <x:v>D13</x:v>
      </x:c>
      <x:c r="C31" s="1906" t="str">
        <x:v>0.35</x:v>
      </x:c>
      <x:c r="D31" s="1906" t="str">
        <x:v>high</x:v>
      </x:c>
      <x:c r="E31" s="1906" t="str">
        <x:v>Explicit editable scenario assumption</x:v>
      </x:c>
      <x:c r="F31" s="1906" t="str">
        <x:v>ASSUMED</x:v>
      </x:c>
      <x:c r="G31" s="1906" t="str">
        <x:v>Assumptions!D13</x:v>
      </x:c>
      <x:c r="H31" s="1906" t="str">
        <x:v>CANONICAL CENTRAL INPUT</x:v>
      </x:c>
      <x:c r="I31" s="1906" t="str">
        <x:v>Scenario only</x:v>
      </x:c>
      <x:c r="J31" s="1906" t="str">
        <x:v>MEDIUM</x:v>
      </x:c>
    </x:row>
    <x:row r="32">
      <x:c r="A32" s="1906" t="str">
        <x:v>Assumptions</x:v>
      </x:c>
      <x:c r="B32" s="1906" t="str">
        <x:v>B14</x:v>
      </x:c>
      <x:c r="C32" s="1906" t="str">
        <x:v>0.5</x:v>
      </x:c>
      <x:c r="D32" s="1906" t="str">
        <x:v>base</x:v>
      </x:c>
      <x:c r="E32" s="1906" t="str">
        <x:v>Explicit editable scenario assumption</x:v>
      </x:c>
      <x:c r="F32" s="1906" t="str">
        <x:v>ASSUMED</x:v>
      </x:c>
      <x:c r="G32" s="1906" t="str">
        <x:v>Assumptions!B14</x:v>
      </x:c>
      <x:c r="H32" s="1906" t="str">
        <x:v>CANONICAL CENTRAL INPUT</x:v>
      </x:c>
      <x:c r="I32" s="1906" t="str">
        <x:v>Scenario only</x:v>
      </x:c>
      <x:c r="J32" s="1906" t="str">
        <x:v>MEDIUM</x:v>
      </x:c>
    </x:row>
    <x:row r="33">
      <x:c r="A33" s="1906" t="str">
        <x:v>Assumptions</x:v>
      </x:c>
      <x:c r="B33" s="1906" t="str">
        <x:v>C14</x:v>
      </x:c>
      <x:c r="C33" s="1906" t="str">
        <x:v>0.25</x:v>
      </x:c>
      <x:c r="D33" s="1906" t="str">
        <x:v>low</x:v>
      </x:c>
      <x:c r="E33" s="1906" t="str">
        <x:v>Explicit editable scenario assumption</x:v>
      </x:c>
      <x:c r="F33" s="1906" t="str">
        <x:v>ASSUMED</x:v>
      </x:c>
      <x:c r="G33" s="1906" t="str">
        <x:v>Assumptions!C14</x:v>
      </x:c>
      <x:c r="H33" s="1906" t="str">
        <x:v>CANONICAL CENTRAL INPUT</x:v>
      </x:c>
      <x:c r="I33" s="1906" t="str">
        <x:v>Scenario only</x:v>
      </x:c>
      <x:c r="J33" s="1906" t="str">
        <x:v>MEDIUM</x:v>
      </x:c>
    </x:row>
    <x:row r="34">
      <x:c r="A34" s="1906" t="str">
        <x:v>Assumptions</x:v>
      </x:c>
      <x:c r="B34" s="1906" t="str">
        <x:v>D14</x:v>
      </x:c>
      <x:c r="C34" s="1906" t="str">
        <x:v>0.75</x:v>
      </x:c>
      <x:c r="D34" s="1906" t="str">
        <x:v>high</x:v>
      </x:c>
      <x:c r="E34" s="1906" t="str">
        <x:v>Explicit editable scenario assumption</x:v>
      </x:c>
      <x:c r="F34" s="1906" t="str">
        <x:v>ASSUMED</x:v>
      </x:c>
      <x:c r="G34" s="1906" t="str">
        <x:v>Assumptions!D14</x:v>
      </x:c>
      <x:c r="H34" s="1906" t="str">
        <x:v>CANONICAL CENTRAL INPUT</x:v>
      </x:c>
      <x:c r="I34" s="1906" t="str">
        <x:v>Scenario only</x:v>
      </x:c>
      <x:c r="J34" s="1906" t="str">
        <x:v>MEDIUM</x:v>
      </x:c>
    </x:row>
    <x:row r="35">
      <x:c r="A35" s="1906" t="str">
        <x:v>Assumptions</x:v>
      </x:c>
      <x:c r="B35" s="1906" t="str">
        <x:v>B15</x:v>
      </x:c>
      <x:c r="C35" s="1906" t="str">
        <x:v>0.5</x:v>
      </x:c>
      <x:c r="D35" s="1906" t="str">
        <x:v>base</x:v>
      </x:c>
      <x:c r="E35" s="1906" t="str">
        <x:v>Explicit editable scenario assumption</x:v>
      </x:c>
      <x:c r="F35" s="1906" t="str">
        <x:v>ASSUMED</x:v>
      </x:c>
      <x:c r="G35" s="1906" t="str">
        <x:v>Assumptions!B15</x:v>
      </x:c>
      <x:c r="H35" s="1906" t="str">
        <x:v>CANONICAL CENTRAL INPUT</x:v>
      </x:c>
      <x:c r="I35" s="1906" t="str">
        <x:v>Scenario only</x:v>
      </x:c>
      <x:c r="J35" s="1906" t="str">
        <x:v>MEDIUM</x:v>
      </x:c>
    </x:row>
    <x:row r="36">
      <x:c r="A36" s="1906" t="str">
        <x:v>Assumptions</x:v>
      </x:c>
      <x:c r="B36" s="1906" t="str">
        <x:v>C15</x:v>
      </x:c>
      <x:c r="C36" s="1906" t="str">
        <x:v>0.25</x:v>
      </x:c>
      <x:c r="D36" s="1906" t="str">
        <x:v>low</x:v>
      </x:c>
      <x:c r="E36" s="1906" t="str">
        <x:v>Explicit editable scenario assumption</x:v>
      </x:c>
      <x:c r="F36" s="1906" t="str">
        <x:v>ASSUMED</x:v>
      </x:c>
      <x:c r="G36" s="1906" t="str">
        <x:v>Assumptions!C15</x:v>
      </x:c>
      <x:c r="H36" s="1906" t="str">
        <x:v>CANONICAL CENTRAL INPUT</x:v>
      </x:c>
      <x:c r="I36" s="1906" t="str">
        <x:v>Scenario only</x:v>
      </x:c>
      <x:c r="J36" s="1906" t="str">
        <x:v>MEDIUM</x:v>
      </x:c>
    </x:row>
    <x:row r="37">
      <x:c r="A37" s="1906" t="str">
        <x:v>Assumptions</x:v>
      </x:c>
      <x:c r="B37" s="1906" t="str">
        <x:v>D15</x:v>
      </x:c>
      <x:c r="C37" s="1906" t="str">
        <x:v>0.75</x:v>
      </x:c>
      <x:c r="D37" s="1906" t="str">
        <x:v>high</x:v>
      </x:c>
      <x:c r="E37" s="1906" t="str">
        <x:v>Explicit editable scenario assumption</x:v>
      </x:c>
      <x:c r="F37" s="1906" t="str">
        <x:v>ASSUMED</x:v>
      </x:c>
      <x:c r="G37" s="1906" t="str">
        <x:v>Assumptions!D15</x:v>
      </x:c>
      <x:c r="H37" s="1906" t="str">
        <x:v>CANONICAL CENTRAL INPUT</x:v>
      </x:c>
      <x:c r="I37" s="1906" t="str">
        <x:v>Scenario only</x:v>
      </x:c>
      <x:c r="J37" s="1906" t="str">
        <x:v>MEDIUM</x:v>
      </x:c>
    </x:row>
    <x:row r="38">
      <x:c r="A38" s="1906" t="str">
        <x:v>Assumptions</x:v>
      </x:c>
      <x:c r="B38" s="1906" t="str">
        <x:v>B16</x:v>
      </x:c>
      <x:c r="C38" s="1906" t="str">
        <x:v>1</x:v>
      </x:c>
      <x:c r="D38" s="1906" t="str">
        <x:v>base</x:v>
      </x:c>
      <x:c r="E38" s="1906" t="str">
        <x:v>Explicit editable scenario assumption</x:v>
      </x:c>
      <x:c r="F38" s="1906" t="str">
        <x:v>ASSUMED</x:v>
      </x:c>
      <x:c r="G38" s="1906" t="str">
        <x:v>Assumptions!B16</x:v>
      </x:c>
      <x:c r="H38" s="1906" t="str">
        <x:v>CANONICAL CENTRAL INPUT</x:v>
      </x:c>
      <x:c r="I38" s="1906" t="str">
        <x:v>Scenario only</x:v>
      </x:c>
      <x:c r="J38" s="1906" t="str">
        <x:v>MEDIUM</x:v>
      </x:c>
    </x:row>
    <x:row r="39">
      <x:c r="A39" s="1906" t="str">
        <x:v>Assumptions</x:v>
      </x:c>
      <x:c r="B39" s="1906" t="str">
        <x:v>C16</x:v>
      </x:c>
      <x:c r="C39" s="1906" t="str">
        <x:v>0.25</x:v>
      </x:c>
      <x:c r="D39" s="1906" t="str">
        <x:v>low</x:v>
      </x:c>
      <x:c r="E39" s="1906" t="str">
        <x:v>Explicit editable scenario assumption</x:v>
      </x:c>
      <x:c r="F39" s="1906" t="str">
        <x:v>ASSUMED</x:v>
      </x:c>
      <x:c r="G39" s="1906" t="str">
        <x:v>Assumptions!C16</x:v>
      </x:c>
      <x:c r="H39" s="1906" t="str">
        <x:v>CANONICAL CENTRAL INPUT</x:v>
      </x:c>
      <x:c r="I39" s="1906" t="str">
        <x:v>Scenario only</x:v>
      </x:c>
      <x:c r="J39" s="1906" t="str">
        <x:v>MEDIUM</x:v>
      </x:c>
    </x:row>
    <x:row r="40">
      <x:c r="A40" s="1906" t="str">
        <x:v>Assumptions</x:v>
      </x:c>
      <x:c r="B40" s="1906" t="str">
        <x:v>D16</x:v>
      </x:c>
      <x:c r="C40" s="1906" t="str">
        <x:v>2</x:v>
      </x:c>
      <x:c r="D40" s="1906" t="str">
        <x:v>high</x:v>
      </x:c>
      <x:c r="E40" s="1906" t="str">
        <x:v>Explicit editable scenario assumption</x:v>
      </x:c>
      <x:c r="F40" s="1906" t="str">
        <x:v>ASSUMED</x:v>
      </x:c>
      <x:c r="G40" s="1906" t="str">
        <x:v>Assumptions!D16</x:v>
      </x:c>
      <x:c r="H40" s="1906" t="str">
        <x:v>CANONICAL CENTRAL INPUT</x:v>
      </x:c>
      <x:c r="I40" s="1906" t="str">
        <x:v>Scenario only</x:v>
      </x:c>
      <x:c r="J40" s="1906" t="str">
        <x:v>MEDIUM</x:v>
      </x:c>
    </x:row>
    <x:row r="41">
      <x:c r="A41" s="1906" t="str">
        <x:v>Assumptions</x:v>
      </x:c>
      <x:c r="B41" s="1906" t="str">
        <x:v>B17</x:v>
      </x:c>
      <x:c r="C41" s="1906" t="str">
        <x:v>0.055</x:v>
      </x:c>
      <x:c r="D41" s="1906" t="str"/>
      <x:c r="E41" s="1906" t="str">
        <x:v>Explicit editable scenario assumption</x:v>
      </x:c>
      <x:c r="F41" s="1906" t="str">
        <x:v>ASSUMED</x:v>
      </x:c>
      <x:c r="G41" s="1906" t="str">
        <x:v>Assumptions!B17</x:v>
      </x:c>
      <x:c r="H41" s="1906" t="str">
        <x:v>CANONICAL CENTRAL INPUT</x:v>
      </x:c>
      <x:c r="I41" s="1906" t="str">
        <x:v>Scenario only</x:v>
      </x:c>
      <x:c r="J41" s="1906" t="str">
        <x:v>MEDIUM</x:v>
      </x:c>
    </x:row>
    <x:row r="42">
      <x:c r="A42" s="1906" t="str">
        <x:v>Assumptions</x:v>
      </x:c>
      <x:c r="B42" s="1906" t="str">
        <x:v>C17</x:v>
      </x:c>
      <x:c r="C42" s="1906" t="str">
        <x:v>0.035</x:v>
      </x:c>
      <x:c r="D42" s="1906" t="str"/>
      <x:c r="E42" s="1906" t="str">
        <x:v>Explicit editable scenario assumption</x:v>
      </x:c>
      <x:c r="F42" s="1906" t="str">
        <x:v>ASSUMED</x:v>
      </x:c>
      <x:c r="G42" s="1906" t="str">
        <x:v>Assumptions!C17</x:v>
      </x:c>
      <x:c r="H42" s="1906" t="str">
        <x:v>CANONICAL CENTRAL INPUT</x:v>
      </x:c>
      <x:c r="I42" s="1906" t="str">
        <x:v>Scenario only</x:v>
      </x:c>
      <x:c r="J42" s="1906" t="str">
        <x:v>MEDIUM</x:v>
      </x:c>
    </x:row>
    <x:row r="43">
      <x:c r="A43" s="1906" t="str">
        <x:v>Assumptions</x:v>
      </x:c>
      <x:c r="B43" s="1906" t="str">
        <x:v>D17</x:v>
      </x:c>
      <x:c r="C43" s="1906" t="str">
        <x:v>0.075</x:v>
      </x:c>
      <x:c r="D43" s="1906" t="str"/>
      <x:c r="E43" s="1906" t="str">
        <x:v>Explicit editable scenario assumption</x:v>
      </x:c>
      <x:c r="F43" s="1906" t="str">
        <x:v>ASSUMED</x:v>
      </x:c>
      <x:c r="G43" s="1906" t="str">
        <x:v>Assumptions!D17</x:v>
      </x:c>
      <x:c r="H43" s="1906" t="str">
        <x:v>CANONICAL CENTRAL INPUT</x:v>
      </x:c>
      <x:c r="I43" s="1906" t="str">
        <x:v>Scenario only</x:v>
      </x:c>
      <x:c r="J43" s="1906" t="str">
        <x:v>MEDIUM</x:v>
      </x:c>
    </x:row>
    <x:row r="44">
      <x:c r="A44" s="1906" t="str">
        <x:v>Assumptions</x:v>
      </x:c>
      <x:c r="B44" s="1906" t="str">
        <x:v>B18</x:v>
      </x:c>
      <x:c r="C44" s="1906" t="str">
        <x:v>0.02</x:v>
      </x:c>
      <x:c r="D44" s="1906" t="str"/>
      <x:c r="E44" s="1906" t="str">
        <x:v>Explicit editable scenario assumption</x:v>
      </x:c>
      <x:c r="F44" s="1906" t="str">
        <x:v>ASSUMED</x:v>
      </x:c>
      <x:c r="G44" s="1906" t="str">
        <x:v>Assumptions!B18</x:v>
      </x:c>
      <x:c r="H44" s="1906" t="str">
        <x:v>CANONICAL CENTRAL INPUT</x:v>
      </x:c>
      <x:c r="I44" s="1906" t="str">
        <x:v>Scenario only</x:v>
      </x:c>
      <x:c r="J44" s="1906" t="str">
        <x:v>MEDIUM</x:v>
      </x:c>
    </x:row>
    <x:row r="45">
      <x:c r="A45" s="1906" t="str">
        <x:v>Assumptions</x:v>
      </x:c>
      <x:c r="B45" s="1906" t="str">
        <x:v>C18</x:v>
      </x:c>
      <x:c r="C45" s="1906" t="str">
        <x:v>0.015</x:v>
      </x:c>
      <x:c r="D45" s="1906" t="str"/>
      <x:c r="E45" s="1906" t="str">
        <x:v>Explicit editable scenario assumption</x:v>
      </x:c>
      <x:c r="F45" s="1906" t="str">
        <x:v>ASSUMED</x:v>
      </x:c>
      <x:c r="G45" s="1906" t="str">
        <x:v>Assumptions!C18</x:v>
      </x:c>
      <x:c r="H45" s="1906" t="str">
        <x:v>CANONICAL CENTRAL INPUT</x:v>
      </x:c>
      <x:c r="I45" s="1906" t="str">
        <x:v>Scenario only</x:v>
      </x:c>
      <x:c r="J45" s="1906" t="str">
        <x:v>MEDIUM</x:v>
      </x:c>
    </x:row>
    <x:row r="46">
      <x:c r="A46" s="1906" t="str">
        <x:v>Assumptions</x:v>
      </x:c>
      <x:c r="B46" s="1906" t="str">
        <x:v>D18</x:v>
      </x:c>
      <x:c r="C46" s="1906" t="str">
        <x:v>0.03</x:v>
      </x:c>
      <x:c r="D46" s="1906" t="str"/>
      <x:c r="E46" s="1906" t="str">
        <x:v>Explicit editable scenario assumption</x:v>
      </x:c>
      <x:c r="F46" s="1906" t="str">
        <x:v>ASSUMED</x:v>
      </x:c>
      <x:c r="G46" s="1906" t="str">
        <x:v>Assumptions!D18</x:v>
      </x:c>
      <x:c r="H46" s="1906" t="str">
        <x:v>CANONICAL CENTRAL INPUT</x:v>
      </x:c>
      <x:c r="I46" s="1906" t="str">
        <x:v>Scenario only</x:v>
      </x:c>
      <x:c r="J46" s="1906" t="str">
        <x:v>MEDIUM</x:v>
      </x:c>
    </x:row>
    <x:row r="47">
      <x:c r="A47" s="1906" t="str">
        <x:v>Assumptions</x:v>
      </x:c>
      <x:c r="B47" s="1906" t="str">
        <x:v>B19</x:v>
      </x:c>
      <x:c r="C47" s="1906" t="str">
        <x:v>0.5</x:v>
      </x:c>
      <x:c r="D47" s="1906" t="str"/>
      <x:c r="E47" s="1906" t="str">
        <x:v>Explicit editable scenario assumption</x:v>
      </x:c>
      <x:c r="F47" s="1906" t="str">
        <x:v>ASSUMED</x:v>
      </x:c>
      <x:c r="G47" s="1906" t="str">
        <x:v>Assumptions!B19</x:v>
      </x:c>
      <x:c r="H47" s="1906" t="str">
        <x:v>CANONICAL CENTRAL INPUT</x:v>
      </x:c>
      <x:c r="I47" s="1906" t="str">
        <x:v>Scenario only</x:v>
      </x:c>
      <x:c r="J47" s="1906" t="str">
        <x:v>MEDIUM</x:v>
      </x:c>
    </x:row>
    <x:row r="48">
      <x:c r="A48" s="1906" t="str">
        <x:v>Assumptions</x:v>
      </x:c>
      <x:c r="B48" s="1906" t="str">
        <x:v>C19</x:v>
      </x:c>
      <x:c r="C48" s="1906" t="str">
        <x:v>0.25</x:v>
      </x:c>
      <x:c r="D48" s="1906" t="str"/>
      <x:c r="E48" s="1906" t="str">
        <x:v>Explicit editable scenario assumption</x:v>
      </x:c>
      <x:c r="F48" s="1906" t="str">
        <x:v>ASSUMED</x:v>
      </x:c>
      <x:c r="G48" s="1906" t="str">
        <x:v>Assumptions!C19</x:v>
      </x:c>
      <x:c r="H48" s="1906" t="str">
        <x:v>CANONICAL CENTRAL INPUT</x:v>
      </x:c>
      <x:c r="I48" s="1906" t="str">
        <x:v>Scenario only</x:v>
      </x:c>
      <x:c r="J48" s="1906" t="str">
        <x:v>MEDIUM</x:v>
      </x:c>
    </x:row>
    <x:row r="49">
      <x:c r="A49" s="1906" t="str">
        <x:v>Assumptions</x:v>
      </x:c>
      <x:c r="B49" s="1906" t="str">
        <x:v>D19</x:v>
      </x:c>
      <x:c r="C49" s="1906" t="str">
        <x:v>0.75</x:v>
      </x:c>
      <x:c r="D49" s="1906" t="str"/>
      <x:c r="E49" s="1906" t="str">
        <x:v>Explicit editable scenario assumption</x:v>
      </x:c>
      <x:c r="F49" s="1906" t="str">
        <x:v>ASSUMED</x:v>
      </x:c>
      <x:c r="G49" s="1906" t="str">
        <x:v>Assumptions!D19</x:v>
      </x:c>
      <x:c r="H49" s="1906" t="str">
        <x:v>CANONICAL CENTRAL INPUT</x:v>
      </x:c>
      <x:c r="I49" s="1906" t="str">
        <x:v>Scenario only</x:v>
      </x:c>
      <x:c r="J49" s="1906" t="str">
        <x:v>MEDIUM</x:v>
      </x:c>
    </x:row>
    <x:row r="50">
      <x:c r="A50" s="1906" t="str">
        <x:v>Assumptions</x:v>
      </x:c>
      <x:c r="B50" s="1906" t="str">
        <x:v>B20</x:v>
      </x:c>
      <x:c r="C50" s="1906" t="str">
        <x:v>30</x:v>
      </x:c>
      <x:c r="D50" s="1906" t="str"/>
      <x:c r="E50" s="1906" t="str">
        <x:v>Explicit editable scenario assumption</x:v>
      </x:c>
      <x:c r="F50" s="1906" t="str">
        <x:v>ASSUMED</x:v>
      </x:c>
      <x:c r="G50" s="1906" t="str">
        <x:v>Assumptions!B20</x:v>
      </x:c>
      <x:c r="H50" s="1906" t="str">
        <x:v>CANONICAL CENTRAL INPUT</x:v>
      </x:c>
      <x:c r="I50" s="1906" t="str">
        <x:v>Scenario only</x:v>
      </x:c>
      <x:c r="J50" s="1906" t="str">
        <x:v>MEDIUM</x:v>
      </x:c>
    </x:row>
    <x:row r="51">
      <x:c r="A51" s="1906" t="str">
        <x:v>Assumptions</x:v>
      </x:c>
      <x:c r="B51" s="1906" t="str">
        <x:v>C20</x:v>
      </x:c>
      <x:c r="C51" s="1906" t="str">
        <x:v>20</x:v>
      </x:c>
      <x:c r="D51" s="1906" t="str"/>
      <x:c r="E51" s="1906" t="str">
        <x:v>Explicit editable scenario assumption</x:v>
      </x:c>
      <x:c r="F51" s="1906" t="str">
        <x:v>ASSUMED</x:v>
      </x:c>
      <x:c r="G51" s="1906" t="str">
        <x:v>Assumptions!C20</x:v>
      </x:c>
      <x:c r="H51" s="1906" t="str">
        <x:v>CANONICAL CENTRAL INPUT</x:v>
      </x:c>
      <x:c r="I51" s="1906" t="str">
        <x:v>Scenario only</x:v>
      </x:c>
      <x:c r="J51" s="1906" t="str">
        <x:v>MEDIUM</x:v>
      </x:c>
    </x:row>
    <x:row r="52">
      <x:c r="A52" s="1906" t="str">
        <x:v>Assumptions</x:v>
      </x:c>
      <x:c r="B52" s="1906" t="str">
        <x:v>D20</x:v>
      </x:c>
      <x:c r="C52" s="1906" t="str">
        <x:v>40</x:v>
      </x:c>
      <x:c r="D52" s="1906" t="str"/>
      <x:c r="E52" s="1906" t="str">
        <x:v>Explicit editable scenario assumption</x:v>
      </x:c>
      <x:c r="F52" s="1906" t="str">
        <x:v>ASSUMED</x:v>
      </x:c>
      <x:c r="G52" s="1906" t="str">
        <x:v>Assumptions!D20</x:v>
      </x:c>
      <x:c r="H52" s="1906" t="str">
        <x:v>CANONICAL CENTRAL INPUT</x:v>
      </x:c>
      <x:c r="I52" s="1906" t="str">
        <x:v>Scenario only</x:v>
      </x:c>
      <x:c r="J52" s="1906" t="str">
        <x:v>MEDIUM</x:v>
      </x:c>
    </x:row>
    <x:row r="53">
      <x:c r="A53" s="1910" t="str">
        <x:v>Assumptions</x:v>
      </x:c>
      <x:c r="B53" s="1910" t="str">
        <x:v>B27</x:v>
      </x:c>
      <x:c r="C53" s="1910" t="str">
        <x:v>2024 tangible-CAPEX proxy</x:v>
      </x:c>
      <x:c r="D53" s="1910" t="str">
        <x:v>base</x:v>
      </x:c>
      <x:c r="E53" s="1910" t="str">
        <x:v>Rejected/provisional capital-allocation method</x:v>
      </x:c>
      <x:c r="F53" s="1910" t="str">
        <x:v>ASSUMED / REJECTED</x:v>
      </x:c>
      <x:c r="G53" s="1910" t="str">
        <x:v>Assumptions!B27</x:v>
      </x:c>
      <x:c r="H53" s="1910" t="str">
        <x:v>RETAINED AS REJECTED DIAGNOSTIC</x:v>
      </x:c>
      <x:c r="I53" s="1910" t="str">
        <x:v>Never use as commodity capital</x:v>
      </x:c>
      <x:c r="J53" s="1910" t="str">
        <x:v>HIGH</x:v>
      </x:c>
    </x:row>
    <x:row r="54">
      <x:c r="A54" s="1904" t="str">
        <x:v>Land_Property</x:v>
      </x:c>
      <x:c r="B54" s="1904" t="str">
        <x:v>A6</x:v>
      </x:c>
      <x:c r="C54" s="1904" t="str">
        <x:v>2025</x:v>
      </x:c>
      <x:c r="D54" s="1904" t="str">
        <x:v>year</x:v>
      </x:c>
      <x:c r="E54" s="1904" t="str">
        <x:v>Scenario timing input</x:v>
      </x:c>
      <x:c r="F54" s="1904" t="str">
        <x:v>NON-EVIDENCE</x:v>
      </x:c>
      <x:c r="G54" s="1904" t="str"/>
      <x:c r="H54" s="1904" t="str">
        <x:v>RECLASSIFIED AS PERIOD METADATA</x:v>
      </x:c>
      <x:c r="I54" s="1904" t="str">
        <x:v>No quantitative claim</x:v>
      </x:c>
      <x:c r="J54" s="1904" t="str">
        <x:v>LOW</x:v>
      </x:c>
    </x:row>
    <x:row r="55">
      <x:c r="A55" s="1904" t="str">
        <x:v>Land_Property</x:v>
      </x:c>
      <x:c r="B55" s="1904" t="str">
        <x:v>B6</x:v>
      </x:c>
      <x:c r="C55" s="1904" t="str">
        <x:v>4400</x:v>
      </x:c>
      <x:c r="D55" s="1904" t="str">
        <x:v>observed housing assets ($b)</x:v>
      </x:c>
      <x:c r="E55" s="1904" t="str">
        <x:v>Scenario/proxy input</x:v>
      </x:c>
      <x:c r="F55" s="1904" t="str">
        <x:v>OBSERVED</x:v>
      </x:c>
      <x:c r="G55" s="1904" t="str">
        <x:v>Statistics Canada Housing Economic Account 2025</x:v>
      </x:c>
      <x:c r="H55" s="1904" t="str">
        <x:v>RECLASSIFIED AS OBSERVED</x:v>
      </x:c>
      <x:c r="I55" s="1904" t="str">
        <x:v>Scenario input with direct source</x:v>
      </x:c>
      <x:c r="J55" s="1904" t="str">
        <x:v>LOW</x:v>
      </x:c>
    </x:row>
    <x:row r="56">
      <x:c r="A56" s="1904" t="str">
        <x:v>Land_Property</x:v>
      </x:c>
      <x:c r="B56" s="1904" t="str">
        <x:v>A22</x:v>
      </x:c>
      <x:c r="C56" s="1904" t="str">
        <x:v>2024</x:v>
      </x:c>
      <x:c r="D56" s="1904" t="str"/>
      <x:c r="E56" s="1904" t="str">
        <x:v>Hardcoded model input without direct row-level provenance</x:v>
      </x:c>
      <x:c r="F56" s="1904" t="str">
        <x:v>NON-EVIDENCE</x:v>
      </x:c>
      <x:c r="G56" s="1904" t="str"/>
      <x:c r="H56" s="1904" t="str">
        <x:v>RECLASSIFIED AS PERIOD METADATA</x:v>
      </x:c>
      <x:c r="I56" s="1904" t="str">
        <x:v>No quantitative claim</x:v>
      </x:c>
      <x:c r="J56" s="1904" t="str">
        <x:v>LOW</x:v>
      </x:c>
    </x:row>
    <x:row r="57">
      <x:c r="A57" s="1904" t="str">
        <x:v>Land_Property</x:v>
      </x:c>
      <x:c r="B57" s="1904" t="str">
        <x:v>A23</x:v>
      </x:c>
      <x:c r="C57" s="1904" t="str">
        <x:v>2024</x:v>
      </x:c>
      <x:c r="D57" s="1904" t="str"/>
      <x:c r="E57" s="1904" t="str">
        <x:v>Hardcoded model input without direct row-level provenance</x:v>
      </x:c>
      <x:c r="F57" s="1904" t="str">
        <x:v>NON-EVIDENCE</x:v>
      </x:c>
      <x:c r="G57" s="1904" t="str"/>
      <x:c r="H57" s="1904" t="str">
        <x:v>RECLASSIFIED AS PERIOD METADATA</x:v>
      </x:c>
      <x:c r="I57" s="1904" t="str">
        <x:v>No quantitative claim</x:v>
      </x:c>
      <x:c r="J57" s="1904" t="str">
        <x:v>LOW</x:v>
      </x:c>
    </x:row>
    <x:row r="58">
      <x:c r="A58" s="1906" t="str">
        <x:v>Infrastructure_Gains</x:v>
      </x:c>
      <x:c r="B58" s="1906" t="str">
        <x:v>D5</x:v>
      </x:c>
      <x:c r="C58" s="1906" t="str">
        <x:v>5</x:v>
      </x:c>
      <x:c r="D58" s="1906" t="str">
        <x:v>public project cost ($b)</x:v>
      </x:c>
      <x:c r="E58" s="1906" t="str">
        <x:v>Hardcoded model input without direct row-level provenance</x:v>
      </x:c>
      <x:c r="F58" s="1906" t="str">
        <x:v>ASSUMED</x:v>
      </x:c>
      <x:c r="G58" s="1906" t="str">
        <x:v>Model_Parameters!P-014</x:v>
      </x:c>
      <x:c r="H58" s="1906" t="str">
        <x:v>CENTRALIZED</x:v>
      </x:c>
      <x:c r="I58" s="1906" t="str">
        <x:v>Illustrative scenario only</x:v>
      </x:c>
      <x:c r="J58" s="1906" t="str">
        <x:v>MEDIUM</x:v>
      </x:c>
    </x:row>
    <x:row r="59">
      <x:c r="A59" s="1906" t="str">
        <x:v>Infrastructure_Gains</x:v>
      </x:c>
      <x:c r="B59" s="1906" t="str">
        <x:v>E5</x:v>
      </x:c>
      <x:c r="C59" s="1906" t="str">
        <x:v>50</x:v>
      </x:c>
      <x:c r="D59" s="1906" t="str">
        <x:v>affected pre-project land value ($b)</x:v>
      </x:c>
      <x:c r="E59" s="1906" t="str">
        <x:v>Hardcoded model input without direct row-level provenance</x:v>
      </x:c>
      <x:c r="F59" s="1906" t="str">
        <x:v>ASSUMED</x:v>
      </x:c>
      <x:c r="G59" s="1906" t="str">
        <x:v>Model_Parameters!P-015</x:v>
      </x:c>
      <x:c r="H59" s="1906" t="str">
        <x:v>CENTRALIZED</x:v>
      </x:c>
      <x:c r="I59" s="1906" t="str">
        <x:v>Illustrative scenario only</x:v>
      </x:c>
      <x:c r="J59" s="1906" t="str">
        <x:v>MEDIUM</x:v>
      </x:c>
    </x:row>
    <x:row r="60">
      <x:c r="A60" s="1906" t="str">
        <x:v>Infrastructure_Gains</x:v>
      </x:c>
      <x:c r="B60" s="1906" t="str">
        <x:v>F5</x:v>
      </x:c>
      <x:c r="C60" s="1906" t="str">
        <x:v>0.05</x:v>
      </x:c>
      <x:c r="D60" s="1906" t="str">
        <x:v>control-area appreciation</x:v>
      </x:c>
      <x:c r="E60" s="1906" t="str">
        <x:v>Hardcoded model input without direct row-level provenance</x:v>
      </x:c>
      <x:c r="F60" s="1906" t="str">
        <x:v>ASSUMED</x:v>
      </x:c>
      <x:c r="G60" s="1906" t="str">
        <x:v>Model_Parameters!P-016</x:v>
      </x:c>
      <x:c r="H60" s="1906" t="str">
        <x:v>CENTRALIZED</x:v>
      </x:c>
      <x:c r="I60" s="1906" t="str">
        <x:v>Illustrative scenario only</x:v>
      </x:c>
      <x:c r="J60" s="1906" t="str">
        <x:v>MEDIUM</x:v>
      </x:c>
    </x:row>
    <x:row r="61">
      <x:c r="A61" s="1906" t="str">
        <x:v>Infrastructure_Gains</x:v>
      </x:c>
      <x:c r="B61" s="1906" t="str">
        <x:v>G5</x:v>
      </x:c>
      <x:c r="C61" s="1906" t="str">
        <x:v>0.15</x:v>
      </x:c>
      <x:c r="D61" s="1906" t="str">
        <x:v>project-area appreciation</x:v>
      </x:c>
      <x:c r="E61" s="1906" t="str">
        <x:v>Hardcoded model input without direct row-level provenance</x:v>
      </x:c>
      <x:c r="F61" s="1906" t="str">
        <x:v>ASSUMED</x:v>
      </x:c>
      <x:c r="G61" s="1906" t="str">
        <x:v>Model_Parameters!P-017</x:v>
      </x:c>
      <x:c r="H61" s="1906" t="str">
        <x:v>CENTRALIZED</x:v>
      </x:c>
      <x:c r="I61" s="1906" t="str">
        <x:v>Illustrative scenario only</x:v>
      </x:c>
      <x:c r="J61" s="1906" t="str">
        <x:v>MEDIUM</x:v>
      </x:c>
    </x:row>
    <x:row r="62">
      <x:c r="A62" s="1904" t="str">
        <x:v>Infrastructure_Gains</x:v>
      </x:c>
      <x:c r="B62" s="1904" t="str">
        <x:v>D6</x:v>
      </x:c>
      <x:c r="C62" s="1904" t="str">
        <x:v>0.4</x:v>
      </x:c>
      <x:c r="D62" s="1904" t="str">
        <x:v>public project cost ($b)</x:v>
      </x:c>
      <x:c r="E62" s="1904" t="str">
        <x:v>Scenario/proxy input</x:v>
      </x:c>
      <x:c r="F62" s="1904" t="str">
        <x:v>OBSERVED</x:v>
      </x:c>
      <x:c r="G62" s="1904" t="str">
        <x:v>Row source URL</x:v>
      </x:c>
      <x:c r="H62" s="1904" t="str">
        <x:v>RECLASSIFIED AS OBSERVED PROJECT COST</x:v>
      </x:c>
      <x:c r="I62" s="1904" t="str">
        <x:v>Financing evidence only</x:v>
      </x:c>
      <x:c r="J62" s="1904" t="str">
        <x:v>LOW</x:v>
      </x:c>
    </x:row>
    <x:row r="63">
      <x:c r="A63" s="1910" t="str">
        <x:v>Infrastructure_Gains</x:v>
      </x:c>
      <x:c r="B63" s="1910" t="str">
        <x:v>E6</x:v>
      </x:c>
      <x:c r="C63" s="1910" t="str">
        <x:v>0</x:v>
      </x:c>
      <x:c r="D63" s="1910" t="str">
        <x:v>affected pre-project land value ($b)</x:v>
      </x:c>
      <x:c r="E63" s="1910" t="str">
        <x:v>Scenario/proxy input</x:v>
      </x:c>
      <x:c r="F63" s="1910" t="str">
        <x:v>MISSING</x:v>
      </x:c>
      <x:c r="G63" s="1910" t="str"/>
      <x:c r="H63" s="1910" t="str">
        <x:v>ZERO PLACEHOLDER REMOVED</x:v>
      </x:c>
      <x:c r="I63" s="1910" t="str">
        <x:v>No causal uplift claim</x:v>
      </x:c>
      <x:c r="J63" s="1910" t="str">
        <x:v>HIGH</x:v>
      </x:c>
    </x:row>
    <x:row r="64">
      <x:c r="A64" s="1910" t="str">
        <x:v>Infrastructure_Gains</x:v>
      </x:c>
      <x:c r="B64" s="1910" t="str">
        <x:v>F6</x:v>
      </x:c>
      <x:c r="C64" s="1910" t="str">
        <x:v>0</x:v>
      </x:c>
      <x:c r="D64" s="1910" t="str">
        <x:v>control-area appreciation</x:v>
      </x:c>
      <x:c r="E64" s="1910" t="str">
        <x:v>Scenario/proxy input</x:v>
      </x:c>
      <x:c r="F64" s="1910" t="str">
        <x:v>MISSING</x:v>
      </x:c>
      <x:c r="G64" s="1910" t="str"/>
      <x:c r="H64" s="1910" t="str">
        <x:v>ZERO PLACEHOLDER REMOVED</x:v>
      </x:c>
      <x:c r="I64" s="1910" t="str">
        <x:v>No causal uplift claim</x:v>
      </x:c>
      <x:c r="J64" s="1910" t="str">
        <x:v>HIGH</x:v>
      </x:c>
    </x:row>
    <x:row r="65">
      <x:c r="A65" s="1910" t="str">
        <x:v>Infrastructure_Gains</x:v>
      </x:c>
      <x:c r="B65" s="1910" t="str">
        <x:v>G6</x:v>
      </x:c>
      <x:c r="C65" s="1910" t="str">
        <x:v>0</x:v>
      </x:c>
      <x:c r="D65" s="1910" t="str">
        <x:v>project-area appreciation</x:v>
      </x:c>
      <x:c r="E65" s="1910" t="str">
        <x:v>Scenario/proxy input</x:v>
      </x:c>
      <x:c r="F65" s="1910" t="str">
        <x:v>MISSING</x:v>
      </x:c>
      <x:c r="G65" s="1910" t="str"/>
      <x:c r="H65" s="1910" t="str">
        <x:v>ZERO PLACEHOLDER REMOVED</x:v>
      </x:c>
      <x:c r="I65" s="1910" t="str">
        <x:v>No causal uplift claim</x:v>
      </x:c>
      <x:c r="J65" s="1910" t="str">
        <x:v>HIGH</x:v>
      </x:c>
    </x:row>
    <x:row r="66">
      <x:c r="A66" s="1910" t="str">
        <x:v>Infrastructure_Gains</x:v>
      </x:c>
      <x:c r="B66" s="1910" t="str">
        <x:v>H6</x:v>
      </x:c>
      <x:c r="C66" s="1910" t="str">
        <x:v>0</x:v>
      </x:c>
      <x:c r="D66" s="1910" t="str">
        <x:v>attributable uplift</x:v>
      </x:c>
      <x:c r="E66" s="1910" t="str">
        <x:v>Scenario/proxy input</x:v>
      </x:c>
      <x:c r="F66" s="1910" t="str">
        <x:v>MISSING</x:v>
      </x:c>
      <x:c r="G66" s="1910" t="str"/>
      <x:c r="H66" s="1910" t="str">
        <x:v>ZERO PLACEHOLDER REMOVED</x:v>
      </x:c>
      <x:c r="I66" s="1910" t="str">
        <x:v>No causal uplift claim</x:v>
      </x:c>
      <x:c r="J66" s="1910" t="str">
        <x:v>HIGH</x:v>
      </x:c>
    </x:row>
    <x:row r="67">
      <x:c r="A67" s="1910" t="str">
        <x:v>Infrastructure_Gains</x:v>
      </x:c>
      <x:c r="B67" s="1910" t="str">
        <x:v>I6</x:v>
      </x:c>
      <x:c r="C67" s="1910" t="str">
        <x:v>0</x:v>
      </x:c>
      <x:c r="D67" s="1910" t="str">
        <x:v>created land value ($b)</x:v>
      </x:c>
      <x:c r="E67" s="1910" t="str">
        <x:v>Scenario/proxy input</x:v>
      </x:c>
      <x:c r="F67" s="1910" t="str">
        <x:v>MISSING</x:v>
      </x:c>
      <x:c r="G67" s="1910" t="str"/>
      <x:c r="H67" s="1910" t="str">
        <x:v>ZERO PLACEHOLDER REMOVED</x:v>
      </x:c>
      <x:c r="I67" s="1910" t="str">
        <x:v>No causal uplift claim</x:v>
      </x:c>
      <x:c r="J67" s="1910" t="str">
        <x:v>HIGH</x:v>
      </x:c>
    </x:row>
    <x:row r="68">
      <x:c r="A68" s="1910" t="str">
        <x:v>Infrastructure_Gains</x:v>
      </x:c>
      <x:c r="B68" s="1910" t="str">
        <x:v>J6</x:v>
      </x:c>
      <x:c r="C68" s="1910" t="str">
        <x:v>0</x:v>
      </x:c>
      <x:c r="D68" s="1910" t="str">
        <x:v>capture rate</x:v>
      </x:c>
      <x:c r="E68" s="1910" t="str">
        <x:v>Scenario/proxy input</x:v>
      </x:c>
      <x:c r="F68" s="1910" t="str">
        <x:v>MISSING</x:v>
      </x:c>
      <x:c r="G68" s="1910" t="str"/>
      <x:c r="H68" s="1910" t="str">
        <x:v>ZERO PLACEHOLDER REMOVED</x:v>
      </x:c>
      <x:c r="I68" s="1910" t="str">
        <x:v>No causal uplift claim</x:v>
      </x:c>
      <x:c r="J68" s="1910" t="str">
        <x:v>HIGH</x:v>
      </x:c>
    </x:row>
    <x:row r="69">
      <x:c r="A69" s="1910" t="str">
        <x:v>Infrastructure_Gains</x:v>
      </x:c>
      <x:c r="B69" s="1910" t="str">
        <x:v>K6</x:v>
      </x:c>
      <x:c r="C69" s="1910" t="str">
        <x:v>0</x:v>
      </x:c>
      <x:c r="D69" s="1910" t="str">
        <x:v>potential public capture ($b)</x:v>
      </x:c>
      <x:c r="E69" s="1910" t="str">
        <x:v>Scenario/proxy input</x:v>
      </x:c>
      <x:c r="F69" s="1910" t="str">
        <x:v>MISSING</x:v>
      </x:c>
      <x:c r="G69" s="1910" t="str"/>
      <x:c r="H69" s="1910" t="str">
        <x:v>ZERO PLACEHOLDER REMOVED</x:v>
      </x:c>
      <x:c r="I69" s="1910" t="str">
        <x:v>No causal uplift claim</x:v>
      </x:c>
      <x:c r="J69" s="1910" t="str">
        <x:v>HIGH</x:v>
      </x:c>
    </x:row>
    <x:row r="70">
      <x:c r="A70" s="1910" t="str">
        <x:v>Infrastructure_Gains</x:v>
      </x:c>
      <x:c r="B70" s="1910" t="str">
        <x:v>C7</x:v>
      </x:c>
      <x:c r="C70" s="1910" t="str">
        <x:v>2026</x:v>
      </x:c>
      <x:c r="D70" s="1910" t="str">
        <x:v>project year</x:v>
      </x:c>
      <x:c r="E70" s="1910" t="str">
        <x:v>Scenario timing input</x:v>
      </x:c>
      <x:c r="F70" s="1910" t="str">
        <x:v>MISSING</x:v>
      </x:c>
      <x:c r="G70" s="1910" t="str"/>
      <x:c r="H70" s="1910" t="str">
        <x:v>ZERO PLACEHOLDER REMOVED</x:v>
      </x:c>
      <x:c r="I70" s="1910" t="str">
        <x:v>No causal uplift claim</x:v>
      </x:c>
      <x:c r="J70" s="1910" t="str">
        <x:v>HIGH</x:v>
      </x:c>
    </x:row>
    <x:row r="71">
      <x:c r="A71" s="1904" t="str">
        <x:v>Infrastructure_Gains</x:v>
      </x:c>
      <x:c r="B71" s="1904" t="str">
        <x:v>D7</x:v>
      </x:c>
      <x:c r="C71" s="1904" t="str">
        <x:v>0.383</x:v>
      </x:c>
      <x:c r="D71" s="1904" t="str">
        <x:v>public project cost ($b)</x:v>
      </x:c>
      <x:c r="E71" s="1904" t="str">
        <x:v>Scenario/proxy input</x:v>
      </x:c>
      <x:c r="F71" s="1904" t="str">
        <x:v>OBSERVED</x:v>
      </x:c>
      <x:c r="G71" s="1904" t="str">
        <x:v>Row source URL</x:v>
      </x:c>
      <x:c r="H71" s="1904" t="str">
        <x:v>RECLASSIFIED AS OBSERVED PROJECT COST</x:v>
      </x:c>
      <x:c r="I71" s="1904" t="str">
        <x:v>Financing evidence only</x:v>
      </x:c>
      <x:c r="J71" s="1904" t="str">
        <x:v>LOW</x:v>
      </x:c>
    </x:row>
    <x:row r="72">
      <x:c r="A72" s="1910" t="str">
        <x:v>Infrastructure_Gains</x:v>
      </x:c>
      <x:c r="B72" s="1910" t="str">
        <x:v>E7</x:v>
      </x:c>
      <x:c r="C72" s="1910" t="str">
        <x:v>0</x:v>
      </x:c>
      <x:c r="D72" s="1910" t="str">
        <x:v>affected pre-project land value ($b)</x:v>
      </x:c>
      <x:c r="E72" s="1910" t="str">
        <x:v>Scenario/proxy input</x:v>
      </x:c>
      <x:c r="F72" s="1910" t="str">
        <x:v>MISSING</x:v>
      </x:c>
      <x:c r="G72" s="1910" t="str"/>
      <x:c r="H72" s="1910" t="str">
        <x:v>ZERO PLACEHOLDER REMOVED</x:v>
      </x:c>
      <x:c r="I72" s="1910" t="str">
        <x:v>No causal uplift claim</x:v>
      </x:c>
      <x:c r="J72" s="1910" t="str">
        <x:v>HIGH</x:v>
      </x:c>
    </x:row>
    <x:row r="73">
      <x:c r="A73" s="1910" t="str">
        <x:v>Infrastructure_Gains</x:v>
      </x:c>
      <x:c r="B73" s="1910" t="str">
        <x:v>F7</x:v>
      </x:c>
      <x:c r="C73" s="1910" t="str">
        <x:v>0</x:v>
      </x:c>
      <x:c r="D73" s="1910" t="str">
        <x:v>control-area appreciation</x:v>
      </x:c>
      <x:c r="E73" s="1910" t="str">
        <x:v>Scenario/proxy input</x:v>
      </x:c>
      <x:c r="F73" s="1910" t="str">
        <x:v>MISSING</x:v>
      </x:c>
      <x:c r="G73" s="1910" t="str"/>
      <x:c r="H73" s="1910" t="str">
        <x:v>ZERO PLACEHOLDER REMOVED</x:v>
      </x:c>
      <x:c r="I73" s="1910" t="str">
        <x:v>No causal uplift claim</x:v>
      </x:c>
      <x:c r="J73" s="1910" t="str">
        <x:v>HIGH</x:v>
      </x:c>
    </x:row>
    <x:row r="74">
      <x:c r="A74" s="1910" t="str">
        <x:v>Infrastructure_Gains</x:v>
      </x:c>
      <x:c r="B74" s="1910" t="str">
        <x:v>G7</x:v>
      </x:c>
      <x:c r="C74" s="1910" t="str">
        <x:v>0</x:v>
      </x:c>
      <x:c r="D74" s="1910" t="str">
        <x:v>project-area appreciation</x:v>
      </x:c>
      <x:c r="E74" s="1910" t="str">
        <x:v>Scenario/proxy input</x:v>
      </x:c>
      <x:c r="F74" s="1910" t="str">
        <x:v>MISSING</x:v>
      </x:c>
      <x:c r="G74" s="1910" t="str"/>
      <x:c r="H74" s="1910" t="str">
        <x:v>ZERO PLACEHOLDER REMOVED</x:v>
      </x:c>
      <x:c r="I74" s="1910" t="str">
        <x:v>No causal uplift claim</x:v>
      </x:c>
      <x:c r="J74" s="1910" t="str">
        <x:v>HIGH</x:v>
      </x:c>
    </x:row>
    <x:row r="75">
      <x:c r="A75" s="1910" t="str">
        <x:v>Infrastructure_Gains</x:v>
      </x:c>
      <x:c r="B75" s="1910" t="str">
        <x:v>H7</x:v>
      </x:c>
      <x:c r="C75" s="1910" t="str">
        <x:v>0</x:v>
      </x:c>
      <x:c r="D75" s="1910" t="str">
        <x:v>attributable uplift</x:v>
      </x:c>
      <x:c r="E75" s="1910" t="str">
        <x:v>Scenario/proxy input</x:v>
      </x:c>
      <x:c r="F75" s="1910" t="str">
        <x:v>MISSING</x:v>
      </x:c>
      <x:c r="G75" s="1910" t="str"/>
      <x:c r="H75" s="1910" t="str">
        <x:v>ZERO PLACEHOLDER REMOVED</x:v>
      </x:c>
      <x:c r="I75" s="1910" t="str">
        <x:v>No causal uplift claim</x:v>
      </x:c>
      <x:c r="J75" s="1910" t="str">
        <x:v>HIGH</x:v>
      </x:c>
    </x:row>
    <x:row r="76">
      <x:c r="A76" s="1910" t="str">
        <x:v>Infrastructure_Gains</x:v>
      </x:c>
      <x:c r="B76" s="1910" t="str">
        <x:v>I7</x:v>
      </x:c>
      <x:c r="C76" s="1910" t="str">
        <x:v>0</x:v>
      </x:c>
      <x:c r="D76" s="1910" t="str">
        <x:v>created land value ($b)</x:v>
      </x:c>
      <x:c r="E76" s="1910" t="str">
        <x:v>Scenario/proxy input</x:v>
      </x:c>
      <x:c r="F76" s="1910" t="str">
        <x:v>MISSING</x:v>
      </x:c>
      <x:c r="G76" s="1910" t="str"/>
      <x:c r="H76" s="1910" t="str">
        <x:v>ZERO PLACEHOLDER REMOVED</x:v>
      </x:c>
      <x:c r="I76" s="1910" t="str">
        <x:v>No causal uplift claim</x:v>
      </x:c>
      <x:c r="J76" s="1910" t="str">
        <x:v>HIGH</x:v>
      </x:c>
    </x:row>
    <x:row r="77">
      <x:c r="A77" s="1910" t="str">
        <x:v>Infrastructure_Gains</x:v>
      </x:c>
      <x:c r="B77" s="1910" t="str">
        <x:v>J7</x:v>
      </x:c>
      <x:c r="C77" s="1910" t="str">
        <x:v>0</x:v>
      </x:c>
      <x:c r="D77" s="1910" t="str">
        <x:v>capture rate</x:v>
      </x:c>
      <x:c r="E77" s="1910" t="str">
        <x:v>Scenario/proxy input</x:v>
      </x:c>
      <x:c r="F77" s="1910" t="str">
        <x:v>MISSING</x:v>
      </x:c>
      <x:c r="G77" s="1910" t="str"/>
      <x:c r="H77" s="1910" t="str">
        <x:v>ZERO PLACEHOLDER REMOVED</x:v>
      </x:c>
      <x:c r="I77" s="1910" t="str">
        <x:v>No causal uplift claim</x:v>
      </x:c>
      <x:c r="J77" s="1910" t="str">
        <x:v>HIGH</x:v>
      </x:c>
    </x:row>
    <x:row r="78">
      <x:c r="A78" s="1910" t="str">
        <x:v>Infrastructure_Gains</x:v>
      </x:c>
      <x:c r="B78" s="1910" t="str">
        <x:v>K7</x:v>
      </x:c>
      <x:c r="C78" s="1910" t="str">
        <x:v>0</x:v>
      </x:c>
      <x:c r="D78" s="1910" t="str">
        <x:v>potential public capture ($b)</x:v>
      </x:c>
      <x:c r="E78" s="1910" t="str">
        <x:v>Scenario/proxy input</x:v>
      </x:c>
      <x:c r="F78" s="1910" t="str">
        <x:v>MISSING</x:v>
      </x:c>
      <x:c r="G78" s="1910" t="str"/>
      <x:c r="H78" s="1910" t="str">
        <x:v>ZERO PLACEHOLDER REMOVED</x:v>
      </x:c>
      <x:c r="I78" s="1910" t="str">
        <x:v>No causal uplift claim</x:v>
      </x:c>
      <x:c r="J78" s="1910" t="str">
        <x:v>HIGH</x:v>
      </x:c>
    </x:row>
    <x:row r="79">
      <x:c r="A79" s="1904" t="str">
        <x:v>Concentration</x:v>
      </x:c>
      <x:c r="B79" s="1904" t="str">
        <x:v>D6</x:v>
      </x:c>
      <x:c r="C79" s="1904" t="str">
        <x:v>2818</x:v>
      </x:c>
      <x:c r="D79" s="1904" t="str">
        <x:v>start value</x:v>
      </x:c>
      <x:c r="E79" s="1904" t="str">
        <x:v>Scenario/proxy input</x:v>
      </x:c>
      <x:c r="F79" s="1904" t="str">
        <x:v>OBSERVED</x:v>
      </x:c>
      <x:c r="G79" s="1904" t="str">
        <x:v>Concentration row source URL</x:v>
      </x:c>
      <x:c r="H79" s="1904" t="str">
        <x:v>RECLASSIFIED AS PUBLISHED BENCHMARK</x:v>
      </x:c>
      <x:c r="I79" s="1904" t="str">
        <x:v>Historical descriptive evidence</x:v>
      </x:c>
      <x:c r="J79" s="1904" t="str">
        <x:v>LOW</x:v>
      </x:c>
    </x:row>
    <x:row r="80">
      <x:c r="A80" s="1904" t="str">
        <x:v>Concentration</x:v>
      </x:c>
      <x:c r="B80" s="1904" t="str">
        <x:v>F6</x:v>
      </x:c>
      <x:c r="C80" s="1904" t="str">
        <x:v>3060</x:v>
      </x:c>
      <x:c r="D80" s="1904" t="str">
        <x:v>end value</x:v>
      </x:c>
      <x:c r="E80" s="1904" t="str">
        <x:v>Scenario/proxy input</x:v>
      </x:c>
      <x:c r="F80" s="1904" t="str">
        <x:v>OBSERVED</x:v>
      </x:c>
      <x:c r="G80" s="1904" t="str">
        <x:v>Concentration row source URL</x:v>
      </x:c>
      <x:c r="H80" s="1904" t="str">
        <x:v>RECLASSIFIED AS PUBLISHED BENCHMARK</x:v>
      </x:c>
      <x:c r="I80" s="1904" t="str">
        <x:v>Historical descriptive evidence</x:v>
      </x:c>
      <x:c r="J80" s="1904" t="str">
        <x:v>LOW</x:v>
      </x:c>
    </x:row>
    <x:row r="81">
      <x:c r="A81" s="1904" t="str">
        <x:v>Concentration</x:v>
      </x:c>
      <x:c r="B81" s="1904" t="str">
        <x:v>D7</x:v>
      </x:c>
      <x:c r="C81" s="1904" t="str">
        <x:v>1942</x:v>
      </x:c>
      <x:c r="D81" s="1904" t="str">
        <x:v>start value</x:v>
      </x:c>
      <x:c r="E81" s="1904" t="str">
        <x:v>Scenario/proxy input</x:v>
      </x:c>
      <x:c r="F81" s="1904" t="str">
        <x:v>OBSERVED</x:v>
      </x:c>
      <x:c r="G81" s="1904" t="str">
        <x:v>Concentration row source URL</x:v>
      </x:c>
      <x:c r="H81" s="1904" t="str">
        <x:v>RECLASSIFIED AS PUBLISHED BENCHMARK</x:v>
      </x:c>
      <x:c r="I81" s="1904" t="str">
        <x:v>Historical descriptive evidence</x:v>
      </x:c>
      <x:c r="J81" s="1904" t="str">
        <x:v>LOW</x:v>
      </x:c>
    </x:row>
    <x:row r="82">
      <x:c r="A82" s="1904" t="str">
        <x:v>Concentration</x:v>
      </x:c>
      <x:c r="B82" s="1904" t="str">
        <x:v>F7</x:v>
      </x:c>
      <x:c r="C82" s="1904" t="str">
        <x:v>2149</x:v>
      </x:c>
      <x:c r="D82" s="1904" t="str">
        <x:v>end value</x:v>
      </x:c>
      <x:c r="E82" s="1904" t="str">
        <x:v>Scenario/proxy input</x:v>
      </x:c>
      <x:c r="F82" s="1904" t="str">
        <x:v>OBSERVED</x:v>
      </x:c>
      <x:c r="G82" s="1904" t="str">
        <x:v>Concentration row source URL</x:v>
      </x:c>
      <x:c r="H82" s="1904" t="str">
        <x:v>RECLASSIFIED AS PUBLISHED BENCHMARK</x:v>
      </x:c>
      <x:c r="I82" s="1904" t="str">
        <x:v>Historical descriptive evidence</x:v>
      </x:c>
      <x:c r="J82" s="1904" t="str">
        <x:v>LOW</x:v>
      </x:c>
    </x:row>
    <x:row r="83">
      <x:c r="A83" s="1904" t="str">
        <x:v>Public_Funds</x:v>
      </x:c>
      <x:c r="B83" s="1904" t="str">
        <x:v>D7</x:v>
      </x:c>
      <x:c r="C83" s="1904" t="str">
        <x:v>15</x:v>
      </x:c>
      <x:c r="D83" s="1904" t="str">
        <x:v>reported amount ($b)</x:v>
      </x:c>
      <x:c r="E83" s="1904" t="str">
        <x:v>Scenario/proxy input</x:v>
      </x:c>
      <x:c r="F83" s="1904" t="str">
        <x:v>OBSERVED</x:v>
      </x:c>
      <x:c r="G83" s="1904" t="str">
        <x:v>Public_Funds!K7</x:v>
      </x:c>
      <x:c r="H83" s="1904" t="str">
        <x:v>RECLASSIFIED AS REPORTED MANDATE SIZE</x:v>
      </x:c>
      <x:c r="I83" s="1904" t="str">
        <x:v>Not included in SWF starting base</x:v>
      </x:c>
      <x:c r="J83" s="1904" t="str">
        <x:v>LOW</x:v>
      </x:c>
    </x:row>
    <x:row r="84">
      <x:c r="A84" s="1904" t="str">
        <x:v>SWF_Scenario</x:v>
      </x:c>
      <x:c r="B84" s="1904" t="str">
        <x:v>A26</x:v>
      </x:c>
      <x:c r="C84" s="1904" t="str">
        <x:v>2038</x:v>
      </x:c>
      <x:c r="D84" s="1904" t="str"/>
      <x:c r="E84" s="1904" t="str">
        <x:v>Hardcoded model input without direct row-level provenance</x:v>
      </x:c>
      <x:c r="F84" s="1904" t="str">
        <x:v>NON-EVIDENCE / CALCULATED</x:v>
      </x:c>
      <x:c r="G84" s="1904" t="str">
        <x:v>Assumptions + Model_Parameters!P-012</x:v>
      </x:c>
      <x:c r="H84" s="1904" t="str">
        <x:v>RECLASSIFIED TIMELINE OR FORMULA OUTPUT</x:v>
      </x:c>
      <x:c r="I84" s="1904" t="str">
        <x:v>Scenario only</x:v>
      </x:c>
      <x:c r="J84" s="1904" t="str">
        <x:v>LOW</x:v>
      </x:c>
    </x:row>
    <x:row r="85">
      <x:c r="A85" s="1904" t="str">
        <x:v>SWF_Scenario</x:v>
      </x:c>
      <x:c r="B85" s="1904" t="str">
        <x:v>A27</x:v>
      </x:c>
      <x:c r="C85" s="1904" t="str">
        <x:v>2039</x:v>
      </x:c>
      <x:c r="D85" s="1904" t="str"/>
      <x:c r="E85" s="1904" t="str">
        <x:v>Hardcoded model input without direct row-level provenance</x:v>
      </x:c>
      <x:c r="F85" s="1904" t="str">
        <x:v>NON-EVIDENCE / CALCULATED</x:v>
      </x:c>
      <x:c r="G85" s="1904" t="str">
        <x:v>Assumptions + Model_Parameters!P-012</x:v>
      </x:c>
      <x:c r="H85" s="1904" t="str">
        <x:v>RECLASSIFIED TIMELINE OR FORMULA OUTPUT</x:v>
      </x:c>
      <x:c r="I85" s="1904" t="str">
        <x:v>Scenario only</x:v>
      </x:c>
      <x:c r="J85" s="1904" t="str">
        <x:v>LOW</x:v>
      </x:c>
    </x:row>
    <x:row r="86">
      <x:c r="A86" s="1904" t="str">
        <x:v>SWF_Scenario</x:v>
      </x:c>
      <x:c r="B86" s="1904" t="str">
        <x:v>A28</x:v>
      </x:c>
      <x:c r="C86" s="1904" t="str">
        <x:v>2040</x:v>
      </x:c>
      <x:c r="D86" s="1904" t="str"/>
      <x:c r="E86" s="1904" t="str">
        <x:v>Hardcoded model input without direct row-level provenance</x:v>
      </x:c>
      <x:c r="F86" s="1904" t="str">
        <x:v>NON-EVIDENCE / CALCULATED</x:v>
      </x:c>
      <x:c r="G86" s="1904" t="str">
        <x:v>Assumptions + Model_Parameters!P-012</x:v>
      </x:c>
      <x:c r="H86" s="1904" t="str">
        <x:v>RECLASSIFIED TIMELINE OR FORMULA OUTPUT</x:v>
      </x:c>
      <x:c r="I86" s="1904" t="str">
        <x:v>Scenario only</x:v>
      </x:c>
      <x:c r="J86" s="1904" t="str">
        <x:v>LOW</x:v>
      </x:c>
    </x:row>
    <x:row r="87">
      <x:c r="A87" s="1904" t="str">
        <x:v>SWF_Scenario</x:v>
      </x:c>
      <x:c r="B87" s="1904" t="str">
        <x:v>A29</x:v>
      </x:c>
      <x:c r="C87" s="1904" t="str">
        <x:v>2041</x:v>
      </x:c>
      <x:c r="D87" s="1904" t="str"/>
      <x:c r="E87" s="1904" t="str">
        <x:v>Hardcoded model input without direct row-level provenance</x:v>
      </x:c>
      <x:c r="F87" s="1904" t="str">
        <x:v>NON-EVIDENCE / CALCULATED</x:v>
      </x:c>
      <x:c r="G87" s="1904" t="str">
        <x:v>Assumptions + Model_Parameters!P-012</x:v>
      </x:c>
      <x:c r="H87" s="1904" t="str">
        <x:v>RECLASSIFIED TIMELINE OR FORMULA OUTPUT</x:v>
      </x:c>
      <x:c r="I87" s="1904" t="str">
        <x:v>Scenario only</x:v>
      </x:c>
      <x:c r="J87" s="1904" t="str">
        <x:v>LOW</x:v>
      </x:c>
    </x:row>
    <x:row r="88">
      <x:c r="A88" s="1904" t="str">
        <x:v>SWF_Scenario</x:v>
      </x:c>
      <x:c r="B88" s="1904" t="str">
        <x:v>A30</x:v>
      </x:c>
      <x:c r="C88" s="1904" t="str">
        <x:v>2042</x:v>
      </x:c>
      <x:c r="D88" s="1904" t="str"/>
      <x:c r="E88" s="1904" t="str">
        <x:v>Hardcoded model input without direct row-level provenance</x:v>
      </x:c>
      <x:c r="F88" s="1904" t="str">
        <x:v>NON-EVIDENCE / CALCULATED</x:v>
      </x:c>
      <x:c r="G88" s="1904" t="str">
        <x:v>Assumptions + Model_Parameters!P-012</x:v>
      </x:c>
      <x:c r="H88" s="1904" t="str">
        <x:v>RECLASSIFIED TIMELINE OR FORMULA OUTPUT</x:v>
      </x:c>
      <x:c r="I88" s="1904" t="str">
        <x:v>Scenario only</x:v>
      </x:c>
      <x:c r="J88" s="1904" t="str">
        <x:v>LOW</x:v>
      </x:c>
    </x:row>
    <x:row r="89">
      <x:c r="A89" s="1904" t="str">
        <x:v>SWF_Scenario</x:v>
      </x:c>
      <x:c r="B89" s="1904" t="str">
        <x:v>A31</x:v>
      </x:c>
      <x:c r="C89" s="1904" t="str">
        <x:v>2043</x:v>
      </x:c>
      <x:c r="D89" s="1904" t="str"/>
      <x:c r="E89" s="1904" t="str">
        <x:v>Hardcoded model input without direct row-level provenance</x:v>
      </x:c>
      <x:c r="F89" s="1904" t="str">
        <x:v>NON-EVIDENCE / CALCULATED</x:v>
      </x:c>
      <x:c r="G89" s="1904" t="str">
        <x:v>Assumptions + Model_Parameters!P-012</x:v>
      </x:c>
      <x:c r="H89" s="1904" t="str">
        <x:v>RECLASSIFIED TIMELINE OR FORMULA OUTPUT</x:v>
      </x:c>
      <x:c r="I89" s="1904" t="str">
        <x:v>Scenario only</x:v>
      </x:c>
      <x:c r="J89" s="1904" t="str">
        <x:v>LOW</x:v>
      </x:c>
    </x:row>
    <x:row r="90">
      <x:c r="A90" s="1904" t="str">
        <x:v>SWF_Scenario</x:v>
      </x:c>
      <x:c r="B90" s="1904" t="str">
        <x:v>A32</x:v>
      </x:c>
      <x:c r="C90" s="1904" t="str">
        <x:v>2044</x:v>
      </x:c>
      <x:c r="D90" s="1904" t="str"/>
      <x:c r="E90" s="1904" t="str">
        <x:v>Hardcoded model input without direct row-level provenance</x:v>
      </x:c>
      <x:c r="F90" s="1904" t="str">
        <x:v>NON-EVIDENCE / CALCULATED</x:v>
      </x:c>
      <x:c r="G90" s="1904" t="str">
        <x:v>Assumptions + Model_Parameters!P-012</x:v>
      </x:c>
      <x:c r="H90" s="1904" t="str">
        <x:v>RECLASSIFIED TIMELINE OR FORMULA OUTPUT</x:v>
      </x:c>
      <x:c r="I90" s="1904" t="str">
        <x:v>Scenario only</x:v>
      </x:c>
      <x:c r="J90" s="1904" t="str">
        <x:v>LOW</x:v>
      </x:c>
    </x:row>
    <x:row r="91">
      <x:c r="A91" s="1904" t="str">
        <x:v>SWF_Scenario</x:v>
      </x:c>
      <x:c r="B91" s="1904" t="str">
        <x:v>A33</x:v>
      </x:c>
      <x:c r="C91" s="1904" t="str">
        <x:v>2045</x:v>
      </x:c>
      <x:c r="D91" s="1904" t="str"/>
      <x:c r="E91" s="1904" t="str">
        <x:v>Hardcoded model input without direct row-level provenance</x:v>
      </x:c>
      <x:c r="F91" s="1904" t="str">
        <x:v>NON-EVIDENCE / CALCULATED</x:v>
      </x:c>
      <x:c r="G91" s="1904" t="str">
        <x:v>Assumptions + Model_Parameters!P-012</x:v>
      </x:c>
      <x:c r="H91" s="1904" t="str">
        <x:v>RECLASSIFIED TIMELINE OR FORMULA OUTPUT</x:v>
      </x:c>
      <x:c r="I91" s="1904" t="str">
        <x:v>Scenario only</x:v>
      </x:c>
      <x:c r="J91" s="1904" t="str">
        <x:v>LOW</x:v>
      </x:c>
    </x:row>
    <x:row r="92">
      <x:c r="A92" s="1904" t="str">
        <x:v>SWF_Scenario</x:v>
      </x:c>
      <x:c r="B92" s="1904" t="str">
        <x:v>A34</x:v>
      </x:c>
      <x:c r="C92" s="1904" t="str">
        <x:v>2046</x:v>
      </x:c>
      <x:c r="D92" s="1904" t="str"/>
      <x:c r="E92" s="1904" t="str">
        <x:v>Hardcoded model input without direct row-level provenance</x:v>
      </x:c>
      <x:c r="F92" s="1904" t="str">
        <x:v>NON-EVIDENCE / CALCULATED</x:v>
      </x:c>
      <x:c r="G92" s="1904" t="str">
        <x:v>Assumptions + Model_Parameters!P-012</x:v>
      </x:c>
      <x:c r="H92" s="1904" t="str">
        <x:v>RECLASSIFIED TIMELINE OR FORMULA OUTPUT</x:v>
      </x:c>
      <x:c r="I92" s="1904" t="str">
        <x:v>Scenario only</x:v>
      </x:c>
      <x:c r="J92" s="1904" t="str">
        <x:v>LOW</x:v>
      </x:c>
    </x:row>
    <x:row r="93">
      <x:c r="A93" s="1904" t="str">
        <x:v>SWF_Scenario</x:v>
      </x:c>
      <x:c r="B93" s="1904" t="str">
        <x:v>A35</x:v>
      </x:c>
      <x:c r="C93" s="1904" t="str">
        <x:v>2047</x:v>
      </x:c>
      <x:c r="D93" s="1904" t="str"/>
      <x:c r="E93" s="1904" t="str">
        <x:v>Hardcoded model input without direct row-level provenance</x:v>
      </x:c>
      <x:c r="F93" s="1904" t="str">
        <x:v>NON-EVIDENCE / CALCULATED</x:v>
      </x:c>
      <x:c r="G93" s="1904" t="str">
        <x:v>Assumptions + Model_Parameters!P-012</x:v>
      </x:c>
      <x:c r="H93" s="1904" t="str">
        <x:v>RECLASSIFIED TIMELINE OR FORMULA OUTPUT</x:v>
      </x:c>
      <x:c r="I93" s="1904" t="str">
        <x:v>Scenario only</x:v>
      </x:c>
      <x:c r="J93" s="1904" t="str">
        <x:v>LOW</x:v>
      </x:c>
    </x:row>
    <x:row r="94">
      <x:c r="A94" s="1904" t="str">
        <x:v>SWF_Scenario</x:v>
      </x:c>
      <x:c r="B94" s="1904" t="str">
        <x:v>A36</x:v>
      </x:c>
      <x:c r="C94" s="1904" t="str">
        <x:v>2048</x:v>
      </x:c>
      <x:c r="D94" s="1904" t="str"/>
      <x:c r="E94" s="1904" t="str">
        <x:v>Hardcoded model input without direct row-level provenance</x:v>
      </x:c>
      <x:c r="F94" s="1904" t="str">
        <x:v>NON-EVIDENCE / CALCULATED</x:v>
      </x:c>
      <x:c r="G94" s="1904" t="str">
        <x:v>Assumptions + Model_Parameters!P-012</x:v>
      </x:c>
      <x:c r="H94" s="1904" t="str">
        <x:v>RECLASSIFIED TIMELINE OR FORMULA OUTPUT</x:v>
      </x:c>
      <x:c r="I94" s="1904" t="str">
        <x:v>Scenario only</x:v>
      </x:c>
      <x:c r="J94" s="1904" t="str">
        <x:v>LOW</x:v>
      </x:c>
    </x:row>
    <x:row r="95">
      <x:c r="A95" s="1904" t="str">
        <x:v>SWF_Scenario</x:v>
      </x:c>
      <x:c r="B95" s="1904" t="str">
        <x:v>A37</x:v>
      </x:c>
      <x:c r="C95" s="1904" t="str">
        <x:v>2049</x:v>
      </x:c>
      <x:c r="D95" s="1904" t="str"/>
      <x:c r="E95" s="1904" t="str">
        <x:v>Hardcoded model input without direct row-level provenance</x:v>
      </x:c>
      <x:c r="F95" s="1904" t="str">
        <x:v>NON-EVIDENCE / CALCULATED</x:v>
      </x:c>
      <x:c r="G95" s="1904" t="str">
        <x:v>Assumptions + Model_Parameters!P-012</x:v>
      </x:c>
      <x:c r="H95" s="1904" t="str">
        <x:v>RECLASSIFIED TIMELINE OR FORMULA OUTPUT</x:v>
      </x:c>
      <x:c r="I95" s="1904" t="str">
        <x:v>Scenario only</x:v>
      </x:c>
      <x:c r="J95" s="1904" t="str">
        <x:v>LOW</x:v>
      </x:c>
    </x:row>
    <x:row r="96">
      <x:c r="A96" s="1904" t="str">
        <x:v>SWF_Scenario</x:v>
      </x:c>
      <x:c r="B96" s="1904" t="str">
        <x:v>A38</x:v>
      </x:c>
      <x:c r="C96" s="1904" t="str">
        <x:v>2050</x:v>
      </x:c>
      <x:c r="D96" s="1904" t="str"/>
      <x:c r="E96" s="1904" t="str">
        <x:v>Hardcoded model input without direct row-level provenance</x:v>
      </x:c>
      <x:c r="F96" s="1904" t="str">
        <x:v>NON-EVIDENCE / CALCULATED</x:v>
      </x:c>
      <x:c r="G96" s="1904" t="str">
        <x:v>Assumptions + Model_Parameters!P-012</x:v>
      </x:c>
      <x:c r="H96" s="1904" t="str">
        <x:v>RECLASSIFIED TIMELINE OR FORMULA OUTPUT</x:v>
      </x:c>
      <x:c r="I96" s="1904" t="str">
        <x:v>Scenario only</x:v>
      </x:c>
      <x:c r="J96" s="1904" t="str">
        <x:v>LOW</x:v>
      </x:c>
    </x:row>
    <x:row r="97">
      <x:c r="A97" s="1904" t="str">
        <x:v>SWF_Scenario</x:v>
      </x:c>
      <x:c r="B97" s="1904" t="str">
        <x:v>A39</x:v>
      </x:c>
      <x:c r="C97" s="1904" t="str">
        <x:v>2051</x:v>
      </x:c>
      <x:c r="D97" s="1904" t="str"/>
      <x:c r="E97" s="1904" t="str">
        <x:v>Hardcoded model input without direct row-level provenance</x:v>
      </x:c>
      <x:c r="F97" s="1904" t="str">
        <x:v>NON-EVIDENCE / CALCULATED</x:v>
      </x:c>
      <x:c r="G97" s="1904" t="str">
        <x:v>Assumptions + Model_Parameters!P-012</x:v>
      </x:c>
      <x:c r="H97" s="1904" t="str">
        <x:v>RECLASSIFIED TIMELINE OR FORMULA OUTPUT</x:v>
      </x:c>
      <x:c r="I97" s="1904" t="str">
        <x:v>Scenario only</x:v>
      </x:c>
      <x:c r="J97" s="1904" t="str">
        <x:v>LOW</x:v>
      </x:c>
    </x:row>
    <x:row r="98">
      <x:c r="A98" s="1904" t="str">
        <x:v>SWF_Scenario</x:v>
      </x:c>
      <x:c r="B98" s="1904" t="str">
        <x:v>A40</x:v>
      </x:c>
      <x:c r="C98" s="1904" t="str">
        <x:v>2052</x:v>
      </x:c>
      <x:c r="D98" s="1904" t="str"/>
      <x:c r="E98" s="1904" t="str">
        <x:v>Hardcoded model input without direct row-level provenance</x:v>
      </x:c>
      <x:c r="F98" s="1904" t="str">
        <x:v>NON-EVIDENCE / CALCULATED</x:v>
      </x:c>
      <x:c r="G98" s="1904" t="str">
        <x:v>Assumptions + Model_Parameters!P-012</x:v>
      </x:c>
      <x:c r="H98" s="1904" t="str">
        <x:v>RECLASSIFIED TIMELINE OR FORMULA OUTPUT</x:v>
      </x:c>
      <x:c r="I98" s="1904" t="str">
        <x:v>Scenario only</x:v>
      </x:c>
      <x:c r="J98" s="1904" t="str">
        <x:v>LOW</x:v>
      </x:c>
    </x:row>
    <x:row r="99">
      <x:c r="A99" s="1904" t="str">
        <x:v>SWF_Scenario</x:v>
      </x:c>
      <x:c r="B99" s="1904" t="str">
        <x:v>A41</x:v>
      </x:c>
      <x:c r="C99" s="1904" t="str">
        <x:v>2053</x:v>
      </x:c>
      <x:c r="D99" s="1904" t="str"/>
      <x:c r="E99" s="1904" t="str">
        <x:v>Hardcoded model input without direct row-level provenance</x:v>
      </x:c>
      <x:c r="F99" s="1904" t="str">
        <x:v>NON-EVIDENCE / CALCULATED</x:v>
      </x:c>
      <x:c r="G99" s="1904" t="str">
        <x:v>Assumptions + Model_Parameters!P-012</x:v>
      </x:c>
      <x:c r="H99" s="1904" t="str">
        <x:v>RECLASSIFIED TIMELINE OR FORMULA OUTPUT</x:v>
      </x:c>
      <x:c r="I99" s="1904" t="str">
        <x:v>Scenario only</x:v>
      </x:c>
      <x:c r="J99" s="1904" t="str">
        <x:v>LOW</x:v>
      </x:c>
    </x:row>
    <x:row r="100">
      <x:c r="A100" s="1904" t="str">
        <x:v>SWF_Scenario</x:v>
      </x:c>
      <x:c r="B100" s="1904" t="str">
        <x:v>A42</x:v>
      </x:c>
      <x:c r="C100" s="1904" t="str">
        <x:v>2054</x:v>
      </x:c>
      <x:c r="D100" s="1904" t="str"/>
      <x:c r="E100" s="1904" t="str">
        <x:v>Hardcoded model input without direct row-level provenance</x:v>
      </x:c>
      <x:c r="F100" s="1904" t="str">
        <x:v>NON-EVIDENCE / CALCULATED</x:v>
      </x:c>
      <x:c r="G100" s="1904" t="str">
        <x:v>Assumptions + Model_Parameters!P-012</x:v>
      </x:c>
      <x:c r="H100" s="1904" t="str">
        <x:v>RECLASSIFIED TIMELINE OR FORMULA OUTPUT</x:v>
      </x:c>
      <x:c r="I100" s="1904" t="str">
        <x:v>Scenario only</x:v>
      </x:c>
      <x:c r="J100" s="1904" t="str">
        <x:v>LOW</x:v>
      </x:c>
    </x:row>
    <x:row r="101">
      <x:c r="A101" s="1904" t="str">
        <x:v>SWF_Scenario</x:v>
      </x:c>
      <x:c r="B101" s="1904" t="str">
        <x:v>A43</x:v>
      </x:c>
      <x:c r="C101" s="1904" t="str">
        <x:v>2055</x:v>
      </x:c>
      <x:c r="D101" s="1904" t="str"/>
      <x:c r="E101" s="1904" t="str">
        <x:v>Hardcoded model input without direct row-level provenance</x:v>
      </x:c>
      <x:c r="F101" s="1904" t="str">
        <x:v>NON-EVIDENCE / CALCULATED</x:v>
      </x:c>
      <x:c r="G101" s="1904" t="str">
        <x:v>Assumptions + Model_Parameters!P-012</x:v>
      </x:c>
      <x:c r="H101" s="1904" t="str">
        <x:v>RECLASSIFIED TIMELINE OR FORMULA OUTPUT</x:v>
      </x:c>
      <x:c r="I101" s="1904" t="str">
        <x:v>Scenario only</x:v>
      </x:c>
      <x:c r="J101" s="1904" t="str">
        <x:v>LOW</x:v>
      </x:c>
    </x:row>
    <x:row r="102">
      <x:c r="A102" s="1910" t="str">
        <x:v>Rent_Flow_Method</x:v>
      </x:c>
      <x:c r="B102" s="1910" t="str">
        <x:v>D13</x:v>
      </x:c>
      <x:c r="C102" s="1910" t="str">
        <x:v>0</x:v>
      </x:c>
      <x:c r="D102" s="1910" t="str">
        <x:v>observed amount ($b)</x:v>
      </x:c>
      <x:c r="E102" s="1910" t="str">
        <x:v>Hardcoded model input without direct row-level provenance</x:v>
      </x:c>
      <x:c r="F102" s="1910" t="str">
        <x:v>MISSING</x:v>
      </x:c>
      <x:c r="G102" s="1910" t="str"/>
      <x:c r="H102" s="1910" t="str">
        <x:v>ZERO PLACEHOLDER REMOVED</x:v>
      </x:c>
      <x:c r="I102" s="1910" t="str">
        <x:v>No modelled amount emitted</x:v>
      </x:c>
      <x:c r="J102" s="1910" t="str">
        <x:v>HIGH</x:v>
      </x:c>
    </x:row>
    <x:row r="103">
      <x:c r="A103" s="1910" t="str">
        <x:v>Rent_Flow_Method</x:v>
      </x:c>
      <x:c r="B103" s="1910" t="str">
        <x:v>E13</x:v>
      </x:c>
      <x:c r="C103" s="1910" t="str">
        <x:v>0</x:v>
      </x:c>
      <x:c r="D103" s="1910" t="str">
        <x:v>modelled amount ($b)</x:v>
      </x:c>
      <x:c r="E103" s="1910" t="str">
        <x:v>Hardcoded model input without direct row-level provenance</x:v>
      </x:c>
      <x:c r="F103" s="1910" t="str">
        <x:v>MISSING</x:v>
      </x:c>
      <x:c r="G103" s="1910" t="str"/>
      <x:c r="H103" s="1910" t="str">
        <x:v>ZERO PLACEHOLDER REMOVED</x:v>
      </x:c>
      <x:c r="I103" s="1910" t="str">
        <x:v>No modelled amount emitted</x:v>
      </x:c>
      <x:c r="J103" s="1910" t="str">
        <x:v>HIGH</x:v>
      </x:c>
    </x:row>
    <x:row r="104">
      <x:c r="A104" s="1906" t="str">
        <x:v>Closure_Security</x:v>
      </x:c>
      <x:c r="B104" s="1906" t="str">
        <x:v>E25</x:v>
      </x:c>
      <x:c r="C104" s="1906" t="str">
        <x:v>0</x:v>
      </x:c>
      <x:c r="D104" s="1906" t="str"/>
      <x:c r="E104" s="1906" t="str">
        <x:v>Hardcoded model input without direct row-level provenance</x:v>
      </x:c>
      <x:c r="F104" s="1906" t="str">
        <x:v>NON-EVIDENCE / MISSING</x:v>
      </x:c>
      <x:c r="G104" s="1906" t="str"/>
      <x:c r="H104" s="1906" t="str">
        <x:v>AMOUNT CELL CLEARED</x:v>
      </x:c>
      <x:c r="I104" s="1906" t="str">
        <x:v>Source-discrepancy flag only</x:v>
      </x:c>
      <x:c r="J104" s="1906" t="str">
        <x:v>MEDIUM</x:v>
      </x:c>
    </x:row>
    <x:row r="105">
      <x:c r="A105" s="1910" t="str">
        <x:v>Commodity_Diagnostics</x:v>
      </x:c>
      <x:c r="B105" s="1910" t="str">
        <x:v>G6</x:v>
      </x:c>
      <x:c r="C105" s="1910" t="str">
        <x:v>0</x:v>
      </x:c>
      <x:c r="D105" s="1910" t="str">
        <x:v>accounting net income ($b)</x:v>
      </x:c>
      <x:c r="E105" s="1910" t="str">
        <x:v>Hardcoded model input without direct row-level provenance</x:v>
      </x:c>
      <x:c r="F105" s="1910" t="str">
        <x:v>MISSING</x:v>
      </x:c>
      <x:c r="G105" s="1910" t="str"/>
      <x:c r="H105" s="1910" t="str">
        <x:v>ZERO PLACEHOLDER REMOVED</x:v>
      </x:c>
      <x:c r="I105" s="1910" t="str">
        <x:v>No commodity accounting result</x:v>
      </x:c>
      <x:c r="J105" s="1910" t="str">
        <x:v>HIGH</x:v>
      </x:c>
    </x:row>
    <x:row r="106">
      <x:c r="A106" s="1910" t="str">
        <x:v>Commodity_Diagnostics</x:v>
      </x:c>
      <x:c r="B106" s="1910" t="str">
        <x:v>G7</x:v>
      </x:c>
      <x:c r="C106" s="1910" t="str">
        <x:v>0</x:v>
      </x:c>
      <x:c r="D106" s="1910" t="str">
        <x:v>accounting net income ($b)</x:v>
      </x:c>
      <x:c r="E106" s="1910" t="str">
        <x:v>Hardcoded model input without direct row-level provenance</x:v>
      </x:c>
      <x:c r="F106" s="1910" t="str">
        <x:v>MISSING</x:v>
      </x:c>
      <x:c r="G106" s="1910" t="str"/>
      <x:c r="H106" s="1910" t="str">
        <x:v>ZERO PLACEHOLDER REMOVED</x:v>
      </x:c>
      <x:c r="I106" s="1910" t="str">
        <x:v>No commodity accounting result</x:v>
      </x:c>
      <x:c r="J106" s="1910" t="str">
        <x:v>HIGH</x:v>
      </x:c>
    </x:row>
    <x:row r="107">
      <x:c r="A107" s="1910" t="str">
        <x:v>Commodity_Diagnostics</x:v>
      </x:c>
      <x:c r="B107" s="1910" t="str">
        <x:v>G8</x:v>
      </x:c>
      <x:c r="C107" s="1910" t="str">
        <x:v>0</x:v>
      </x:c>
      <x:c r="D107" s="1910" t="str">
        <x:v>accounting net income ($b)</x:v>
      </x:c>
      <x:c r="E107" s="1910" t="str">
        <x:v>Hardcoded model input without direct row-level provenance</x:v>
      </x:c>
      <x:c r="F107" s="1910" t="str">
        <x:v>MISSING</x:v>
      </x:c>
      <x:c r="G107" s="1910" t="str"/>
      <x:c r="H107" s="1910" t="str">
        <x:v>ZERO PLACEHOLDER REMOVED</x:v>
      </x:c>
      <x:c r="I107" s="1910" t="str">
        <x:v>No commodity accounting result</x:v>
      </x:c>
      <x:c r="J107" s="1910" t="str">
        <x:v>HIGH</x:v>
      </x:c>
    </x:row>
    <x:row r="108">
      <x:c r="A108" s="1910" t="str">
        <x:v>Commodity_Diagnostics</x:v>
      </x:c>
      <x:c r="B108" s="1910" t="str">
        <x:v>G9</x:v>
      </x:c>
      <x:c r="C108" s="1910" t="str">
        <x:v>0</x:v>
      </x:c>
      <x:c r="D108" s="1910" t="str">
        <x:v>accounting net income ($b)</x:v>
      </x:c>
      <x:c r="E108" s="1910" t="str">
        <x:v>Hardcoded model input without direct row-level provenance</x:v>
      </x:c>
      <x:c r="F108" s="1910" t="str">
        <x:v>MISSING</x:v>
      </x:c>
      <x:c r="G108" s="1910" t="str"/>
      <x:c r="H108" s="1910" t="str">
        <x:v>ZERO PLACEHOLDER REMOVED</x:v>
      </x:c>
      <x:c r="I108" s="1910" t="str">
        <x:v>No commodity accounting result</x:v>
      </x:c>
      <x:c r="J108" s="1910" t="str">
        <x:v>HIGH</x:v>
      </x:c>
    </x:row>
    <x:row r="109">
      <x:c r="A109" s="1910" t="str">
        <x:v>Commodity_Diagnostics</x:v>
      </x:c>
      <x:c r="B109" s="1910" t="str">
        <x:v>G11</x:v>
      </x:c>
      <x:c r="C109" s="1910" t="str">
        <x:v>0</x:v>
      </x:c>
      <x:c r="D109" s="1910" t="str">
        <x:v>accounting net income ($b)</x:v>
      </x:c>
      <x:c r="E109" s="1910" t="str">
        <x:v>Hardcoded model input without direct row-level provenance</x:v>
      </x:c>
      <x:c r="F109" s="1910" t="str">
        <x:v>MISSING</x:v>
      </x:c>
      <x:c r="G109" s="1910" t="str"/>
      <x:c r="H109" s="1910" t="str">
        <x:v>ZERO PLACEHOLDER REMOVED</x:v>
      </x:c>
      <x:c r="I109" s="1910" t="str">
        <x:v>No commodity accounting result</x:v>
      </x:c>
      <x:c r="J109" s="1910" t="str">
        <x:v>HIGH</x:v>
      </x:c>
    </x:row>
    <x:row r="110">
      <x:c r="A110" s="1910" t="str">
        <x:v>Commodity_Diagnostics</x:v>
      </x:c>
      <x:c r="B110" s="1910" t="str">
        <x:v>G12</x:v>
      </x:c>
      <x:c r="C110" s="1910" t="str">
        <x:v>0</x:v>
      </x:c>
      <x:c r="D110" s="1910" t="str">
        <x:v>accounting net income ($b)</x:v>
      </x:c>
      <x:c r="E110" s="1910" t="str">
        <x:v>Hardcoded model input without direct row-level provenance</x:v>
      </x:c>
      <x:c r="F110" s="1910" t="str">
        <x:v>MISSING</x:v>
      </x:c>
      <x:c r="G110" s="1910" t="str"/>
      <x:c r="H110" s="1910" t="str">
        <x:v>ZERO PLACEHOLDER REMOVED</x:v>
      </x:c>
      <x:c r="I110" s="1910" t="str">
        <x:v>No commodity accounting result</x:v>
      </x:c>
      <x:c r="J110" s="1910" t="str">
        <x:v>HIGH</x:v>
      </x:c>
    </x:row>
    <x:row r="111">
      <x:c r="A111" s="1910" t="str">
        <x:v>Commodity_Diagnostics</x:v>
      </x:c>
      <x:c r="B111" s="1910" t="str">
        <x:v>G14</x:v>
      </x:c>
      <x:c r="C111" s="1910" t="str">
        <x:v>0</x:v>
      </x:c>
      <x:c r="D111" s="1910" t="str">
        <x:v>accounting net income ($b)</x:v>
      </x:c>
      <x:c r="E111" s="1910" t="str">
        <x:v>Hardcoded model input without direct row-level provenance</x:v>
      </x:c>
      <x:c r="F111" s="1910" t="str">
        <x:v>MISSING</x:v>
      </x:c>
      <x:c r="G111" s="1910" t="str"/>
      <x:c r="H111" s="1910" t="str">
        <x:v>ZERO PLACEHOLDER REMOVED</x:v>
      </x:c>
      <x:c r="I111" s="1910" t="str">
        <x:v>No commodity accounting result</x:v>
      </x:c>
      <x:c r="J111" s="1910" t="str">
        <x:v>HIGH</x:v>
      </x:c>
    </x:row>
    <x:row r="112">
      <x:c r="A112" s="1910" t="str">
        <x:v>Commodity_Diagnostics</x:v>
      </x:c>
      <x:c r="B112" s="1910" t="str">
        <x:v>G15</x:v>
      </x:c>
      <x:c r="C112" s="1910" t="str">
        <x:v>0</x:v>
      </x:c>
      <x:c r="D112" s="1910" t="str">
        <x:v>accounting net income ($b)</x:v>
      </x:c>
      <x:c r="E112" s="1910" t="str">
        <x:v>Hardcoded model input without direct row-level provenance</x:v>
      </x:c>
      <x:c r="F112" s="1910" t="str">
        <x:v>MISSING</x:v>
      </x:c>
      <x:c r="G112" s="1910" t="str"/>
      <x:c r="H112" s="1910" t="str">
        <x:v>ZERO PLACEHOLDER REMOVED</x:v>
      </x:c>
      <x:c r="I112" s="1910" t="str">
        <x:v>No commodity accounting result</x:v>
      </x:c>
      <x:c r="J112" s="1910" t="str">
        <x:v>HIGH</x:v>
      </x:c>
    </x:row>
    <x:row r="113">
      <x:c r="A113" s="1910" t="str">
        <x:v>Commodity_Diagnostics</x:v>
      </x:c>
      <x:c r="B113" s="1910" t="str">
        <x:v>G16</x:v>
      </x:c>
      <x:c r="C113" s="1910" t="str">
        <x:v>0</x:v>
      </x:c>
      <x:c r="D113" s="1910" t="str">
        <x:v>accounting net income ($b)</x:v>
      </x:c>
      <x:c r="E113" s="1910" t="str">
        <x:v>Hardcoded model input without direct row-level provenance</x:v>
      </x:c>
      <x:c r="F113" s="1910" t="str">
        <x:v>MISSING</x:v>
      </x:c>
      <x:c r="G113" s="1910" t="str"/>
      <x:c r="H113" s="1910" t="str">
        <x:v>ZERO PLACEHOLDER REMOVED</x:v>
      </x:c>
      <x:c r="I113" s="1910" t="str">
        <x:v>No commodity accounting result</x:v>
      </x:c>
      <x:c r="J113" s="1910" t="str">
        <x:v>HIGH</x:v>
      </x:c>
    </x:row>
    <x:row r="114">
      <x:c r="A114" s="1910" t="str">
        <x:v>Commodity_Input_Staging</x:v>
      </x:c>
      <x:c r="B114" s="1910" t="str">
        <x:v>D10</x:v>
      </x:c>
      <x:c r="C114" s="1910" t="str">
        <x:v>0</x:v>
      </x:c>
      <x:c r="D114" s="1910" t="str">
        <x:v>output / sales ($b)</x:v>
      </x:c>
      <x:c r="E114" s="1910" t="str">
        <x:v>Hardcoded model input without direct row-level provenance</x:v>
      </x:c>
      <x:c r="F114" s="1910" t="str">
        <x:v>MISSING</x:v>
      </x:c>
      <x:c r="G114" s="1910" t="str"/>
      <x:c r="H114" s="1910" t="str">
        <x:v>ZERO PLACEHOLDER REMOVED</x:v>
      </x:c>
      <x:c r="I114" s="1910" t="str">
        <x:v>No cost/capital/rent estimate</x:v>
      </x:c>
      <x:c r="J114" s="1910" t="str">
        <x:v>HIGH</x:v>
      </x:c>
    </x:row>
    <x:row r="115">
      <x:c r="A115" s="1910" t="str">
        <x:v>Commodity_Input_Staging</x:v>
      </x:c>
      <x:c r="B115" s="1910" t="str">
        <x:v>E10</x:v>
      </x:c>
      <x:c r="C115" s="1910" t="str">
        <x:v>0</x:v>
      </x:c>
      <x:c r="D115" s="1910" t="str">
        <x:v>intermediate inputs ($b)</x:v>
      </x:c>
      <x:c r="E115" s="1910" t="str">
        <x:v>Hardcoded model input without direct row-level provenance</x:v>
      </x:c>
      <x:c r="F115" s="1910" t="str">
        <x:v>MISSING</x:v>
      </x:c>
      <x:c r="G115" s="1910" t="str"/>
      <x:c r="H115" s="1910" t="str">
        <x:v>ZERO PLACEHOLDER REMOVED</x:v>
      </x:c>
      <x:c r="I115" s="1910" t="str">
        <x:v>No cost/capital/rent estimate</x:v>
      </x:c>
      <x:c r="J115" s="1910" t="str">
        <x:v>HIGH</x:v>
      </x:c>
    </x:row>
    <x:row r="116">
      <x:c r="A116" s="1910" t="str">
        <x:v>Commodity_Input_Staging</x:v>
      </x:c>
      <x:c r="B116" s="1910" t="str">
        <x:v>F10</x:v>
      </x:c>
      <x:c r="C116" s="1910" t="str">
        <x:v>0</x:v>
      </x:c>
      <x:c r="D116" s="1910" t="str">
        <x:v>labour compensation ($b)</x:v>
      </x:c>
      <x:c r="E116" s="1910" t="str">
        <x:v>Hardcoded model input without direct row-level provenance</x:v>
      </x:c>
      <x:c r="F116" s="1910" t="str">
        <x:v>MISSING</x:v>
      </x:c>
      <x:c r="G116" s="1910" t="str"/>
      <x:c r="H116" s="1910" t="str">
        <x:v>ZERO PLACEHOLDER REMOVED</x:v>
      </x:c>
      <x:c r="I116" s="1910" t="str">
        <x:v>No cost/capital/rent estimate</x:v>
      </x:c>
      <x:c r="J116" s="1910" t="str">
        <x:v>HIGH</x:v>
      </x:c>
    </x:row>
    <x:row r="117">
      <x:c r="A117" s="1910" t="str">
        <x:v>Commodity_Input_Staging</x:v>
      </x:c>
      <x:c r="B117" s="1910" t="str">
        <x:v>H10</x:v>
      </x:c>
      <x:c r="C117" s="1910" t="str">
        <x:v>0</x:v>
      </x:c>
      <x:c r="D117" s="1910" t="str">
        <x:v>net produced capital ($b)</x:v>
      </x:c>
      <x:c r="E117" s="1910" t="str">
        <x:v>Hardcoded model input without direct row-level provenance</x:v>
      </x:c>
      <x:c r="F117" s="1910" t="str">
        <x:v>MISSING</x:v>
      </x:c>
      <x:c r="G117" s="1910" t="str"/>
      <x:c r="H117" s="1910" t="str">
        <x:v>ZERO PLACEHOLDER REMOVED</x:v>
      </x:c>
      <x:c r="I117" s="1910" t="str">
        <x:v>No cost/capital/rent estimate</x:v>
      </x:c>
      <x:c r="J117" s="1910" t="str">
        <x:v>HIGH</x:v>
      </x:c>
    </x:row>
    <x:row r="118">
      <x:c r="A118" s="1910" t="str">
        <x:v>Commodity_Input_Staging</x:v>
      </x:c>
      <x:c r="B118" s="1910" t="str">
        <x:v>D11</x:v>
      </x:c>
      <x:c r="C118" s="1910" t="str">
        <x:v>0</x:v>
      </x:c>
      <x:c r="D118" s="1910" t="str">
        <x:v>output / sales ($b)</x:v>
      </x:c>
      <x:c r="E118" s="1910" t="str">
        <x:v>Hardcoded model input without direct row-level provenance</x:v>
      </x:c>
      <x:c r="F118" s="1910" t="str">
        <x:v>MISSING</x:v>
      </x:c>
      <x:c r="G118" s="1910" t="str"/>
      <x:c r="H118" s="1910" t="str">
        <x:v>ZERO PLACEHOLDER REMOVED</x:v>
      </x:c>
      <x:c r="I118" s="1910" t="str">
        <x:v>No cost/capital/rent estimate</x:v>
      </x:c>
      <x:c r="J118" s="1910" t="str">
        <x:v>HIGH</x:v>
      </x:c>
    </x:row>
    <x:row r="119">
      <x:c r="A119" s="1910" t="str">
        <x:v>Commodity_Input_Staging</x:v>
      </x:c>
      <x:c r="B119" s="1910" t="str">
        <x:v>E11</x:v>
      </x:c>
      <x:c r="C119" s="1910" t="str">
        <x:v>0</x:v>
      </x:c>
      <x:c r="D119" s="1910" t="str">
        <x:v>intermediate inputs ($b)</x:v>
      </x:c>
      <x:c r="E119" s="1910" t="str">
        <x:v>Hardcoded model input without direct row-level provenance</x:v>
      </x:c>
      <x:c r="F119" s="1910" t="str">
        <x:v>MISSING</x:v>
      </x:c>
      <x:c r="G119" s="1910" t="str"/>
      <x:c r="H119" s="1910" t="str">
        <x:v>ZERO PLACEHOLDER REMOVED</x:v>
      </x:c>
      <x:c r="I119" s="1910" t="str">
        <x:v>No cost/capital/rent estimate</x:v>
      </x:c>
      <x:c r="J119" s="1910" t="str">
        <x:v>HIGH</x:v>
      </x:c>
    </x:row>
    <x:row r="120">
      <x:c r="A120" s="1910" t="str">
        <x:v>Commodity_Input_Staging</x:v>
      </x:c>
      <x:c r="B120" s="1910" t="str">
        <x:v>F11</x:v>
      </x:c>
      <x:c r="C120" s="1910" t="str">
        <x:v>0</x:v>
      </x:c>
      <x:c r="D120" s="1910" t="str">
        <x:v>labour compensation ($b)</x:v>
      </x:c>
      <x:c r="E120" s="1910" t="str">
        <x:v>Hardcoded model input without direct row-level provenance</x:v>
      </x:c>
      <x:c r="F120" s="1910" t="str">
        <x:v>MISSING</x:v>
      </x:c>
      <x:c r="G120" s="1910" t="str"/>
      <x:c r="H120" s="1910" t="str">
        <x:v>ZERO PLACEHOLDER REMOVED</x:v>
      </x:c>
      <x:c r="I120" s="1910" t="str">
        <x:v>No cost/capital/rent estimate</x:v>
      </x:c>
      <x:c r="J120" s="1910" t="str">
        <x:v>HIGH</x:v>
      </x:c>
    </x:row>
    <x:row r="121">
      <x:c r="A121" s="1910" t="str">
        <x:v>Commodity_Input_Staging</x:v>
      </x:c>
      <x:c r="B121" s="1910" t="str">
        <x:v>H11</x:v>
      </x:c>
      <x:c r="C121" s="1910" t="str">
        <x:v>0</x:v>
      </x:c>
      <x:c r="D121" s="1910" t="str">
        <x:v>net produced capital ($b)</x:v>
      </x:c>
      <x:c r="E121" s="1910" t="str">
        <x:v>Hardcoded model input without direct row-level provenance</x:v>
      </x:c>
      <x:c r="F121" s="1910" t="str">
        <x:v>MISSING</x:v>
      </x:c>
      <x:c r="G121" s="1910" t="str"/>
      <x:c r="H121" s="1910" t="str">
        <x:v>ZERO PLACEHOLDER REMOVED</x:v>
      </x:c>
      <x:c r="I121" s="1910" t="str">
        <x:v>No cost/capital/rent estimate</x:v>
      </x:c>
      <x:c r="J121" s="1910" t="str">
        <x:v>HIGH</x:v>
      </x:c>
    </x:row>
    <x:row r="122">
      <x:c r="A122" s="1910" t="str">
        <x:v>Commodity_Input_Staging</x:v>
      </x:c>
      <x:c r="B122" s="1910" t="str">
        <x:v>D13</x:v>
      </x:c>
      <x:c r="C122" s="1910" t="str">
        <x:v>0</x:v>
      </x:c>
      <x:c r="D122" s="1910" t="str">
        <x:v>output / sales ($b)</x:v>
      </x:c>
      <x:c r="E122" s="1910" t="str">
        <x:v>Hardcoded model input without direct row-level provenance</x:v>
      </x:c>
      <x:c r="F122" s="1910" t="str">
        <x:v>MISSING</x:v>
      </x:c>
      <x:c r="G122" s="1910" t="str"/>
      <x:c r="H122" s="1910" t="str">
        <x:v>ZERO PLACEHOLDER REMOVED</x:v>
      </x:c>
      <x:c r="I122" s="1910" t="str">
        <x:v>No cost/capital/rent estimate</x:v>
      </x:c>
      <x:c r="J122" s="1910" t="str">
        <x:v>HIGH</x:v>
      </x:c>
    </x:row>
    <x:row r="123">
      <x:c r="A123" s="1910" t="str">
        <x:v>Commodity_Input_Staging</x:v>
      </x:c>
      <x:c r="B123" s="1910" t="str">
        <x:v>E13</x:v>
      </x:c>
      <x:c r="C123" s="1910" t="str">
        <x:v>0</x:v>
      </x:c>
      <x:c r="D123" s="1910" t="str">
        <x:v>intermediate inputs ($b)</x:v>
      </x:c>
      <x:c r="E123" s="1910" t="str">
        <x:v>Hardcoded model input without direct row-level provenance</x:v>
      </x:c>
      <x:c r="F123" s="1910" t="str">
        <x:v>MISSING</x:v>
      </x:c>
      <x:c r="G123" s="1910" t="str"/>
      <x:c r="H123" s="1910" t="str">
        <x:v>ZERO PLACEHOLDER REMOVED</x:v>
      </x:c>
      <x:c r="I123" s="1910" t="str">
        <x:v>No cost/capital/rent estimate</x:v>
      </x:c>
      <x:c r="J123" s="1910" t="str">
        <x:v>HIGH</x:v>
      </x:c>
    </x:row>
    <x:row r="124">
      <x:c r="A124" s="1910" t="str">
        <x:v>Commodity_Input_Staging</x:v>
      </x:c>
      <x:c r="B124" s="1910" t="str">
        <x:v>F13</x:v>
      </x:c>
      <x:c r="C124" s="1910" t="str">
        <x:v>0</x:v>
      </x:c>
      <x:c r="D124" s="1910" t="str">
        <x:v>labour compensation ($b)</x:v>
      </x:c>
      <x:c r="E124" s="1910" t="str">
        <x:v>Hardcoded model input without direct row-level provenance</x:v>
      </x:c>
      <x:c r="F124" s="1910" t="str">
        <x:v>MISSING</x:v>
      </x:c>
      <x:c r="G124" s="1910" t="str"/>
      <x:c r="H124" s="1910" t="str">
        <x:v>ZERO PLACEHOLDER REMOVED</x:v>
      </x:c>
      <x:c r="I124" s="1910" t="str">
        <x:v>No cost/capital/rent estimate</x:v>
      </x:c>
      <x:c r="J124" s="1910" t="str">
        <x:v>HIGH</x:v>
      </x:c>
    </x:row>
    <x:row r="125">
      <x:c r="A125" s="1910" t="str">
        <x:v>Commodity_Input_Staging</x:v>
      </x:c>
      <x:c r="B125" s="1910" t="str">
        <x:v>H13</x:v>
      </x:c>
      <x:c r="C125" s="1910" t="str">
        <x:v>0</x:v>
      </x:c>
      <x:c r="D125" s="1910" t="str">
        <x:v>net produced capital ($b)</x:v>
      </x:c>
      <x:c r="E125" s="1910" t="str">
        <x:v>Hardcoded model input without direct row-level provenance</x:v>
      </x:c>
      <x:c r="F125" s="1910" t="str">
        <x:v>MISSING</x:v>
      </x:c>
      <x:c r="G125" s="1910" t="str"/>
      <x:c r="H125" s="1910" t="str">
        <x:v>ZERO PLACEHOLDER REMOVED</x:v>
      </x:c>
      <x:c r="I125" s="1910" t="str">
        <x:v>No cost/capital/rent estimate</x:v>
      </x:c>
      <x:c r="J125" s="1910" t="str">
        <x:v>HIGH</x:v>
      </x:c>
    </x:row>
    <x:row r="126">
      <x:c r="A126" s="1910" t="str">
        <x:v>Commodity_Input_Staging</x:v>
      </x:c>
      <x:c r="B126" s="1910" t="str">
        <x:v>D14</x:v>
      </x:c>
      <x:c r="C126" s="1910" t="str">
        <x:v>0</x:v>
      </x:c>
      <x:c r="D126" s="1910" t="str">
        <x:v>output / sales ($b)</x:v>
      </x:c>
      <x:c r="E126" s="1910" t="str">
        <x:v>Hardcoded model input without direct row-level provenance</x:v>
      </x:c>
      <x:c r="F126" s="1910" t="str">
        <x:v>MISSING</x:v>
      </x:c>
      <x:c r="G126" s="1910" t="str"/>
      <x:c r="H126" s="1910" t="str">
        <x:v>ZERO PLACEHOLDER REMOVED</x:v>
      </x:c>
      <x:c r="I126" s="1910" t="str">
        <x:v>No cost/capital/rent estimate</x:v>
      </x:c>
      <x:c r="J126" s="1910" t="str">
        <x:v>HIGH</x:v>
      </x:c>
    </x:row>
    <x:row r="127">
      <x:c r="A127" s="1910" t="str">
        <x:v>Commodity_Input_Staging</x:v>
      </x:c>
      <x:c r="B127" s="1910" t="str">
        <x:v>E14</x:v>
      </x:c>
      <x:c r="C127" s="1910" t="str">
        <x:v>0</x:v>
      </x:c>
      <x:c r="D127" s="1910" t="str">
        <x:v>intermediate inputs ($b)</x:v>
      </x:c>
      <x:c r="E127" s="1910" t="str">
        <x:v>Hardcoded model input without direct row-level provenance</x:v>
      </x:c>
      <x:c r="F127" s="1910" t="str">
        <x:v>MISSING</x:v>
      </x:c>
      <x:c r="G127" s="1910" t="str"/>
      <x:c r="H127" s="1910" t="str">
        <x:v>ZERO PLACEHOLDER REMOVED</x:v>
      </x:c>
      <x:c r="I127" s="1910" t="str">
        <x:v>No cost/capital/rent estimate</x:v>
      </x:c>
      <x:c r="J127" s="1910" t="str">
        <x:v>HIGH</x:v>
      </x:c>
    </x:row>
    <x:row r="128">
      <x:c r="A128" s="1910" t="str">
        <x:v>Commodity_Input_Staging</x:v>
      </x:c>
      <x:c r="B128" s="1910" t="str">
        <x:v>F14</x:v>
      </x:c>
      <x:c r="C128" s="1910" t="str">
        <x:v>0</x:v>
      </x:c>
      <x:c r="D128" s="1910" t="str">
        <x:v>labour compensation ($b)</x:v>
      </x:c>
      <x:c r="E128" s="1910" t="str">
        <x:v>Hardcoded model input without direct row-level provenance</x:v>
      </x:c>
      <x:c r="F128" s="1910" t="str">
        <x:v>MISSING</x:v>
      </x:c>
      <x:c r="G128" s="1910" t="str"/>
      <x:c r="H128" s="1910" t="str">
        <x:v>ZERO PLACEHOLDER REMOVED</x:v>
      </x:c>
      <x:c r="I128" s="1910" t="str">
        <x:v>No cost/capital/rent estimate</x:v>
      </x:c>
      <x:c r="J128" s="1910" t="str">
        <x:v>HIGH</x:v>
      </x:c>
    </x:row>
    <x:row r="129">
      <x:c r="A129" s="1910" t="str">
        <x:v>Commodity_Input_Staging</x:v>
      </x:c>
      <x:c r="B129" s="1910" t="str">
        <x:v>H14</x:v>
      </x:c>
      <x:c r="C129" s="1910" t="str">
        <x:v>0</x:v>
      </x:c>
      <x:c r="D129" s="1910" t="str">
        <x:v>net produced capital ($b)</x:v>
      </x:c>
      <x:c r="E129" s="1910" t="str">
        <x:v>Hardcoded model input without direct row-level provenance</x:v>
      </x:c>
      <x:c r="F129" s="1910" t="str">
        <x:v>MISSING</x:v>
      </x:c>
      <x:c r="G129" s="1910" t="str"/>
      <x:c r="H129" s="1910" t="str">
        <x:v>ZERO PLACEHOLDER REMOVED</x:v>
      </x:c>
      <x:c r="I129" s="1910" t="str">
        <x:v>No cost/capital/rent estimate</x:v>
      </x:c>
      <x:c r="J129" s="1910" t="str">
        <x:v>HIGH</x:v>
      </x:c>
    </x:row>
    <x:row r="130">
      <x:c r="A130" s="1910" t="str">
        <x:v>Capital_Allocation_2024</x:v>
      </x:c>
      <x:c r="B130" s="1910" t="str">
        <x:v>H6</x:v>
      </x:c>
      <x:c r="C130" s="1910" t="str">
        <x:v>13.3</x:v>
      </x:c>
      <x:c r="D130" s="1910" t="str">
        <x:v>2024 capex proxy ($b)</x:v>
      </x:c>
      <x:c r="E130" s="1910" t="str">
        <x:v>Scenario/proxy input</x:v>
      </x:c>
      <x:c r="F130" s="1910" t="str">
        <x:v>ASSUMED / REJECTED</x:v>
      </x:c>
      <x:c r="G130" s="1910" t="str">
        <x:v>Capital_Allocation_2024</x:v>
      </x:c>
      <x:c r="H130" s="1910" t="str">
        <x:v>RETAINED IN FALSIFICATION TEST ONLY</x:v>
      </x:c>
      <x:c r="I130" s="1910" t="str">
        <x:v>Never publish as capital stock</x:v>
      </x:c>
      <x:c r="J130" s="1910" t="str">
        <x:v>HIGH</x:v>
      </x:c>
    </x:row>
    <x:row r="131">
      <x:c r="A131" s="1910" t="str">
        <x:v>Capital_Allocation_2024</x:v>
      </x:c>
      <x:c r="B131" s="1910" t="str">
        <x:v>H7</x:v>
      </x:c>
      <x:c r="C131" s="1910" t="str">
        <x:v>5.5519</x:v>
      </x:c>
      <x:c r="D131" s="1910" t="str">
        <x:v>2024 capex proxy ($b)</x:v>
      </x:c>
      <x:c r="E131" s="1910" t="str">
        <x:v>Scenario/proxy input</x:v>
      </x:c>
      <x:c r="F131" s="1910" t="str">
        <x:v>ASSUMED / REJECTED</x:v>
      </x:c>
      <x:c r="G131" s="1910" t="str">
        <x:v>Capital_Allocation_2024</x:v>
      </x:c>
      <x:c r="H131" s="1910" t="str">
        <x:v>RETAINED IN FALSIFICATION TEST ONLY</x:v>
      </x:c>
      <x:c r="I131" s="1910" t="str">
        <x:v>Never publish as capital stock</x:v>
      </x:c>
      <x:c r="J131" s="1910" t="str">
        <x:v>HIGH</x:v>
      </x:c>
    </x:row>
    <x:row r="132">
      <x:c r="A132" s="1910" t="str">
        <x:v>Capital_Allocation_2024</x:v>
      </x:c>
      <x:c r="B132" s="1910" t="str">
        <x:v>H8</x:v>
      </x:c>
      <x:c r="C132" s="1910" t="str">
        <x:v>1.7073</x:v>
      </x:c>
      <x:c r="D132" s="1910" t="str">
        <x:v>2024 capex proxy ($b)</x:v>
      </x:c>
      <x:c r="E132" s="1910" t="str">
        <x:v>Scenario/proxy input</x:v>
      </x:c>
      <x:c r="F132" s="1910" t="str">
        <x:v>ASSUMED / REJECTED</x:v>
      </x:c>
      <x:c r="G132" s="1910" t="str">
        <x:v>Capital_Allocation_2024</x:v>
      </x:c>
      <x:c r="H132" s="1910" t="str">
        <x:v>RETAINED IN FALSIFICATION TEST ONLY</x:v>
      </x:c>
      <x:c r="I132" s="1910" t="str">
        <x:v>Never publish as capital stock</x:v>
      </x:c>
      <x:c r="J132" s="1910" t="str">
        <x:v>HIGH</x:v>
      </x:c>
    </x:row>
    <x:row r="133">
      <x:c r="A133" s="1910" t="str">
        <x:v>Capital_Allocation_2024</x:v>
      </x:c>
      <x:c r="B133" s="1910" t="str">
        <x:v>H9</x:v>
      </x:c>
      <x:c r="C133" s="1910" t="str">
        <x:v>2.4562</x:v>
      </x:c>
      <x:c r="D133" s="1910" t="str">
        <x:v>2024 capex proxy ($b)</x:v>
      </x:c>
      <x:c r="E133" s="1910" t="str">
        <x:v>Scenario/proxy input</x:v>
      </x:c>
      <x:c r="F133" s="1910" t="str">
        <x:v>ASSUMED / REJECTED</x:v>
      </x:c>
      <x:c r="G133" s="1910" t="str">
        <x:v>Capital_Allocation_2024</x:v>
      </x:c>
      <x:c r="H133" s="1910" t="str">
        <x:v>RETAINED IN FALSIFICATION TEST ONLY</x:v>
      </x:c>
      <x:c r="I133" s="1910" t="str">
        <x:v>Never publish as capital stock</x:v>
      </x:c>
      <x:c r="J133" s="1910" t="str">
        <x:v>HIGH</x:v>
      </x:c>
    </x:row>
    <x:row r="134">
      <x:c r="A134" s="1910" t="str">
        <x:v>Capital_Allocation_2024</x:v>
      </x:c>
      <x:c r="B134" s="1910" t="str">
        <x:v>H10</x:v>
      </x:c>
      <x:c r="C134" s="1910" t="str">
        <x:v>0.5844</x:v>
      </x:c>
      <x:c r="D134" s="1910" t="str">
        <x:v>2024 capex proxy ($b)</x:v>
      </x:c>
      <x:c r="E134" s="1910" t="str">
        <x:v>Scenario/proxy input</x:v>
      </x:c>
      <x:c r="F134" s="1910" t="str">
        <x:v>ASSUMED / REJECTED</x:v>
      </x:c>
      <x:c r="G134" s="1910" t="str">
        <x:v>Capital_Allocation_2024</x:v>
      </x:c>
      <x:c r="H134" s="1910" t="str">
        <x:v>RETAINED IN FALSIFICATION TEST ONLY</x:v>
      </x:c>
      <x:c r="I134" s="1910" t="str">
        <x:v>Never publish as capital stock</x:v>
      </x:c>
      <x:c r="J134" s="1910" t="str">
        <x:v>HIGH</x:v>
      </x:c>
    </x:row>
    <x:row r="135">
      <x:c r="A135" s="1910" t="str">
        <x:v>Capital_Allocation_2024</x:v>
      </x:c>
      <x:c r="B135" s="1910" t="str">
        <x:v>H11</x:v>
      </x:c>
      <x:c r="C135" s="1910" t="str">
        <x:v>4.4777</x:v>
      </x:c>
      <x:c r="D135" s="1910" t="str">
        <x:v>2024 capex proxy ($b)</x:v>
      </x:c>
      <x:c r="E135" s="1910" t="str">
        <x:v>Scenario/proxy input</x:v>
      </x:c>
      <x:c r="F135" s="1910" t="str">
        <x:v>ASSUMED / REJECTED</x:v>
      </x:c>
      <x:c r="G135" s="1910" t="str">
        <x:v>Capital_Allocation_2024</x:v>
      </x:c>
      <x:c r="H135" s="1910" t="str">
        <x:v>RETAINED IN FALSIFICATION TEST ONLY</x:v>
      </x:c>
      <x:c r="I135" s="1910" t="str">
        <x:v>Never publish as capital stock</x:v>
      </x:c>
      <x:c r="J135" s="1910" t="str">
        <x:v>HIGH</x:v>
      </x:c>
    </x:row>
    <x:row r="136">
      <x:c r="A136" s="1910" t="str">
        <x:v>Capital_Allocation_2024</x:v>
      </x:c>
      <x:c r="B136" s="1910" t="str">
        <x:v>H12</x:v>
      </x:c>
      <x:c r="C136" s="1910" t="str">
        <x:v>1.5423</x:v>
      </x:c>
      <x:c r="D136" s="1910" t="str">
        <x:v>2024 capex proxy ($b)</x:v>
      </x:c>
      <x:c r="E136" s="1910" t="str">
        <x:v>Scenario/proxy input</x:v>
      </x:c>
      <x:c r="F136" s="1910" t="str">
        <x:v>ASSUMED / REJECTED</x:v>
      </x:c>
      <x:c r="G136" s="1910" t="str">
        <x:v>Capital_Allocation_2024</x:v>
      </x:c>
      <x:c r="H136" s="1910" t="str">
        <x:v>RETAINED IN FALSIFICATION TEST ONLY</x:v>
      </x:c>
      <x:c r="I136" s="1910" t="str">
        <x:v>Never publish as capital stock</x:v>
      </x:c>
      <x:c r="J136" s="1910" t="str">
        <x:v>HIGH</x:v>
      </x:c>
    </x:row>
    <x:row r="137">
      <x:c r="A137" s="1904" t="str">
        <x:v>Oil_Sands_Bridge_2024</x:v>
      </x:c>
      <x:c r="B137" s="1904" t="str">
        <x:v>E5</x:v>
      </x:c>
      <x:c r="C137" s="1904" t="str">
        <x:v>2024</x:v>
      </x:c>
      <x:c r="D137" s="1904" t="str">
        <x:v>terminal state</x:v>
      </x:c>
      <x:c r="E137" s="1904" t="str">
        <x:v>Hardcoded model input without direct row-level provenance</x:v>
      </x:c>
      <x:c r="F137" s="1904" t="str">
        <x:v>NON-EVIDENCE</x:v>
      </x:c>
      <x:c r="G137" s="1904" t="str"/>
      <x:c r="H137" s="1904" t="str">
        <x:v>RECLASSIFIED AS PERIOD / STATE METADATA</x:v>
      </x:c>
      <x:c r="I137" s="1904" t="str">
        <x:v>No quantitative assumption</x:v>
      </x:c>
      <x:c r="J137" s="1904" t="str">
        <x:v>LOW</x:v>
      </x:c>
    </x:row>
    <x:row r="138">
      <x:c r="A138" s="1904" t="str">
        <x:v>Capital_Proxy_Stress_Test</x:v>
      </x:c>
      <x:c r="B138" s="1904" t="str">
        <x:v>C33</x:v>
      </x:c>
      <x:c r="C138" s="1904" t="str">
        <x:v>2024</x:v>
      </x:c>
      <x:c r="D138" s="1904" t="str">
        <x:v>reference year</x:v>
      </x:c>
      <x:c r="E138" s="1904" t="str">
        <x:v>Scenario timing input</x:v>
      </x:c>
      <x:c r="F138" s="1904" t="str">
        <x:v>NON-EVIDENCE</x:v>
      </x:c>
      <x:c r="G138" s="1904" t="str"/>
      <x:c r="H138" s="1904" t="str">
        <x:v>RECLASSIFIED AS REFERENCE-YEAR METADATA</x:v>
      </x:c>
      <x:c r="I138" s="1904" t="str">
        <x:v>Diagnostic only</x:v>
      </x:c>
      <x:c r="J138" s="1904" t="str">
        <x:v>LOW</x:v>
      </x:c>
    </x:row>
  </x:sheetData>
  <x:mergeCells>
    <x:mergeCell ref="A1:J1"/>
    <x:mergeCell ref="A2:J2"/>
  </x:mergeCells>
  <x:pageMargins left="0.7" right="0.7" top="0.75" bottom="0.75" header="0.3" footer="0.3"/>
</x:worksheet>
</file>

<file path=xl/worksheets/sheet61.xml><?xml version="1.0" encoding="utf-8"?>
<x:worksheet xmlns:x="http://schemas.openxmlformats.org/spreadsheetml/2006/main">
  <x:sheetFormatPr defaultRowHeight="15"/>
  <x:cols>
    <x:col min="1" max="1" width="15" hidden="0" customWidth="1"/>
    <x:col min="2" max="2" width="27" hidden="0" customWidth="1"/>
    <x:col min="3" max="3" width="39" hidden="0" customWidth="1"/>
    <x:col min="4" max="4" width="52" hidden="0" customWidth="1"/>
    <x:col min="5" max="5" width="44" hidden="0" customWidth="1"/>
    <x:col min="6" max="6" width="31" hidden="0" customWidth="1"/>
    <x:col min="7" max="7" width="13" hidden="0" customWidth="1"/>
    <x:col min="8" max="8" width="35" hidden="0" customWidth="1"/>
  </x:cols>
  <x:sheetData>
    <x:row r="1" ht="28" customHeight="1">
      <x:c r="A1" s="1891" t="str">
        <x:v>Evidence Governance Remediation — v0.23</x:v>
      </x:c>
      <x:c r="B1" s="1891"/>
      <x:c r="C1" s="1891"/>
      <x:c r="D1" s="1891"/>
      <x:c r="E1" s="1891"/>
      <x:c r="F1" s="1891"/>
      <x:c r="G1" s="1891"/>
      <x:c r="H1" s="1891"/>
    </x:row>
    <x:row r="2" ht="44" customHeight="1">
      <x:c r="A2" s="1895" t="str">
        <x:v>Direct source lineage, embedded-constant review and material-assumption centralization. No new commodity rent, capital allocation or capture-rate estimate is introduced.</x:v>
      </x:c>
      <x:c r="B2" s="1895"/>
      <x:c r="C2" s="1895"/>
      <x:c r="D2" s="1895"/>
      <x:c r="E2" s="1895"/>
      <x:c r="F2" s="1895"/>
      <x:c r="G2" s="1895"/>
      <x:c r="H2" s="1895"/>
    </x:row>
    <x:row r="4">
      <x:c r="A4" s="1900" t="str">
        <x:v>Remediation ID</x:v>
      </x:c>
      <x:c r="B4" s="1900" t="str">
        <x:v>Work unit</x:v>
      </x:c>
      <x:c r="C4" s="1900" t="str">
        <x:v>Affected sheets / cells</x:v>
      </x:c>
      <x:c r="D4" s="1900" t="str">
        <x:v>Change</x:v>
      </x:c>
      <x:c r="E4" s="1900" t="str">
        <x:v>Evidence consequence</x:v>
      </x:c>
      <x:c r="F4" s="1900" t="str">
        <x:v>Verification</x:v>
      </x:c>
      <x:c r="G4" s="1900" t="str">
        <x:v>Status</x:v>
      </x:c>
      <x:c r="H4" s="1900" t="str">
        <x:v>Next gate</x:v>
      </x:c>
    </x:row>
    <x:row r="5">
      <x:c r="A5" s="1904" t="str">
        <x:v>V023-01</x:v>
      </x:c>
      <x:c r="B5" s="1904" t="str">
        <x:v>Direct source-to-cell lineage</x:v>
      </x:c>
      <x:c r="C5" s="1904" t="str">
        <x:v>Source_Lineage_Register; Evidence_Dashboard</x:v>
      </x:c>
      <x:c r="D5" s="1904" t="str">
        <x:v>Created 28 lineage records linking material claims to exact cells, tables, URLs, periods, units, transformations and receipts.</x:v>
      </x:c>
      <x:c r="E5" s="1904" t="str">
        <x:v>Claims without evidence are reclassified or blank rather than assigned artificial citations.</x:v>
      </x:c>
      <x:c r="F5" s="1904" t="str">
        <x:v>Lineage IDs added to evidence dashboard</x:v>
      </x:c>
      <x:c r="G5" s="1904" t="str">
        <x:v>PASS</x:v>
      </x:c>
      <x:c r="H5" s="1904" t="str">
        <x:v>Human source spot-check</x:v>
      </x:c>
    </x:row>
    <x:row r="6">
      <x:c r="A6" s="1904" t="str">
        <x:v>V023-02</x:v>
      </x:c>
      <x:c r="B6" s="1904" t="str">
        <x:v>Remaining high-risk observations</x:v>
      </x:c>
      <x:c r="C6" s="1904" t="str">
        <x:v>Dashboard; Rent_Flow_Method; Commodity_Diagnostics; Commodity_Input_Staging</x:v>
      </x:c>
      <x:c r="D6" s="1904" t="str">
        <x:v>Replaced copied hardcodes with cell links, removed subjective coverage, and cleared zero placeholders.</x:v>
      </x:c>
      <x:c r="E6" s="1904" t="str">
        <x:v>Reduces false observations and duplicate unsupported values.</x:v>
      </x:c>
      <x:c r="F6" s="1904" t="str">
        <x:v>Targeted cell inspection</x:v>
      </x:c>
      <x:c r="G6" s="1904" t="str">
        <x:v>PASS</x:v>
      </x:c>
      <x:c r="H6" s="1904" t="str">
        <x:v>External reviewer sample</x:v>
      </x:c>
    </x:row>
    <x:row r="7">
      <x:c r="A7" s="1904" t="str">
        <x:v>V023-03</x:v>
      </x:c>
      <x:c r="B7" s="1904" t="str">
        <x:v>Embedded formula constants</x:v>
      </x:c>
      <x:c r="C7" s="1904" t="str">
        <x:v>Formula_Constants_Review</x:v>
      </x:c>
      <x:c r="D7" s="1904" t="str">
        <x:v>Reviewed all 653 v0.21 flagged formula cells.</x:v>
      </x:c>
      <x:c r="E7" s="1904" t="str">
        <x:v>Material thresholds/timing assumptions centralized; unit conversions and mathematical identities documented.</x:v>
      </x:c>
      <x:c r="F7" s="1904" t="str">
        <x:v>Detailed baseline register retained</x:v>
      </x:c>
      <x:c r="G7" s="1904" t="str">
        <x:v>PASS</x:v>
      </x:c>
      <x:c r="H7" s="1904" t="str">
        <x:v>Reviewer approval of internal thresholds</x:v>
      </x:c>
    </x:row>
    <x:row r="8">
      <x:c r="A8" s="1904" t="str">
        <x:v>V023-04</x:v>
      </x:c>
      <x:c r="B8" s="1904" t="str">
        <x:v>Canadian concentration thresholds</x:v>
      </x:c>
      <x:c r="C8" s="1904" t="str">
        <x:v>Sector_Tests; Concentration; Model_Parameters</x:v>
      </x:c>
      <x:c r="D8" s="1904" t="str">
        <x:v>Retired legacy 1,500/2,500 classification formulas and centralized current Canadian HHI 1,800 / delta 100 parameters.</x:v>
      </x:c>
      <x:c r="E8" s="1904" t="str">
        <x:v>Screens are explicitly diagnostic and not legal merger findings.</x:v>
      </x:c>
      <x:c r="F8" s="1904" t="str">
        <x:v>Official Competition Bureau source recorded</x:v>
      </x:c>
      <x:c r="G8" s="1904" t="str">
        <x:v>PASS</x:v>
      </x:c>
      <x:c r="H8" s="1904" t="str">
        <x:v>Define relevant markets before use</x:v>
      </x:c>
    </x:row>
    <x:row r="9">
      <x:c r="A9" s="1904" t="str">
        <x:v>V023-05</x:v>
      </x:c>
      <x:c r="B9" s="1904" t="str">
        <x:v>Technical thresholds</x:v>
      </x:c>
      <x:c r="C9" s="1904" t="str">
        <x:v>Oil_Sands_Bridge_2024; Potash_Bridge_2024; AB_OS_Project_Data_2024; Capital_Proxy_Stress_Test</x:v>
      </x:c>
      <x:c r="D9" s="1904" t="str">
        <x:v>Moved reconciliation and diagnostic thresholds to Model_Parameters.</x:v>
      </x:c>
      <x:c r="E9" s="1904" t="str">
        <x:v>No hidden material threshold remains in targeted formulas.</x:v>
      </x:c>
      <x:c r="F9" s="1904" t="str">
        <x:v>Formula references inspected</x:v>
      </x:c>
      <x:c r="G9" s="1904" t="str">
        <x:v>PASS</x:v>
      </x:c>
      <x:c r="H9" s="1904" t="str">
        <x:v>Independent reviewer approval</x:v>
      </x:c>
    </x:row>
    <x:row r="10">
      <x:c r="A10" s="1904" t="str">
        <x:v>V023-06</x:v>
      </x:c>
      <x:c r="B10" s="1904" t="str">
        <x:v>Scenario timing assumptions</x:v>
      </x:c>
      <x:c r="C10" s="1904" t="str">
        <x:v>SWF_Scenario; AB_Royalty_Reconciliation</x:v>
      </x:c>
      <x:c r="D10" s="1904" t="str">
        <x:v>Centralized mid-year deposit factor and fiscal-year blend weights.</x:v>
      </x:c>
      <x:c r="E10" s="1904" t="str">
        <x:v>Scenario assumptions remain visible and editable; not empirical evidence.</x:v>
      </x:c>
      <x:c r="F10" s="1904" t="str">
        <x:v>Formula references inspected</x:v>
      </x:c>
      <x:c r="G10" s="1904" t="str">
        <x:v>PASS</x:v>
      </x:c>
      <x:c r="H10" s="1904" t="str">
        <x:v>Scenario sensitivity review</x:v>
      </x:c>
    </x:row>
    <x:row r="11">
      <x:c r="A11" s="1904" t="str">
        <x:v>V023-07</x:v>
      </x:c>
      <x:c r="B11" s="1904" t="str">
        <x:v>Illustrative infrastructure inputs</x:v>
      </x:c>
      <x:c r="C11" s="1904" t="str">
        <x:v>Infrastructure_Gains; Model_Parameters</x:v>
      </x:c>
      <x:c r="D11" s="1904" t="str">
        <x:v>Moved project year, cost, affected land value and appreciation inputs to central parameter cells.</x:v>
      </x:c>
      <x:c r="E11" s="1904" t="str">
        <x:v>Local hardcodes no longer masquerade as project evidence.</x:v>
      </x:c>
      <x:c r="F11" s="1904" t="str">
        <x:v>Internal links verified</x:v>
      </x:c>
      <x:c r="G11" s="1904" t="str">
        <x:v>PASS</x:v>
      </x:c>
      <x:c r="H11" s="1904" t="str">
        <x:v>Replace illustration with actual project dossier</x:v>
      </x:c>
    </x:row>
    <x:row r="12">
      <x:c r="A12" s="1904" t="str">
        <x:v>V023-08</x:v>
      </x:c>
      <x:c r="B12" s="1904" t="str">
        <x:v>Assumption reclassification</x:v>
      </x:c>
      <x:c r="C12" s="1904" t="str">
        <x:v>Assumption_Register</x:v>
      </x:c>
      <x:c r="D12" s="1904" t="str">
        <x:v>Reviewed all 134 v0.21 assumed cells and distinguished true assumptions from observed values, period labels and missing zeros.</x:v>
      </x:c>
      <x:c r="E12" s="1904" t="str">
        <x:v>Creates an explicit canonical-location/disposition record.</x:v>
      </x:c>
      <x:c r="F12" s="1904" t="str">
        <x:v>Complete register written</x:v>
      </x:c>
      <x:c r="G12" s="1904" t="str">
        <x:v>PASS</x:v>
      </x:c>
      <x:c r="H12" s="1904" t="str">
        <x:v>Human review of medium/high rows</x:v>
      </x:c>
    </x:row>
  </x:sheetData>
  <x:mergeCells>
    <x:mergeCell ref="A1:H1"/>
    <x:mergeCell ref="A2:H2"/>
  </x:mergeCells>
  <x:pageMargins left="0.7" right="0.7" top="0.75" bottom="0.75" header="0.3" footer="0.3"/>
</x:worksheet>
</file>

<file path=xl/worksheets/sheet62.xml><?xml version="1.0" encoding="utf-8"?>
<x:worksheet xmlns:x="http://schemas.openxmlformats.org/spreadsheetml/2006/main">
  <x:sheetFormatPr defaultRowHeight="15"/>
  <x:cols>
    <x:col min="1" max="1" width="20" hidden="0" customWidth="1"/>
    <x:col min="2" max="2" width="33" hidden="0" customWidth="1"/>
    <x:col min="3" max="3" width="35" hidden="0" customWidth="1"/>
    <x:col min="4" max="4" width="35" hidden="0" customWidth="1"/>
    <x:col min="5" max="5" width="35" hidden="0" customWidth="1"/>
    <x:col min="6" max="6" width="23" hidden="0" customWidth="1"/>
    <x:col min="7" max="7" width="38" hidden="0" customWidth="1"/>
    <x:col min="8" max="8" width="35" hidden="0" customWidth="1"/>
  </x:cols>
  <x:sheetData>
    <x:row r="1" ht="28" customHeight="1">
      <x:c r="A1" s="1916" t="str">
        <x:v>Human Review — Start Here</x:v>
      </x:c>
      <x:c r="B1" s="1916"/>
      <x:c r="C1" s="1916"/>
      <x:c r="D1" s="1916"/>
      <x:c r="E1" s="1916"/>
      <x:c r="F1" s="1916"/>
      <x:c r="G1" s="1916"/>
      <x:c r="H1" s="1916"/>
    </x:row>
    <x:row r="2" ht="48" customHeight="1">
      <x:c r="A2" s="1920" t="str">
        <x:v>This review does not require you to be an economist. Your job is to verify that each source says what the workbook claims. When technical judgment is required, mark SPECIALIST NEEDED rather than guessing.</x:v>
      </x:c>
      <x:c r="B2" s="1920"/>
      <x:c r="C2" s="1920"/>
      <x:c r="D2" s="1920"/>
      <x:c r="E2" s="1920"/>
      <x:c r="F2" s="1920"/>
      <x:c r="G2" s="1920"/>
      <x:c r="H2" s="1920"/>
    </x:row>
    <x:row r="4">
      <x:c r="A4" s="1922" t="str">
        <x:v>The rule</x:v>
      </x:c>
      <x:c r="B4" s="1922"/>
      <x:c r="C4" s="1922"/>
      <x:c r="D4" s="1922"/>
      <x:c r="E4" s="1922"/>
      <x:c r="F4" s="1922"/>
      <x:c r="G4" s="1922"/>
      <x:c r="H4" s="1922"/>
    </x:row>
    <x:row r="5">
      <x:c r="A5" s="1926" t="str">
        <x:v>A source check passes only when the source opens and the workbook matches the source’s value or claim, reference period, units, data status and subject boundary. A technically complicated item is not your failure: mark SPECIALIST NEEDED and record what is unclear.</x:v>
      </x:c>
      <x:c r="B5" s="1926"/>
      <x:c r="C5" s="1926"/>
      <x:c r="D5" s="1926"/>
      <x:c r="E5" s="1926"/>
      <x:c r="F5" s="1926"/>
      <x:c r="G5" s="1926"/>
      <x:c r="H5" s="1926"/>
    </x:row>
    <x:row r="6">
      <x:c r="A6" s="1926"/>
      <x:c r="B6" s="1926"/>
      <x:c r="C6" s="1926"/>
      <x:c r="D6" s="1926"/>
      <x:c r="E6" s="1926"/>
      <x:c r="F6" s="1926"/>
      <x:c r="G6" s="1926"/>
      <x:c r="H6" s="1926"/>
    </x:row>
    <x:row r="7">
      <x:c r="A7" s="1926"/>
      <x:c r="B7" s="1926"/>
      <x:c r="C7" s="1926"/>
      <x:c r="D7" s="1926"/>
      <x:c r="E7" s="1926"/>
      <x:c r="F7" s="1926"/>
      <x:c r="G7" s="1926"/>
      <x:c r="H7" s="1926"/>
    </x:row>
    <x:row r="9">
      <x:c r="A9" s="1922" t="str">
        <x:v>Six checks for every source</x:v>
      </x:c>
      <x:c r="B9" s="1922"/>
      <x:c r="C9" s="1922"/>
      <x:c r="D9" s="1922"/>
      <x:c r="E9" s="1922"/>
      <x:c r="F9" s="1922"/>
      <x:c r="G9" s="1922"/>
      <x:c r="H9" s="1922"/>
    </x:row>
    <x:row r="10">
      <x:c r="A10" s="1938" t="str">
        <x:v>Check</x:v>
      </x:c>
      <x:c r="B10" s="1939" t="str">
        <x:v>Question</x:v>
      </x:c>
      <x:c r="C10" s="1939" t="str">
        <x:v>Mark YES when</x:v>
      </x:c>
      <x:c r="D10" s="1939" t="str">
        <x:v>Mark NO when</x:v>
      </x:c>
      <x:c r="E10" s="1939" t="str">
        <x:v>Mark UNCLEAR when</x:v>
      </x:c>
      <x:c r="F10" s="1939" t="str">
        <x:v>Your expertise needed?</x:v>
      </x:c>
      <x:c r="G10" s="1939" t="str">
        <x:v>Failure consequence</x:v>
      </x:c>
      <x:c r="H10" s="1940" t="str">
        <x:v>Example</x:v>
      </x:c>
    </x:row>
    <x:row r="11">
      <x:c r="A11" s="1945" t="str">
        <x:v>1. Source opens</x:v>
      </x:c>
      <x:c r="B11" s="1945" t="str">
        <x:v>Can you open the cited page or document?</x:v>
      </x:c>
      <x:c r="C11" s="1945" t="str">
        <x:v>The exact official page or PDF loads.</x:v>
      </x:c>
      <x:c r="D11" s="1945" t="str">
        <x:v>The link is broken or points elsewhere.</x:v>
      </x:c>
      <x:c r="E11" s="1945" t="str">
        <x:v>A login/archive problem prevents access.</x:v>
      </x:c>
      <x:c r="F11" s="1945" t="str">
        <x:v>No</x:v>
      </x:c>
      <x:c r="G11" s="1945" t="str">
        <x:v>Lineage cannot pass until source is accessible.</x:v>
      </x:c>
      <x:c r="H11" s="1945" t="str">
        <x:v>A Statistics Canada table page opens.</x:v>
      </x:c>
    </x:row>
    <x:row r="12">
      <x:c r="A12" s="1945" t="str">
        <x:v>2. Claim is present</x:v>
      </x:c>
      <x:c r="B12" s="1945" t="str">
        <x:v>Can you find the exact number or statement?</x:v>
      </x:c>
      <x:c r="C12" s="1945" t="str">
        <x:v>The same value or claim appears in the source.</x:v>
      </x:c>
      <x:c r="D12" s="1945" t="str">
        <x:v>The source gives a different value or does not say it.</x:v>
      </x:c>
      <x:c r="E12" s="1945" t="str">
        <x:v>The document is too complex to locate the item.</x:v>
      </x:c>
      <x:c r="F12" s="1945" t="str">
        <x:v>No</x:v>
      </x:c>
      <x:c r="G12" s="1945" t="str">
        <x:v>The workbook claim must be corrected or removed.</x:v>
      </x:c>
      <x:c r="H12" s="1945" t="str">
        <x:v>The source reports $21.986B.</x:v>
      </x:c>
    </x:row>
    <x:row r="13">
      <x:c r="A13" s="1945" t="str">
        <x:v>3. Period matches</x:v>
      </x:c>
      <x:c r="B13" s="1945" t="str">
        <x:v>Is the workbook using the correct year or fiscal year?</x:v>
      </x:c>
      <x:c r="C13" s="1945" t="str">
        <x:v>Calendar/fiscal period matches exactly.</x:v>
      </x:c>
      <x:c r="D13" s="1945" t="str">
        <x:v>Workbook says 2024 but source is 2023 or FY2024-25 without disclosure.</x:v>
      </x:c>
      <x:c r="E13" s="1945" t="str">
        <x:v>Source uses a period you do not understand.</x:v>
      </x:c>
      <x:c r="F13" s="1945" t="str">
        <x:v>No</x:v>
      </x:c>
      <x:c r="G13" s="1945" t="str">
        <x:v>The result may not be combined with other periods.</x:v>
      </x:c>
      <x:c r="H13" s="1945" t="str">
        <x:v>Calendar 2024 is not the same as FY2024-25.</x:v>
      </x:c>
    </x:row>
    <x:row r="14">
      <x:c r="A14" s="1945" t="str">
        <x:v>4. Units match</x:v>
      </x:c>
      <x:c r="B14" s="1945" t="str">
        <x:v>Are dollars, millions, billions, percentages or tonnes handled correctly?</x:v>
      </x:c>
      <x:c r="C14" s="1945" t="str">
        <x:v>The workbook conversion can be reproduced.</x:v>
      </x:c>
      <x:c r="D14" s="1945" t="str">
        <x:v>A million/billion, percent/decimal or currency conversion is wrong.</x:v>
      </x:c>
      <x:c r="E14" s="1945" t="str">
        <x:v>The source unit is unfamiliar.</x:v>
      </x:c>
      <x:c r="F14" s="1945" t="str">
        <x:v>Basic arithmetic only</x:v>
      </x:c>
      <x:c r="G14" s="1945" t="str">
        <x:v>The numeric claim fails.</x:v>
      </x:c>
      <x:c r="H14" s="1945" t="str">
        <x:v>$21,986M = $21.986B.</x:v>
      </x:c>
    </x:row>
    <x:row r="15">
      <x:c r="A15" s="1945" t="str">
        <x:v>5. Boundary matches</x:v>
      </x:c>
      <x:c r="B15" s="1945" t="str">
        <x:v>Is the source measuring the same thing as the workbook label?</x:v>
      </x:c>
      <x:c r="C15" s="1945" t="str">
        <x:v>Commodity, industry, geography and institution match.</x:v>
      </x:c>
      <x:c r="D15" s="1945" t="str">
        <x:v>The workbook uses a broader or narrower category without disclosure.</x:v>
      </x:c>
      <x:c r="E15" s="1945" t="str">
        <x:v>The classification is technical.</x:v>
      </x:c>
      <x:c r="F15" s="1945" t="str">
        <x:v>Often specialist</x:v>
      </x:c>
      <x:c r="G15" s="1945" t="str">
        <x:v>Mark SPECIALIST NEEDED; do not silently approve.</x:v>
      </x:c>
      <x:c r="H15" s="1945" t="str">
        <x:v>Oil-and-gas revenue is not automatically oil-sands rent.</x:v>
      </x:c>
    </x:row>
    <x:row r="16">
      <x:c r="A16" s="1946" t="str">
        <x:v>6. Transformation matches</x:v>
      </x:c>
      <x:c r="B16" s="1946" t="str">
        <x:v>Can you reproduce the workbook calculation from the cited inputs?</x:v>
      </x:c>
      <x:c r="C16" s="1946" t="str">
        <x:v>Addition, subtraction, scaling or ratio reproduces.</x:v>
      </x:c>
      <x:c r="D16" s="1946" t="str">
        <x:v>The calculation does not reproduce.</x:v>
      </x:c>
      <x:c r="E16" s="1946" t="str">
        <x:v>The method requires accounting/economic expertise.</x:v>
      </x:c>
      <x:c r="F16" s="1946" t="str">
        <x:v>Sometimes specialist</x:v>
      </x:c>
      <x:c r="G16" s="1946" t="str">
        <x:v>The calculated cell cannot pass.</x:v>
      </x:c>
      <x:c r="H16" s="1946" t="str">
        <x:v>Sum the included provincial rows.</x:v>
      </x:c>
    </x:row>
    <x:row r="18">
      <x:c r="A18" s="1922" t="str">
        <x:v>Decision rules</x:v>
      </x:c>
      <x:c r="B18" s="1922"/>
      <x:c r="C18" s="1922"/>
      <x:c r="D18" s="1922"/>
      <x:c r="E18" s="1922"/>
      <x:c r="F18" s="1922" t="str">
        <x:v>Review order</x:v>
      </x:c>
      <x:c r="G18" s="1922"/>
      <x:c r="H18" s="1922"/>
    </x:row>
    <x:row r="19">
      <x:c r="A19" s="1938" t="str">
        <x:v>Decision</x:v>
      </x:c>
      <x:c r="B19" s="1939" t="str">
        <x:v>Use it when</x:v>
      </x:c>
      <x:c r="C19" s="1939" t="str">
        <x:v>Meaning</x:v>
      </x:c>
      <x:c r="D19" s="1940" t="str">
        <x:v>Next action</x:v>
      </x:c>
      <x:c r="F19" s="1938" t="str">
        <x:v>Step</x:v>
      </x:c>
      <x:c r="G19" s="1939" t="str">
        <x:v>Do this</x:v>
      </x:c>
      <x:c r="H19" s="1940" t="str">
        <x:v>Stop rule</x:v>
      </x:c>
    </x:row>
    <x:row r="20">
      <x:c r="A20" s="1945" t="str">
        <x:v>PASS</x:v>
      </x:c>
      <x:c r="B20" s="1945" t="str">
        <x:v>All required checks are YES.</x:v>
      </x:c>
      <x:c r="C20" s="1945" t="str">
        <x:v>The source supports the workbook claim.</x:v>
      </x:c>
      <x:c r="D20" s="1945" t="str">
        <x:v>Record a short location note.</x:v>
      </x:c>
      <x:c r="F20" s="1945" t="str">
        <x:v>1</x:v>
      </x:c>
      <x:c r="G20" s="1945" t="str">
        <x:v>Complete the 14 REQUIRED sample rows first.</x:v>
      </x:c>
      <x:c r="H20" s="1945" t="str">
        <x:v>Stop a row when a material NO is found.</x:v>
      </x:c>
    </x:row>
    <x:row r="21">
      <x:c r="A21" s="1945" t="str">
        <x:v>PASS WITH NOTE</x:v>
      </x:c>
      <x:c r="B21" s="1945" t="str">
        <x:v>The source supports the claim but has an important limitation.</x:v>
      </x:c>
      <x:c r="C21" s="1945" t="str">
        <x:v>Usable only with the written qualification.</x:v>
      </x:c>
      <x:c r="D21" s="1945" t="str">
        <x:v>Confirm the limitation is visible in the workbook.</x:v>
      </x:c>
      <x:c r="F21" s="1945" t="str">
        <x:v>2</x:v>
      </x:c>
      <x:c r="G21" s="1945" t="str">
        <x:v>Complete the remaining rows only after the required sample.</x:v>
      </x:c>
      <x:c r="H21" s="1945" t="str">
        <x:v>Do not try to fix the source while reviewing.</x:v>
      </x:c>
    </x:row>
    <x:row r="22">
      <x:c r="A22" s="1945" t="str">
        <x:v>FAIL</x:v>
      </x:c>
      <x:c r="B22" s="1945" t="str">
        <x:v>Any material check is NO.</x:v>
      </x:c>
      <x:c r="C22" s="1945" t="str">
        <x:v>The workbook claim is wrong, unsupported or mislabelled.</x:v>
      </x:c>
      <x:c r="D22" s="1945" t="str">
        <x:v>Do not repair it by guessing; add it to the correction queue.</x:v>
      </x:c>
      <x:c r="F22" s="1945" t="str">
        <x:v>3</x:v>
      </x:c>
      <x:c r="G22" s="1945" t="str">
        <x:v>Use exact page/table/line notes where possible.</x:v>
      </x:c>
      <x:c r="H22" s="1945" t="str">
        <x:v>Do not write “looks right.”</x:v>
      </x:c>
    </x:row>
    <x:row r="23">
      <x:c r="A23" s="1945" t="str">
        <x:v>SPECIALIST NEEDED</x:v>
      </x:c>
      <x:c r="B23" s="1945" t="str">
        <x:v>The source is present but the boundary/method is beyond a mechanical check.</x:v>
      </x:c>
      <x:c r="C23" s="1945" t="str">
        <x:v>No approval has been granted.</x:v>
      </x:c>
      <x:c r="D23" s="1945" t="str">
        <x:v>Send the exact question and source to a qualified reviewer.</x:v>
      </x:c>
      <x:c r="F23" s="1945" t="str">
        <x:v>4</x:v>
      </x:c>
      <x:c r="G23" s="1945" t="str">
        <x:v>Review Threshold_Approval separately.</x:v>
      </x:c>
      <x:c r="H23" s="1945" t="str">
        <x:v>You are not expected to approve specialist thresholds.</x:v>
      </x:c>
    </x:row>
    <x:row r="24">
      <x:c r="A24" s="1946" t="str">
        <x:v>NOT APPLICABLE</x:v>
      </x:c>
      <x:c r="B24" s="1946" t="str">
        <x:v>The item is metadata, missing evidence or a reclassification.</x:v>
      </x:c>
      <x:c r="C24" s="1946" t="str">
        <x:v>No factual source check is required.</x:v>
      </x:c>
      <x:c r="D24" s="1946" t="str">
        <x:v>Confirm the workbook does not present it as observed.</x:v>
      </x:c>
      <x:c r="F24" s="1946" t="str">
        <x:v>5</x:v>
      </x:c>
      <x:c r="G24" s="1946" t="str">
        <x:v>Check Review_Summary for unresolved items.</x:v>
      </x:c>
      <x:c r="H24" s="1946" t="str">
        <x:v>Publication stays locked while any required item fails or needs a specialist.</x:v>
      </x:c>
    </x:row>
    <x:row r="27">
      <x:c r="A27" s="1922" t="str">
        <x:v>What you are not being asked to decide</x:v>
      </x:c>
      <x:c r="B27" s="1922"/>
      <x:c r="C27" s="1922"/>
      <x:c r="D27" s="1922"/>
      <x:c r="E27" s="1922"/>
      <x:c r="F27" s="1922"/>
      <x:c r="G27" s="1922"/>
      <x:c r="H27" s="1922"/>
    </x:row>
    <x:row r="28">
      <x:c r="A28" s="1950" t="str">
        <x:v>You are not being asked to prove the entire economic model, judge whether Canada should adopt the policy, or personally certify national-accounts methodology. You are checking whether the evidence trail is honest and reproducible. For technical boundaries, the correct answer is often SPECIALIST NEEDED.</x:v>
      </x:c>
      <x:c r="B28" s="1950"/>
      <x:c r="C28" s="1950"/>
      <x:c r="D28" s="1950"/>
      <x:c r="E28" s="1950"/>
      <x:c r="F28" s="1950"/>
      <x:c r="G28" s="1950"/>
      <x:c r="H28" s="1950"/>
    </x:row>
    <x:row r="29">
      <x:c r="A29" s="1950"/>
      <x:c r="B29" s="1950"/>
      <x:c r="C29" s="1950"/>
      <x:c r="D29" s="1950"/>
      <x:c r="E29" s="1950"/>
      <x:c r="F29" s="1950"/>
      <x:c r="G29" s="1950"/>
      <x:c r="H29" s="1950"/>
    </x:row>
    <x:row r="30">
      <x:c r="A30" s="1950"/>
      <x:c r="B30" s="1950"/>
      <x:c r="C30" s="1950"/>
      <x:c r="D30" s="1950"/>
      <x:c r="E30" s="1950"/>
      <x:c r="F30" s="1950"/>
      <x:c r="G30" s="1950"/>
      <x:c r="H30" s="1950"/>
    </x:row>
    <x:row r="31">
      <x:c r="A31" s="1950"/>
      <x:c r="B31" s="1950"/>
      <x:c r="C31" s="1950"/>
      <x:c r="D31" s="1950"/>
      <x:c r="E31" s="1950"/>
      <x:c r="F31" s="1950"/>
      <x:c r="G31" s="1950"/>
      <x:c r="H31" s="1950"/>
    </x:row>
  </x:sheetData>
  <x:mergeCells>
    <x:mergeCell ref="A1:H1"/>
    <x:mergeCell ref="A2:H2"/>
    <x:mergeCell ref="A4:H4"/>
    <x:mergeCell ref="A5:H7"/>
    <x:mergeCell ref="A9:H9"/>
    <x:mergeCell ref="A18:H18"/>
    <x:mergeCell ref="F18:H18"/>
    <x:mergeCell ref="A27:H27"/>
    <x:mergeCell ref="A28:H31"/>
  </x:mergeCells>
  <x:pageMargins left="0.7" right="0.7" top="0.75" bottom="0.75" header="0.3" footer="0.3"/>
</x:worksheet>
</file>

<file path=xl/worksheets/sheet63.xml><?xml version="1.0" encoding="utf-8"?>
<x:worksheet xmlns:x="http://schemas.openxmlformats.org/spreadsheetml/2006/main">
  <x:sheetFormatPr defaultRowHeight="15"/>
  <x:cols>
    <x:col min="1" max="1" width="18" hidden="0" customWidth="1"/>
    <x:col min="2" max="2" width="12" hidden="0" customWidth="1"/>
    <x:col min="3" max="3" width="31" hidden="0" customWidth="1"/>
    <x:col min="4" max="4" width="39" hidden="0" customWidth="1"/>
    <x:col min="5" max="5" width="25" hidden="0" customWidth="1"/>
    <x:col min="6" max="6" width="37" hidden="0" customWidth="1"/>
    <x:col min="7" max="7" width="48" hidden="0" customWidth="1"/>
    <x:col min="8" max="8" width="17" hidden="0" customWidth="1"/>
    <x:col min="9" max="9" width="15" hidden="0" customWidth="1"/>
    <x:col min="10" max="10" width="16" hidden="0" customWidth="1"/>
    <x:col min="11" max="11" width="16" hidden="0" customWidth="1"/>
    <x:col min="12" max="12" width="16" hidden="0" customWidth="1"/>
    <x:col min="13" max="13" width="15" hidden="0" customWidth="1"/>
    <x:col min="14" max="14" width="18" hidden="0" customWidth="1"/>
    <x:col min="15" max="15" width="21" hidden="0" customWidth="1"/>
    <x:col min="16" max="16" width="20" hidden="0" customWidth="1"/>
    <x:col min="17" max="17" width="13" hidden="0" customWidth="1"/>
    <x:col min="18" max="18" width="39" hidden="0" customWidth="1"/>
    <x:col min="19" max="19" width="42" hidden="0" customWidth="1"/>
    <x:col min="20" max="20" width="42" hidden="0" customWidth="1"/>
  </x:cols>
  <x:sheetData>
    <x:row r="1" ht="28" customHeight="1">
      <x:c r="A1" s="1916" t="str">
        <x:v>Human Source Spot-Check</x:v>
      </x:c>
      <x:c r="B1" s="1916"/>
      <x:c r="C1" s="1916"/>
      <x:c r="D1" s="1916"/>
      <x:c r="E1" s="1916"/>
      <x:c r="F1" s="1916"/>
      <x:c r="G1" s="1916"/>
      <x:c r="H1" s="1916"/>
      <x:c r="I1" s="1916"/>
      <x:c r="J1" s="1916"/>
      <x:c r="K1" s="1916"/>
      <x:c r="L1" s="1916"/>
      <x:c r="M1" s="1916"/>
      <x:c r="N1" s="1916"/>
      <x:c r="O1" s="1916"/>
      <x:c r="P1" s="1916"/>
      <x:c r="Q1" s="1916"/>
      <x:c r="R1" s="1916"/>
      <x:c r="S1" s="1916"/>
      <x:c r="T1" s="1916"/>
    </x:row>
    <x:row r="2" ht="48" customHeight="1">
      <x:c r="A2" s="1920" t="str">
        <x:v>The first 14 rows form the required sample. Use the dropdowns; add a precise note showing where the value or claim was found.</x:v>
      </x:c>
      <x:c r="B2" s="1920"/>
      <x:c r="C2" s="1920"/>
      <x:c r="D2" s="1920"/>
      <x:c r="E2" s="1920"/>
      <x:c r="F2" s="1920"/>
      <x:c r="G2" s="1920"/>
      <x:c r="H2" s="1920"/>
      <x:c r="I2" s="1920"/>
      <x:c r="J2" s="1920"/>
      <x:c r="K2" s="1920"/>
      <x:c r="L2" s="1920"/>
      <x:c r="M2" s="1920"/>
      <x:c r="N2" s="1920"/>
      <x:c r="O2" s="1920"/>
      <x:c r="P2" s="1920"/>
      <x:c r="Q2" s="1920"/>
      <x:c r="R2" s="1920"/>
      <x:c r="S2" s="1920"/>
      <x:c r="T2" s="1920"/>
    </x:row>
    <x:row r="4">
      <x:c r="A4" s="1938" t="str">
        <x:v>Priority</x:v>
      </x:c>
      <x:c r="B4" s="1939" t="str">
        <x:v>Lineage ID</x:v>
      </x:c>
      <x:c r="C4" s="1939" t="str">
        <x:v>Target cell / range</x:v>
      </x:c>
      <x:c r="D4" s="1939" t="str">
        <x:v>Claim / measure</x:v>
      </x:c>
      <x:c r="E4" s="1939" t="str">
        <x:v>Workbook value / formula</x:v>
      </x:c>
      <x:c r="F4" s="1939" t="str">
        <x:v>Official source / table</x:v>
      </x:c>
      <x:c r="G4" s="1939" t="str">
        <x:v>Source URL</x:v>
      </x:c>
      <x:c r="H4" s="1939" t="str">
        <x:v>Reference period</x:v>
      </x:c>
      <x:c r="I4" s="1939" t="str">
        <x:v>Units</x:v>
      </x:c>
      <x:c r="J4" s="1939" t="str">
        <x:v>Source opens?</x:v>
      </x:c>
      <x:c r="K4" s="1939" t="str">
        <x:v>Claim found?</x:v>
      </x:c>
      <x:c r="L4" s="1939" t="str">
        <x:v>Period matches?</x:v>
      </x:c>
      <x:c r="M4" s="1939" t="str">
        <x:v>Units match?</x:v>
      </x:c>
      <x:c r="N4" s="1939" t="str">
        <x:v>Boundary matches?</x:v>
      </x:c>
      <x:c r="O4" s="1939" t="str">
        <x:v>Transformation correct?</x:v>
      </x:c>
      <x:c r="P4" s="1939" t="str">
        <x:v>Reviewer decision</x:v>
      </x:c>
      <x:c r="Q4" s="1939" t="str">
        <x:v>Confidence</x:v>
      </x:c>
      <x:c r="R4" s="1939" t="str">
        <x:v>Exact source location / page / row</x:v>
      </x:c>
      <x:c r="S4" s="1939" t="str">
        <x:v>Reviewer notes</x:v>
      </x:c>
      <x:c r="T4" s="1940" t="str">
        <x:v>Escalation question</x:v>
      </x:c>
    </x:row>
    <x:row r="5">
      <x:c r="A5" s="1945" t="str">
        <x:v>REQUIRED SAMPLE</x:v>
      </x:c>
      <x:c r="B5" s="1945" t="str">
        <x:v>LIN-001</x:v>
      </x:c>
      <x:c r="C5" s="1945" t="str">
        <x:v>CGFS_Rent_Components!C5:H18</x:v>
      </x:c>
      <x:c r="D5" s="1945" t="str">
        <x:v>Government-finance rent components by jurisdiction</x:v>
      </x:c>
      <x:c r="E5" s="1945" t="str">
        <x:v>82 imported observations</x:v>
      </x:c>
      <x:c r="F5" s="1945" t="str">
        <x:v>Statistics Canada table 10-10-0016-01</x:v>
      </x:c>
      <x:c r="G5" s="1945" t="str">
        <x:v>https://www150.statcan.gc.ca/t1/tbl1/en/tv.action?pid=1010001601</x:v>
      </x:c>
      <x:c r="H5" s="1945" t="str">
        <x:v>2024</x:v>
      </x:c>
      <x:c r="I5" s="1945" t="str">
        <x:v>$B</x:v>
      </x:c>
      <x:c r="J5" s="1945" t="str">
        <x:v>NOT REVIEWED</x:v>
      </x:c>
      <x:c r="K5" s="1945" t="str">
        <x:v>NOT REVIEWED</x:v>
      </x:c>
      <x:c r="L5" s="1945" t="str">
        <x:v>NOT REVIEWED</x:v>
      </x:c>
      <x:c r="M5" s="1945" t="str">
        <x:v>NOT REVIEWED</x:v>
      </x:c>
      <x:c r="N5" s="1945" t="str">
        <x:v>NOT REVIEWED</x:v>
      </x:c>
      <x:c r="O5" s="1945" t="str">
        <x:v>NOT REVIEWED</x:v>
      </x:c>
      <x:c r="P5" s="1945" t="str">
        <x:v>NOT REVIEWED</x:v>
      </x:c>
      <x:c r="Q5" s="1945" t="str">
        <x:v>NOT SET</x:v>
      </x:c>
      <x:c r="R5" s="1945" t="str"/>
      <x:c r="S5" s="1945" t="str"/>
      <x:c r="T5" s="1945" t="str"/>
    </x:row>
    <x:row r="6">
      <x:c r="A6" s="1945" t="str">
        <x:v>SECONDARY</x:v>
      </x:c>
      <x:c r="B6" s="1945" t="str">
        <x:v>LIN-002</x:v>
      </x:c>
      <x:c r="C6" s="1945" t="str">
        <x:v>Evidence_Dashboard!B6</x:v>
      </x:c>
      <x:c r="D6" s="1945" t="str">
        <x:v>Balanced CGFS jurisdictions</x:v>
      </x:c>
      <x:c r="E6" s="1945" t="n">
        <x:f>COUNTA(CGFS_Rent_Components!K5:K18)</x:f>
        <x:v>14</x:v>
      </x:c>
      <x:c r="F6" s="1945" t="str">
        <x:v>Internal balance tests over LIN-001</x:v>
      </x:c>
      <x:c r="G6" s="1945" t="str"/>
      <x:c r="H6" s="1945" t="str">
        <x:v>2024</x:v>
      </x:c>
      <x:c r="I6" s="1945" t="str">
        <x:v>count</x:v>
      </x:c>
      <x:c r="J6" s="1945" t="str">
        <x:v>NOT REVIEWED</x:v>
      </x:c>
      <x:c r="K6" s="1945" t="str">
        <x:v>NOT REVIEWED</x:v>
      </x:c>
      <x:c r="L6" s="1945" t="str">
        <x:v>NOT REVIEWED</x:v>
      </x:c>
      <x:c r="M6" s="1945" t="str">
        <x:v>NOT REVIEWED</x:v>
      </x:c>
      <x:c r="N6" s="1945" t="str">
        <x:v>NOT REVIEWED</x:v>
      </x:c>
      <x:c r="O6" s="1945" t="str">
        <x:v>NOT REVIEWED</x:v>
      </x:c>
      <x:c r="P6" s="1945" t="str">
        <x:v>NOT REVIEWED</x:v>
      </x:c>
      <x:c r="Q6" s="1945" t="str">
        <x:v>NOT SET</x:v>
      </x:c>
      <x:c r="R6" s="1945" t="str"/>
      <x:c r="S6" s="1945" t="str"/>
      <x:c r="T6" s="1945" t="str"/>
    </x:row>
    <x:row r="7">
      <x:c r="A7" s="1945" t="str">
        <x:v>REQUIRED SAMPLE</x:v>
      </x:c>
      <x:c r="B7" s="1945" t="str">
        <x:v>LIN-003</x:v>
      </x:c>
      <x:c r="C7" s="1945" t="str">
        <x:v>Evidence_Dashboard!B7</x:v>
      </x:c>
      <x:c r="D7" s="1945" t="str">
        <x:v>Standardized CGFS rent total</x:v>
      </x:c>
      <x:c r="E7" s="1945" t="n">
        <x:f>SUM(CGFS_Rent_Components!C5:C18)</x:f>
        <x:v>30.074</x:v>
      </x:c>
      <x:c r="F7" s="1945" t="str">
        <x:v>Statistics Canada table 10-10-0016-01</x:v>
      </x:c>
      <x:c r="G7" s="1945" t="str">
        <x:v>https://www150.statcan.gc.ca/t1/tbl1/en/tv.action?pid=1010001601</x:v>
      </x:c>
      <x:c r="H7" s="1945" t="str">
        <x:v>2024</x:v>
      </x:c>
      <x:c r="I7" s="1945" t="str">
        <x:v>$B</x:v>
      </x:c>
      <x:c r="J7" s="1945" t="str">
        <x:v>NOT REVIEWED</x:v>
      </x:c>
      <x:c r="K7" s="1945" t="str">
        <x:v>NOT REVIEWED</x:v>
      </x:c>
      <x:c r="L7" s="1945" t="str">
        <x:v>NOT REVIEWED</x:v>
      </x:c>
      <x:c r="M7" s="1945" t="str">
        <x:v>NOT REVIEWED</x:v>
      </x:c>
      <x:c r="N7" s="1945" t="str">
        <x:v>NOT REVIEWED</x:v>
      </x:c>
      <x:c r="O7" s="1945" t="str">
        <x:v>NOT REVIEWED</x:v>
      </x:c>
      <x:c r="P7" s="1945" t="str">
        <x:v>NOT REVIEWED</x:v>
      </x:c>
      <x:c r="Q7" s="1945" t="str">
        <x:v>NOT SET</x:v>
      </x:c>
      <x:c r="R7" s="1945" t="str"/>
      <x:c r="S7" s="1945" t="str"/>
      <x:c r="T7" s="1945" t="str"/>
    </x:row>
    <x:row r="8">
      <x:c r="A8" s="1945" t="str">
        <x:v>REQUIRED SAMPLE</x:v>
      </x:c>
      <x:c r="B8" s="1945" t="str">
        <x:v>LIN-004</x:v>
      </x:c>
      <x:c r="C8" s="1945" t="str">
        <x:v>Royalty_Capture!C6:G6</x:v>
      </x:c>
      <x:c r="D8" s="1945" t="str">
        <x:v>Newfoundland and Labrador resource-revenue components</x:v>
      </x:c>
      <x:c r="E8" s="1945" t="str">
        <x:v>Direct public-account entries</x:v>
      </x:c>
      <x:c r="F8" s="1945" t="str">
        <x:v>Newfoundland and Labrador Public Accounts</x:v>
      </x:c>
      <x:c r="G8" s="1945" t="str">
        <x:v>https://www.gov.nl.ca/exec/tbs/files/Cash-Statements-2025-with-signed-letter-Final.pdf</x:v>
      </x:c>
      <x:c r="H8" s="1945" t="str">
        <x:v>2024-25</x:v>
      </x:c>
      <x:c r="I8" s="1945" t="str">
        <x:v>$B</x:v>
      </x:c>
      <x:c r="J8" s="1945" t="str">
        <x:v>NOT REVIEWED</x:v>
      </x:c>
      <x:c r="K8" s="1945" t="str">
        <x:v>NOT REVIEWED</x:v>
      </x:c>
      <x:c r="L8" s="1945" t="str">
        <x:v>NOT REVIEWED</x:v>
      </x:c>
      <x:c r="M8" s="1945" t="str">
        <x:v>NOT REVIEWED</x:v>
      </x:c>
      <x:c r="N8" s="1945" t="str">
        <x:v>NOT REVIEWED</x:v>
      </x:c>
      <x:c r="O8" s="1945" t="str">
        <x:v>NOT REVIEWED</x:v>
      </x:c>
      <x:c r="P8" s="1945" t="str">
        <x:v>NOT REVIEWED</x:v>
      </x:c>
      <x:c r="Q8" s="1945" t="str">
        <x:v>NOT SET</x:v>
      </x:c>
      <x:c r="R8" s="1945" t="str"/>
      <x:c r="S8" s="1945" t="str"/>
      <x:c r="T8" s="1945" t="str"/>
    </x:row>
    <x:row r="9">
      <x:c r="A9" s="1945" t="str">
        <x:v>SECONDARY</x:v>
      </x:c>
      <x:c r="B9" s="1945" t="str">
        <x:v>LIN-005</x:v>
      </x:c>
      <x:c r="C9" s="1945" t="str">
        <x:v>Royalty_Capture!C9:G9</x:v>
      </x:c>
      <x:c r="D9" s="1945" t="str">
        <x:v>New Brunswick royalties and selected resource leases</x:v>
      </x:c>
      <x:c r="E9" s="1945" t="str">
        <x:v>Direct public-account entries</x:v>
      </x:c>
      <x:c r="F9" s="1945" t="str">
        <x:v>New Brunswick Public Accounts Volume 2</x:v>
      </x:c>
      <x:c r="G9" s="1945" t="str">
        <x:v>https://www.gnb.ca/content/dam/GNB3/org/ftb-fct/doc/2025-public-accounts-vol-2-comptes-publics-vol-2.pdf</x:v>
      </x:c>
      <x:c r="H9" s="1945" t="str">
        <x:v>2024-25</x:v>
      </x:c>
      <x:c r="I9" s="1945" t="str">
        <x:v>$B</x:v>
      </x:c>
      <x:c r="J9" s="1945" t="str">
        <x:v>NOT REVIEWED</x:v>
      </x:c>
      <x:c r="K9" s="1945" t="str">
        <x:v>NOT REVIEWED</x:v>
      </x:c>
      <x:c r="L9" s="1945" t="str">
        <x:v>NOT REVIEWED</x:v>
      </x:c>
      <x:c r="M9" s="1945" t="str">
        <x:v>NOT REVIEWED</x:v>
      </x:c>
      <x:c r="N9" s="1945" t="str">
        <x:v>NOT REVIEWED</x:v>
      </x:c>
      <x:c r="O9" s="1945" t="str">
        <x:v>NOT REVIEWED</x:v>
      </x:c>
      <x:c r="P9" s="1945" t="str">
        <x:v>NOT REVIEWED</x:v>
      </x:c>
      <x:c r="Q9" s="1945" t="str">
        <x:v>NOT SET</x:v>
      </x:c>
      <x:c r="R9" s="1945" t="str"/>
      <x:c r="S9" s="1945" t="str"/>
      <x:c r="T9" s="1945" t="str"/>
    </x:row>
    <x:row r="10">
      <x:c r="A10" s="1945" t="str">
        <x:v>SECONDARY</x:v>
      </x:c>
      <x:c r="B10" s="1945" t="str">
        <x:v>LIN-006</x:v>
      </x:c>
      <x:c r="C10" s="1945" t="str">
        <x:v>Royalty_Capture!C10:G10</x:v>
      </x:c>
      <x:c r="D10" s="1945" t="str">
        <x:v>Quebec mining duties and listed surface-mineral royalties</x:v>
      </x:c>
      <x:c r="E10" s="1945" t="str">
        <x:v>Direct government entries</x:v>
      </x:c>
      <x:c r="F10" s="1945" t="str">
        <x:v>Government of Quebec mining royalty data</x:v>
      </x:c>
      <x:c r="G10" s="1945" t="str">
        <x:v>https://www.quebec.ca/agriculture-environnement-et-ressources-naturelles/mines/donnees-cartes-minieres/quantites-valeurs-redevances</x:v>
      </x:c>
      <x:c r="H10" s="1945" t="str">
        <x:v>2024</x:v>
      </x:c>
      <x:c r="I10" s="1945" t="str">
        <x:v>$B</x:v>
      </x:c>
      <x:c r="J10" s="1945" t="str">
        <x:v>NOT REVIEWED</x:v>
      </x:c>
      <x:c r="K10" s="1945" t="str">
        <x:v>NOT REVIEWED</x:v>
      </x:c>
      <x:c r="L10" s="1945" t="str">
        <x:v>NOT REVIEWED</x:v>
      </x:c>
      <x:c r="M10" s="1945" t="str">
        <x:v>NOT REVIEWED</x:v>
      </x:c>
      <x:c r="N10" s="1945" t="str">
        <x:v>NOT REVIEWED</x:v>
      </x:c>
      <x:c r="O10" s="1945" t="str">
        <x:v>NOT REVIEWED</x:v>
      </x:c>
      <x:c r="P10" s="1945" t="str">
        <x:v>NOT REVIEWED</x:v>
      </x:c>
      <x:c r="Q10" s="1945" t="str">
        <x:v>NOT SET</x:v>
      </x:c>
      <x:c r="R10" s="1945" t="str"/>
      <x:c r="S10" s="1945" t="str"/>
      <x:c r="T10" s="1945" t="str"/>
    </x:row>
    <x:row r="11">
      <x:c r="A11" s="1945" t="str">
        <x:v>SECONDARY</x:v>
      </x:c>
      <x:c r="B11" s="1945" t="str">
        <x:v>LIN-007</x:v>
      </x:c>
      <x:c r="C11" s="1945" t="str">
        <x:v>Royalty_Capture!C11:G11</x:v>
      </x:c>
      <x:c r="D11" s="1945" t="str">
        <x:v>Ontario royalty line</x:v>
      </x:c>
      <x:c r="E11" s="1945" t="str">
        <x:v>Direct public-account entry</x:v>
      </x:c>
      <x:c r="F11" s="1945" t="str">
        <x:v>Ontario Public Accounts 2024-25</x:v>
      </x:c>
      <x:c r="G11" s="1945" t="str">
        <x:v>https://www.ontario.ca/page/public-accounts-2024-25-annual-report</x:v>
      </x:c>
      <x:c r="H11" s="1945" t="str">
        <x:v>2024-25</x:v>
      </x:c>
      <x:c r="I11" s="1945" t="str">
        <x:v>$B</x:v>
      </x:c>
      <x:c r="J11" s="1945" t="str">
        <x:v>NOT REVIEWED</x:v>
      </x:c>
      <x:c r="K11" s="1945" t="str">
        <x:v>NOT REVIEWED</x:v>
      </x:c>
      <x:c r="L11" s="1945" t="str">
        <x:v>NOT REVIEWED</x:v>
      </x:c>
      <x:c r="M11" s="1945" t="str">
        <x:v>NOT REVIEWED</x:v>
      </x:c>
      <x:c r="N11" s="1945" t="str">
        <x:v>NOT REVIEWED</x:v>
      </x:c>
      <x:c r="O11" s="1945" t="str">
        <x:v>NOT REVIEWED</x:v>
      </x:c>
      <x:c r="P11" s="1945" t="str">
        <x:v>NOT REVIEWED</x:v>
      </x:c>
      <x:c r="Q11" s="1945" t="str">
        <x:v>NOT SET</x:v>
      </x:c>
      <x:c r="R11" s="1945" t="str"/>
      <x:c r="S11" s="1945" t="str"/>
      <x:c r="T11" s="1945" t="str"/>
    </x:row>
    <x:row r="12">
      <x:c r="A12" s="1945" t="str">
        <x:v>REQUIRED SAMPLE</x:v>
      </x:c>
      <x:c r="B12" s="1945" t="str">
        <x:v>LIN-008</x:v>
      </x:c>
      <x:c r="C12" s="1945" t="str">
        <x:v>Royalty_Capture!C13:G13</x:v>
      </x:c>
      <x:c r="D12" s="1945" t="str">
        <x:v>Saskatchewan resource revenue and surcharge</x:v>
      </x:c>
      <x:c r="E12" s="1945" t="str">
        <x:v>Direct public-account entries</x:v>
      </x:c>
      <x:c r="F12" s="1945" t="str">
        <x:v>Saskatchewan Public Accounts 2024-25</x:v>
      </x:c>
      <x:c r="G12" s="1945" t="str">
        <x:v>https://www.saskatchewan.ca/-/media/news-release-backgrounders/2025/jun/2024-25-public-accounts-volume-1-4751.pdf</x:v>
      </x:c>
      <x:c r="H12" s="1945" t="str">
        <x:v>2024-25</x:v>
      </x:c>
      <x:c r="I12" s="1945" t="str">
        <x:v>$B</x:v>
      </x:c>
      <x:c r="J12" s="1945" t="str">
        <x:v>NOT REVIEWED</x:v>
      </x:c>
      <x:c r="K12" s="1945" t="str">
        <x:v>NOT REVIEWED</x:v>
      </x:c>
      <x:c r="L12" s="1945" t="str">
        <x:v>NOT REVIEWED</x:v>
      </x:c>
      <x:c r="M12" s="1945" t="str">
        <x:v>NOT REVIEWED</x:v>
      </x:c>
      <x:c r="N12" s="1945" t="str">
        <x:v>NOT REVIEWED</x:v>
      </x:c>
      <x:c r="O12" s="1945" t="str">
        <x:v>NOT REVIEWED</x:v>
      </x:c>
      <x:c r="P12" s="1945" t="str">
        <x:v>NOT REVIEWED</x:v>
      </x:c>
      <x:c r="Q12" s="1945" t="str">
        <x:v>NOT SET</x:v>
      </x:c>
      <x:c r="R12" s="1945" t="str"/>
      <x:c r="S12" s="1945" t="str"/>
      <x:c r="T12" s="1945" t="str"/>
    </x:row>
    <x:row r="13">
      <x:c r="A13" s="1945" t="str">
        <x:v>REQUIRED SAMPLE</x:v>
      </x:c>
      <x:c r="B13" s="1945" t="str">
        <x:v>LIN-009</x:v>
      </x:c>
      <x:c r="C13" s="1945" t="str">
        <x:v>Royalty_Capture!C14:G14</x:v>
      </x:c>
      <x:c r="D13" s="1945" t="str">
        <x:v>Alberta non-renewable resource revenue</x:v>
      </x:c>
      <x:c r="E13" s="1945" t="str">
        <x:v>Direct public-account total</x:v>
      </x:c>
      <x:c r="F13" s="1945" t="str">
        <x:v>Government of Alberta revenue / final results</x:v>
      </x:c>
      <x:c r="G13" s="1945" t="str">
        <x:v>https://www.alberta.ca/revenue</x:v>
      </x:c>
      <x:c r="H13" s="1945" t="str">
        <x:v>2024-25</x:v>
      </x:c>
      <x:c r="I13" s="1945" t="str">
        <x:v>$B</x:v>
      </x:c>
      <x:c r="J13" s="1945" t="str">
        <x:v>NOT REVIEWED</x:v>
      </x:c>
      <x:c r="K13" s="1945" t="str">
        <x:v>NOT REVIEWED</x:v>
      </x:c>
      <x:c r="L13" s="1945" t="str">
        <x:v>NOT REVIEWED</x:v>
      </x:c>
      <x:c r="M13" s="1945" t="str">
        <x:v>NOT REVIEWED</x:v>
      </x:c>
      <x:c r="N13" s="1945" t="str">
        <x:v>NOT REVIEWED</x:v>
      </x:c>
      <x:c r="O13" s="1945" t="str">
        <x:v>NOT REVIEWED</x:v>
      </x:c>
      <x:c r="P13" s="1945" t="str">
        <x:v>NOT REVIEWED</x:v>
      </x:c>
      <x:c r="Q13" s="1945" t="str">
        <x:v>NOT SET</x:v>
      </x:c>
      <x:c r="R13" s="1945" t="str"/>
      <x:c r="S13" s="1945" t="str"/>
      <x:c r="T13" s="1945" t="str"/>
    </x:row>
    <x:row r="14">
      <x:c r="A14" s="1945" t="str">
        <x:v>SECONDARY</x:v>
      </x:c>
      <x:c r="B14" s="1945" t="str">
        <x:v>LIN-010</x:v>
      </x:c>
      <x:c r="C14" s="1945" t="str">
        <x:v>Royalty_Capture!C15:G15</x:v>
      </x:c>
      <x:c r="D14" s="1945" t="str">
        <x:v>British Columbia natural-resource revenue</x:v>
      </x:c>
      <x:c r="E14" s="1945" t="str">
        <x:v>Direct public-account total</x:v>
      </x:c>
      <x:c r="F14" s="1945" t="str">
        <x:v>British Columbia Public Accounts</x:v>
      </x:c>
      <x:c r="G14" s="1945" t="str">
        <x:v>https://www2.gov.bc.ca/gov/content/governments/finances/public-accounts</x:v>
      </x:c>
      <x:c r="H14" s="1945" t="str">
        <x:v>2024-25</x:v>
      </x:c>
      <x:c r="I14" s="1945" t="str">
        <x:v>$B</x:v>
      </x:c>
      <x:c r="J14" s="1945" t="str">
        <x:v>NOT REVIEWED</x:v>
      </x:c>
      <x:c r="K14" s="1945" t="str">
        <x:v>NOT REVIEWED</x:v>
      </x:c>
      <x:c r="L14" s="1945" t="str">
        <x:v>NOT REVIEWED</x:v>
      </x:c>
      <x:c r="M14" s="1945" t="str">
        <x:v>NOT REVIEWED</x:v>
      </x:c>
      <x:c r="N14" s="1945" t="str">
        <x:v>NOT REVIEWED</x:v>
      </x:c>
      <x:c r="O14" s="1945" t="str">
        <x:v>NOT REVIEWED</x:v>
      </x:c>
      <x:c r="P14" s="1945" t="str">
        <x:v>NOT REVIEWED</x:v>
      </x:c>
      <x:c r="Q14" s="1945" t="str">
        <x:v>NOT SET</x:v>
      </x:c>
      <x:c r="R14" s="1945" t="str"/>
      <x:c r="S14" s="1945" t="str"/>
      <x:c r="T14" s="1945" t="str"/>
    </x:row>
    <x:row r="15">
      <x:c r="A15" s="1945" t="str">
        <x:v>SECONDARY</x:v>
      </x:c>
      <x:c r="B15" s="1945" t="str">
        <x:v>LIN-011</x:v>
      </x:c>
      <x:c r="C15" s="1945" t="str">
        <x:v>Royalty_Capture!C17:G17</x:v>
      </x:c>
      <x:c r="D15" s="1945" t="str">
        <x:v>Northwest Territories non-renewable resource revenue</x:v>
      </x:c>
      <x:c r="E15" s="1945" t="str">
        <x:v>Direct audited entry</x:v>
      </x:c>
      <x:c r="F15" s="1945" t="str">
        <x:v>Northwest Territories Public Accounts 2024-25</x:v>
      </x:c>
      <x:c r="G15" s="1945" t="str">
        <x:v>https://www.fin.gov.nt.ca/sites/fin/files/resources/2024-2025_public_accounts_section_i_-_consolidated_financial_statements.pdf</x:v>
      </x:c>
      <x:c r="H15" s="1945" t="str">
        <x:v>2024-25</x:v>
      </x:c>
      <x:c r="I15" s="1945" t="str">
        <x:v>$B</x:v>
      </x:c>
      <x:c r="J15" s="1945" t="str">
        <x:v>NOT REVIEWED</x:v>
      </x:c>
      <x:c r="K15" s="1945" t="str">
        <x:v>NOT REVIEWED</x:v>
      </x:c>
      <x:c r="L15" s="1945" t="str">
        <x:v>NOT REVIEWED</x:v>
      </x:c>
      <x:c r="M15" s="1945" t="str">
        <x:v>NOT REVIEWED</x:v>
      </x:c>
      <x:c r="N15" s="1945" t="str">
        <x:v>NOT REVIEWED</x:v>
      </x:c>
      <x:c r="O15" s="1945" t="str">
        <x:v>NOT REVIEWED</x:v>
      </x:c>
      <x:c r="P15" s="1945" t="str">
        <x:v>NOT REVIEWED</x:v>
      </x:c>
      <x:c r="Q15" s="1945" t="str">
        <x:v>NOT SET</x:v>
      </x:c>
      <x:c r="R15" s="1945" t="str"/>
      <x:c r="S15" s="1945" t="str"/>
      <x:c r="T15" s="1945" t="str"/>
    </x:row>
    <x:row r="16">
      <x:c r="A16" s="1945" t="str">
        <x:v>REQUIRED SAMPLE</x:v>
      </x:c>
      <x:c r="B16" s="1945" t="str">
        <x:v>LIN-012</x:v>
      </x:c>
      <x:c r="C16" s="1945" t="str">
        <x:v>Royalty_Capture!G21; Evidence_Dashboard!B8</x:v>
      </x:c>
      <x:c r="D16" s="1945" t="str">
        <x:v>Observed public resource-revenue lower bound</x:v>
      </x:c>
      <x:c r="E16" s="1945" t="str">
        <x:v>29.127059697 (calculated lower bound)</x:v>
      </x:c>
      <x:c r="F16" s="1945" t="str">
        <x:v>Multiple provincial public accounts</x:v>
      </x:c>
      <x:c r="G16" s="1945" t="str"/>
      <x:c r="H16" s="1945" t="str">
        <x:v>Mixed 2024 and 2024-25</x:v>
      </x:c>
      <x:c r="I16" s="1945" t="str">
        <x:v>$B</x:v>
      </x:c>
      <x:c r="J16" s="1945" t="str">
        <x:v>NOT REVIEWED</x:v>
      </x:c>
      <x:c r="K16" s="1945" t="str">
        <x:v>NOT REVIEWED</x:v>
      </x:c>
      <x:c r="L16" s="1945" t="str">
        <x:v>NOT REVIEWED</x:v>
      </x:c>
      <x:c r="M16" s="1945" t="str">
        <x:v>NOT REVIEWED</x:v>
      </x:c>
      <x:c r="N16" s="1945" t="str">
        <x:v>NOT REVIEWED</x:v>
      </x:c>
      <x:c r="O16" s="1945" t="str">
        <x:v>NOT REVIEWED</x:v>
      </x:c>
      <x:c r="P16" s="1945" t="str">
        <x:v>NOT REVIEWED</x:v>
      </x:c>
      <x:c r="Q16" s="1945" t="str">
        <x:v>NOT SET</x:v>
      </x:c>
      <x:c r="R16" s="1945" t="str"/>
      <x:c r="S16" s="1945" t="str"/>
      <x:c r="T16" s="1945" t="str"/>
    </x:row>
    <x:row r="17">
      <x:c r="A17" s="1945" t="str">
        <x:v>REQUIRED SAMPLE</x:v>
      </x:c>
      <x:c r="B17" s="1945" t="str">
        <x:v>LIN-013</x:v>
      </x:c>
      <x:c r="C17" s="1945" t="str">
        <x:v>Land_Property!C10; Dashboard!G15</x:v>
      </x:c>
      <x:c r="D17" s="1945" t="str">
        <x:v>Consolidated Canadian taxes on property</x:v>
      </x:c>
      <x:c r="E17" s="1945" t="str">
        <x:v>103.254</x:v>
      </x:c>
      <x:c r="F17" s="1945" t="str">
        <x:v>Statistics Canada table 10-10-0172-01</x:v>
      </x:c>
      <x:c r="G17" s="1945" t="str">
        <x:v>https://www150.statcan.gc.ca/t1/tbl1/en/tv.action?pid=1010017201</x:v>
      </x:c>
      <x:c r="H17" s="1945" t="str">
        <x:v>2024</x:v>
      </x:c>
      <x:c r="I17" s="1945" t="str">
        <x:v>$B</x:v>
      </x:c>
      <x:c r="J17" s="1945" t="str">
        <x:v>NOT REVIEWED</x:v>
      </x:c>
      <x:c r="K17" s="1945" t="str">
        <x:v>NOT REVIEWED</x:v>
      </x:c>
      <x:c r="L17" s="1945" t="str">
        <x:v>NOT REVIEWED</x:v>
      </x:c>
      <x:c r="M17" s="1945" t="str">
        <x:v>NOT REVIEWED</x:v>
      </x:c>
      <x:c r="N17" s="1945" t="str">
        <x:v>NOT REVIEWED</x:v>
      </x:c>
      <x:c r="O17" s="1945" t="str">
        <x:v>NOT REVIEWED</x:v>
      </x:c>
      <x:c r="P17" s="1945" t="str">
        <x:v>NOT REVIEWED</x:v>
      </x:c>
      <x:c r="Q17" s="1945" t="str">
        <x:v>NOT SET</x:v>
      </x:c>
      <x:c r="R17" s="1945" t="str"/>
      <x:c r="S17" s="1945" t="str"/>
      <x:c r="T17" s="1945" t="str"/>
    </x:row>
    <x:row r="18">
      <x:c r="A18" s="1945" t="str">
        <x:v>REQUIRED SAMPLE</x:v>
      </x:c>
      <x:c r="B18" s="1945" t="str">
        <x:v>LIN-014</x:v>
      </x:c>
      <x:c r="C18" s="1945" t="str">
        <x:v>Closure_Security!E5; Rent_Flow_Method!D16; Dashboard!G16</x:v>
      </x:c>
      <x:c r="D18" s="1945" t="str">
        <x:v>Alberta oil and gas closure liability</x:v>
      </x:c>
      <x:c r="E18" s="1945" t="str">
        <x:v>36.6</x:v>
      </x:c>
      <x:c r="F18" s="1945" t="str">
        <x:v>Alberta Energy Regulator liability management</x:v>
      </x:c>
      <x:c r="G18" s="1945" t="str">
        <x:v>https://www.aer.ca/understanding-resource-development/how-we-regulate/oil-and-gas-liability-management</x:v>
      </x:c>
      <x:c r="H18" s="1945" t="str">
        <x:v>2024-12-31</x:v>
      </x:c>
      <x:c r="I18" s="1945" t="str">
        <x:v>$B liability stock</x:v>
      </x:c>
      <x:c r="J18" s="1945" t="str">
        <x:v>NOT REVIEWED</x:v>
      </x:c>
      <x:c r="K18" s="1945" t="str">
        <x:v>NOT REVIEWED</x:v>
      </x:c>
      <x:c r="L18" s="1945" t="str">
        <x:v>NOT REVIEWED</x:v>
      </x:c>
      <x:c r="M18" s="1945" t="str">
        <x:v>NOT REVIEWED</x:v>
      </x:c>
      <x:c r="N18" s="1945" t="str">
        <x:v>NOT REVIEWED</x:v>
      </x:c>
      <x:c r="O18" s="1945" t="str">
        <x:v>NOT REVIEWED</x:v>
      </x:c>
      <x:c r="P18" s="1945" t="str">
        <x:v>NOT REVIEWED</x:v>
      </x:c>
      <x:c r="Q18" s="1945" t="str">
        <x:v>NOT SET</x:v>
      </x:c>
      <x:c r="R18" s="1945" t="str"/>
      <x:c r="S18" s="1945" t="str"/>
      <x:c r="T18" s="1945" t="str"/>
    </x:row>
    <x:row r="19">
      <x:c r="A19" s="1945" t="str">
        <x:v>SECONDARY</x:v>
      </x:c>
      <x:c r="B19" s="1945" t="str">
        <x:v>LIN-015</x:v>
      </x:c>
      <x:c r="C19" s="1945" t="str">
        <x:v>Closure_Security!E6:E7; Dashboard!G17</x:v>
      </x:c>
      <x:c r="D19" s="1945" t="str">
        <x:v>Alberta annual closure activity</x:v>
      </x:c>
      <x:c r="E19" s="1945" t="n">
        <x:f>SUM(0.900,0.119)</x:f>
        <x:v>1.0190000000000001</x:v>
      </x:c>
      <x:c r="F19" s="1945" t="str">
        <x:v>Alberta Energy Regulator Liability Management Performance Report</x:v>
      </x:c>
      <x:c r="G19" s="1945" t="str">
        <x:v>https://www.aer.ca/data-and-performance-reports/industry-performance/liability-management-performance-report</x:v>
      </x:c>
      <x:c r="H19" s="1945" t="str">
        <x:v>2024</x:v>
      </x:c>
      <x:c r="I19" s="1945" t="str">
        <x:v>$B annual spending</x:v>
      </x:c>
      <x:c r="J19" s="1945" t="str">
        <x:v>NOT REVIEWED</x:v>
      </x:c>
      <x:c r="K19" s="1945" t="str">
        <x:v>NOT REVIEWED</x:v>
      </x:c>
      <x:c r="L19" s="1945" t="str">
        <x:v>NOT REVIEWED</x:v>
      </x:c>
      <x:c r="M19" s="1945" t="str">
        <x:v>NOT REVIEWED</x:v>
      </x:c>
      <x:c r="N19" s="1945" t="str">
        <x:v>NOT REVIEWED</x:v>
      </x:c>
      <x:c r="O19" s="1945" t="str">
        <x:v>NOT REVIEWED</x:v>
      </x:c>
      <x:c r="P19" s="1945" t="str">
        <x:v>NOT REVIEWED</x:v>
      </x:c>
      <x:c r="Q19" s="1945" t="str">
        <x:v>NOT SET</x:v>
      </x:c>
      <x:c r="R19" s="1945" t="str"/>
      <x:c r="S19" s="1945" t="str"/>
      <x:c r="T19" s="1945" t="str"/>
    </x:row>
    <x:row r="20">
      <x:c r="A20" s="1945" t="str">
        <x:v>SECONDARY</x:v>
      </x:c>
      <x:c r="B20" s="1945" t="str">
        <x:v>LIN-016</x:v>
      </x:c>
      <x:c r="C20" s="1945" t="str">
        <x:v>Concentration!F8; Dashboard!B17</x:v>
      </x:c>
      <x:c r="D20" s="1945" t="str">
        <x:v>Industries with HHI above 2,500 in 2018</x:v>
      </x:c>
      <x:c r="E20" s="1945" t="str">
        <x:v>27</x:v>
      </x:c>
      <x:c r="F20" s="1945" t="str">
        <x:v>Competition Bureau, Competition in Canada from 2000 to 2020</x:v>
      </x:c>
      <x:c r="G20" s="1945" t="str">
        <x:v>https://competition-bureau.canada.ca/en/how-we-foster-competition/education-and-outreach/competition-canada-2000-2020-economy-crossroads</x:v>
      </x:c>
      <x:c r="H20" s="1945" t="str">
        <x:v>2018</x:v>
      </x:c>
      <x:c r="I20" s="1945" t="str">
        <x:v>industry count</x:v>
      </x:c>
      <x:c r="J20" s="1945" t="str">
        <x:v>NOT REVIEWED</x:v>
      </x:c>
      <x:c r="K20" s="1945" t="str">
        <x:v>NOT REVIEWED</x:v>
      </x:c>
      <x:c r="L20" s="1945" t="str">
        <x:v>NOT REVIEWED</x:v>
      </x:c>
      <x:c r="M20" s="1945" t="str">
        <x:v>NOT REVIEWED</x:v>
      </x:c>
      <x:c r="N20" s="1945" t="str">
        <x:v>NOT REVIEWED</x:v>
      </x:c>
      <x:c r="O20" s="1945" t="str">
        <x:v>NOT REVIEWED</x:v>
      </x:c>
      <x:c r="P20" s="1945" t="str">
        <x:v>NOT REVIEWED</x:v>
      </x:c>
      <x:c r="Q20" s="1945" t="str">
        <x:v>NOT SET</x:v>
      </x:c>
      <x:c r="R20" s="1945" t="str"/>
      <x:c r="S20" s="1945" t="str"/>
      <x:c r="T20" s="1945" t="str"/>
    </x:row>
    <x:row r="21">
      <x:c r="A21" s="1945" t="str">
        <x:v>REQUIRED SAMPLE</x:v>
      </x:c>
      <x:c r="B21" s="1945" t="str">
        <x:v>LIN-017</x:v>
      </x:c>
      <x:c r="C21" s="1945" t="str">
        <x:v>Commodity_Output_Crosswalk!D10; Commodity_Input_Staging!D12</x:v>
      </x:c>
      <x:c r="D21" s="1945" t="str">
        <x:v>Metallic-minerals output control</x:v>
      </x:c>
      <x:c r="E21" s="1945" t="str">
        <x:v>47.618</x:v>
      </x:c>
      <x:c r="F21" s="1945" t="str">
        <x:v>Statistics Canada table 36-10-0624-01</x:v>
      </x:c>
      <x:c r="G21" s="1945" t="str">
        <x:v>https://www150.statcan.gc.ca/t1/tbl1/en/tv.action?pid=3610062401</x:v>
      </x:c>
      <x:c r="H21" s="1945" t="str">
        <x:v>2024</x:v>
      </x:c>
      <x:c r="I21" s="1945" t="str">
        <x:v>$B output</x:v>
      </x:c>
      <x:c r="J21" s="1945" t="str">
        <x:v>NOT REVIEWED</x:v>
      </x:c>
      <x:c r="K21" s="1945" t="str">
        <x:v>NOT REVIEWED</x:v>
      </x:c>
      <x:c r="L21" s="1945" t="str">
        <x:v>NOT REVIEWED</x:v>
      </x:c>
      <x:c r="M21" s="1945" t="str">
        <x:v>NOT REVIEWED</x:v>
      </x:c>
      <x:c r="N21" s="1945" t="str">
        <x:v>NOT REVIEWED</x:v>
      </x:c>
      <x:c r="O21" s="1945" t="str">
        <x:v>NOT REVIEWED</x:v>
      </x:c>
      <x:c r="P21" s="1945" t="str">
        <x:v>NOT REVIEWED</x:v>
      </x:c>
      <x:c r="Q21" s="1945" t="str">
        <x:v>NOT SET</x:v>
      </x:c>
      <x:c r="R21" s="1945" t="str"/>
      <x:c r="S21" s="1945" t="str"/>
      <x:c r="T21" s="1945" t="str"/>
    </x:row>
    <x:row r="22">
      <x:c r="A22" s="1945" t="str">
        <x:v>SECONDARY</x:v>
      </x:c>
      <x:c r="B22" s="1945" t="str">
        <x:v>LIN-018</x:v>
      </x:c>
      <x:c r="C22" s="1945" t="str">
        <x:v>Commodity_Diagnostics!D5:G5</x:v>
      </x:c>
      <x:c r="D22" s="1945" t="str">
        <x:v>Oil and gas extraction financial diagnostic</x:v>
      </x:c>
      <x:c r="E22" s="1945" t="str">
        <x:v>Assets, revenue, expenses and accounting net income</x:v>
      </x:c>
      <x:c r="F22" s="1945" t="str">
        <x:v>Statistics Canada table 25-10-0065-01</x:v>
      </x:c>
      <x:c r="G22" s="1945" t="str">
        <x:v>https://www150.statcan.gc.ca/t1/tbl1/en/tv.action?pid=2510006501</x:v>
      </x:c>
      <x:c r="H22" s="1945" t="str">
        <x:v>2024</x:v>
      </x:c>
      <x:c r="I22" s="1945" t="str">
        <x:v>$B</x:v>
      </x:c>
      <x:c r="J22" s="1945" t="str">
        <x:v>NOT REVIEWED</x:v>
      </x:c>
      <x:c r="K22" s="1945" t="str">
        <x:v>NOT REVIEWED</x:v>
      </x:c>
      <x:c r="L22" s="1945" t="str">
        <x:v>NOT REVIEWED</x:v>
      </x:c>
      <x:c r="M22" s="1945" t="str">
        <x:v>NOT REVIEWED</x:v>
      </x:c>
      <x:c r="N22" s="1945" t="str">
        <x:v>NOT REVIEWED</x:v>
      </x:c>
      <x:c r="O22" s="1945" t="str">
        <x:v>NOT REVIEWED</x:v>
      </x:c>
      <x:c r="P22" s="1945" t="str">
        <x:v>NOT REVIEWED</x:v>
      </x:c>
      <x:c r="Q22" s="1945" t="str">
        <x:v>NOT SET</x:v>
      </x:c>
      <x:c r="R22" s="1945" t="str"/>
      <x:c r="S22" s="1945" t="str"/>
      <x:c r="T22" s="1945" t="str"/>
    </x:row>
    <x:row r="23">
      <x:c r="A23" s="1945" t="str">
        <x:v>SECONDARY</x:v>
      </x:c>
      <x:c r="B23" s="1945" t="str">
        <x:v>LIN-019</x:v>
      </x:c>
      <x:c r="C23" s="1945" t="str">
        <x:v>Rent_Evidence_Receipt!B7:B16; Evidence_Dashboard!B9:B11</x:v>
      </x:c>
      <x:c r="D23" s="1945" t="str">
        <x:v>Extraction counts and completion status</x:v>
      </x:c>
      <x:c r="E23" s="1945" t="str">
        <x:v>82 observations; 10 labour rows; 0 complete rent rows</x:v>
      </x:c>
      <x:c r="F23" s="1945" t="str">
        <x:v>Rent Evidence Extractor receipt</x:v>
      </x:c>
      <x:c r="G23" s="1945" t="str"/>
      <x:c r="H23" s="1945" t="str">
        <x:v>2024 extraction</x:v>
      </x:c>
      <x:c r="I23" s="1945" t="str">
        <x:v>counts</x:v>
      </x:c>
      <x:c r="J23" s="1945" t="str">
        <x:v>NOT REVIEWED</x:v>
      </x:c>
      <x:c r="K23" s="1945" t="str">
        <x:v>NOT REVIEWED</x:v>
      </x:c>
      <x:c r="L23" s="1945" t="str">
        <x:v>NOT REVIEWED</x:v>
      </x:c>
      <x:c r="M23" s="1945" t="str">
        <x:v>NOT REVIEWED</x:v>
      </x:c>
      <x:c r="N23" s="1945" t="str">
        <x:v>NOT REVIEWED</x:v>
      </x:c>
      <x:c r="O23" s="1945" t="str">
        <x:v>NOT REVIEWED</x:v>
      </x:c>
      <x:c r="P23" s="1945" t="str">
        <x:v>NOT REVIEWED</x:v>
      </x:c>
      <x:c r="Q23" s="1945" t="str">
        <x:v>NOT SET</x:v>
      </x:c>
      <x:c r="R23" s="1945" t="str"/>
      <x:c r="S23" s="1945" t="str"/>
      <x:c r="T23" s="1945" t="str"/>
    </x:row>
    <x:row r="24">
      <x:c r="A24" s="1945" t="str">
        <x:v>REQUIRED SAMPLE</x:v>
      </x:c>
      <x:c r="B24" s="1945" t="str">
        <x:v>LIN-020</x:v>
      </x:c>
      <x:c r="C24" s="1945" t="str">
        <x:v>Labour_Benchmark_2024!D5:D14</x:v>
      </x:c>
      <x:c r="D24" s="1945" t="str">
        <x:v>Detailed labour-compensation benchmarks</x:v>
      </x:c>
      <x:c r="E24" s="1945" t="str">
        <x:v>10 official rows</x:v>
      </x:c>
      <x:c r="F24" s="1945" t="str">
        <x:v>Statistics Canada table 36-10-0489-04</x:v>
      </x:c>
      <x:c r="G24" s="1945" t="str">
        <x:v>https://www150.statcan.gc.ca/t1/tbl1/en/tv.action?pid=3610048904</x:v>
      </x:c>
      <x:c r="H24" s="1945" t="str">
        <x:v>2024</x:v>
      </x:c>
      <x:c r="I24" s="1945" t="str">
        <x:v>$B after unit correction</x:v>
      </x:c>
      <x:c r="J24" s="1945" t="str">
        <x:v>NOT REVIEWED</x:v>
      </x:c>
      <x:c r="K24" s="1945" t="str">
        <x:v>NOT REVIEWED</x:v>
      </x:c>
      <x:c r="L24" s="1945" t="str">
        <x:v>NOT REVIEWED</x:v>
      </x:c>
      <x:c r="M24" s="1945" t="str">
        <x:v>NOT REVIEWED</x:v>
      </x:c>
      <x:c r="N24" s="1945" t="str">
        <x:v>NOT REVIEWED</x:v>
      </x:c>
      <x:c r="O24" s="1945" t="str">
        <x:v>NOT REVIEWED</x:v>
      </x:c>
      <x:c r="P24" s="1945" t="str">
        <x:v>NOT REVIEWED</x:v>
      </x:c>
      <x:c r="Q24" s="1945" t="str">
        <x:v>NOT SET</x:v>
      </x:c>
      <x:c r="R24" s="1945" t="str"/>
      <x:c r="S24" s="1945" t="str"/>
      <x:c r="T24" s="1945" t="str"/>
    </x:row>
    <x:row r="25">
      <x:c r="A25" s="1945" t="str">
        <x:v>REQUIRED SAMPLE</x:v>
      </x:c>
      <x:c r="B25" s="1945" t="str">
        <x:v>LIN-021</x:v>
      </x:c>
      <x:c r="C25" s="1945" t="str">
        <x:v>Oil_Sands_Bridge_2024!B13:B20</x:v>
      </x:c>
      <x:c r="D25" s="1945" t="str">
        <x:v>Oil-sands industry production-account bridge</x:v>
      </x:c>
      <x:c r="E25" s="1945" t="str">
        <x:v>Output, inputs, labour, taxes and GOS</x:v>
      </x:c>
      <x:c r="F25" s="1945" t="str">
        <x:v>Statistics Canada table 36-10-0001-01</x:v>
      </x:c>
      <x:c r="G25" s="1945" t="str">
        <x:v>https://www150.statcan.gc.ca/t1/tbl1/en/tv.action?pid=3610000101</x:v>
      </x:c>
      <x:c r="H25" s="1945" t="str">
        <x:v>2024</x:v>
      </x:c>
      <x:c r="I25" s="1945" t="str">
        <x:v>$B</x:v>
      </x:c>
      <x:c r="J25" s="1945" t="str">
        <x:v>NOT REVIEWED</x:v>
      </x:c>
      <x:c r="K25" s="1945" t="str">
        <x:v>NOT REVIEWED</x:v>
      </x:c>
      <x:c r="L25" s="1945" t="str">
        <x:v>NOT REVIEWED</x:v>
      </x:c>
      <x:c r="M25" s="1945" t="str">
        <x:v>NOT REVIEWED</x:v>
      </x:c>
      <x:c r="N25" s="1945" t="str">
        <x:v>NOT REVIEWED</x:v>
      </x:c>
      <x:c r="O25" s="1945" t="str">
        <x:v>NOT REVIEWED</x:v>
      </x:c>
      <x:c r="P25" s="1945" t="str">
        <x:v>NOT REVIEWED</x:v>
      </x:c>
      <x:c r="Q25" s="1945" t="str">
        <x:v>NOT SET</x:v>
      </x:c>
      <x:c r="R25" s="1945" t="str"/>
      <x:c r="S25" s="1945" t="str"/>
      <x:c r="T25" s="1945" t="str"/>
    </x:row>
    <x:row r="26">
      <x:c r="A26" s="1945" t="str">
        <x:v>REQUIRED SAMPLE</x:v>
      </x:c>
      <x:c r="B26" s="1945" t="str">
        <x:v>LIN-022</x:v>
      </x:c>
      <x:c r="C26" s="1945" t="str">
        <x:v>Potash_Bridge_2024!B13:B21</x:v>
      </x:c>
      <x:c r="D26" s="1945" t="str">
        <x:v>Potash industry production-account bridge</x:v>
      </x:c>
      <x:c r="E26" s="1945" t="str">
        <x:v>Output, inputs, labour, taxes, GMI and GOS</x:v>
      </x:c>
      <x:c r="F26" s="1945" t="str">
        <x:v>Statistics Canada table 36-10-0001-01</x:v>
      </x:c>
      <x:c r="G26" s="1945" t="str">
        <x:v>https://www150.statcan.gc.ca/t1/tbl1/en/tv.action?pid=3610000101</x:v>
      </x:c>
      <x:c r="H26" s="1945" t="str">
        <x:v>2024</x:v>
      </x:c>
      <x:c r="I26" s="1945" t="str">
        <x:v>$B</x:v>
      </x:c>
      <x:c r="J26" s="1945" t="str">
        <x:v>NOT REVIEWED</x:v>
      </x:c>
      <x:c r="K26" s="1945" t="str">
        <x:v>NOT REVIEWED</x:v>
      </x:c>
      <x:c r="L26" s="1945" t="str">
        <x:v>NOT REVIEWED</x:v>
      </x:c>
      <x:c r="M26" s="1945" t="str">
        <x:v>NOT REVIEWED</x:v>
      </x:c>
      <x:c r="N26" s="1945" t="str">
        <x:v>NOT REVIEWED</x:v>
      </x:c>
      <x:c r="O26" s="1945" t="str">
        <x:v>NOT REVIEWED</x:v>
      </x:c>
      <x:c r="P26" s="1945" t="str">
        <x:v>NOT REVIEWED</x:v>
      </x:c>
      <x:c r="Q26" s="1945" t="str">
        <x:v>NOT SET</x:v>
      </x:c>
      <x:c r="R26" s="1945" t="str"/>
      <x:c r="S26" s="1945" t="str"/>
      <x:c r="T26" s="1945" t="str"/>
    </x:row>
    <x:row r="27">
      <x:c r="A27" s="1945" t="str">
        <x:v>REQUIRED SAMPLE</x:v>
      </x:c>
      <x:c r="B27" s="1945" t="str">
        <x:v>LIN-023</x:v>
      </x:c>
      <x:c r="C27" s="1945" t="str">
        <x:v>AB_OS_Project_Data_2024!A6:AF115</x:v>
      </x:c>
      <x:c r="D27" s="1945" t="str">
        <x:v>Alberta oil-sands royalty project data</x:v>
      </x:c>
      <x:c r="E27" s="1945" t="str">
        <x:v>110 normalized rows</x:v>
      </x:c>
      <x:c r="F27" s="1945" t="str">
        <x:v>Government of Alberta oil-sands project data</x:v>
      </x:c>
      <x:c r="G27" s="1945" t="str">
        <x:v>https://www.alberta.ca/royalty-oil-sands-project-data.aspx</x:v>
      </x:c>
      <x:c r="H27" s="1945" t="str">
        <x:v>Calendar 2024</x:v>
      </x:c>
      <x:c r="I27" s="1945" t="str">
        <x:v>dollars / rates</x:v>
      </x:c>
      <x:c r="J27" s="1945" t="str">
        <x:v>NOT REVIEWED</x:v>
      </x:c>
      <x:c r="K27" s="1945" t="str">
        <x:v>NOT REVIEWED</x:v>
      </x:c>
      <x:c r="L27" s="1945" t="str">
        <x:v>NOT REVIEWED</x:v>
      </x:c>
      <x:c r="M27" s="1945" t="str">
        <x:v>NOT REVIEWED</x:v>
      </x:c>
      <x:c r="N27" s="1945" t="str">
        <x:v>NOT REVIEWED</x:v>
      </x:c>
      <x:c r="O27" s="1945" t="str">
        <x:v>NOT REVIEWED</x:v>
      </x:c>
      <x:c r="P27" s="1945" t="str">
        <x:v>NOT REVIEWED</x:v>
      </x:c>
      <x:c r="Q27" s="1945" t="str">
        <x:v>NOT SET</x:v>
      </x:c>
      <x:c r="R27" s="1945" t="str"/>
      <x:c r="S27" s="1945" t="str"/>
      <x:c r="T27" s="1945" t="str"/>
    </x:row>
    <x:row r="28">
      <x:c r="A28" s="1945" t="str">
        <x:v>REQUIRED SAMPLE</x:v>
      </x:c>
      <x:c r="B28" s="1945" t="str">
        <x:v>LIN-024</x:v>
      </x:c>
      <x:c r="C28" s="1945" t="str">
        <x:v>Resource_Rent!C5:C9</x:v>
      </x:c>
      <x:c r="D28" s="1945" t="str">
        <x:v>Selected natural-resource asset values</x:v>
      </x:c>
      <x:c r="E28" s="1945" t="str">
        <x:v>Official asset values</x:v>
      </x:c>
      <x:c r="F28" s="1945" t="str">
        <x:v>Statistics Canada table 38-10-0006-01 / Daily release</x:v>
      </x:c>
      <x:c r="G28" s="1945" t="str">
        <x:v>https://www150.statcan.gc.ca/t1/tbl1/en/tv.action?pid=3810000601</x:v>
      </x:c>
      <x:c r="H28" s="1945" t="str">
        <x:v>2023-2024</x:v>
      </x:c>
      <x:c r="I28" s="1945" t="str">
        <x:v>$B asset wealth</x:v>
      </x:c>
      <x:c r="J28" s="1945" t="str">
        <x:v>NOT REVIEWED</x:v>
      </x:c>
      <x:c r="K28" s="1945" t="str">
        <x:v>NOT REVIEWED</x:v>
      </x:c>
      <x:c r="L28" s="1945" t="str">
        <x:v>NOT REVIEWED</x:v>
      </x:c>
      <x:c r="M28" s="1945" t="str">
        <x:v>NOT REVIEWED</x:v>
      </x:c>
      <x:c r="N28" s="1945" t="str">
        <x:v>NOT REVIEWED</x:v>
      </x:c>
      <x:c r="O28" s="1945" t="str">
        <x:v>NOT REVIEWED</x:v>
      </x:c>
      <x:c r="P28" s="1945" t="str">
        <x:v>NOT REVIEWED</x:v>
      </x:c>
      <x:c r="Q28" s="1945" t="str">
        <x:v>NOT SET</x:v>
      </x:c>
      <x:c r="R28" s="1945" t="str"/>
      <x:c r="S28" s="1945" t="str"/>
      <x:c r="T28" s="1945" t="str"/>
    </x:row>
    <x:row r="29">
      <x:c r="A29" s="1945" t="str">
        <x:v>SECONDARY</x:v>
      </x:c>
      <x:c r="B29" s="1945" t="str">
        <x:v>LIN-025</x:v>
      </x:c>
      <x:c r="C29" s="1945" t="str">
        <x:v>Dashboard!B57</x:v>
      </x:c>
      <x:c r="D29" s="1945" t="str">
        <x:v>Verified input coverage</x:v>
      </x:c>
      <x:c r="E29" s="1945" t="str">
        <x:v>Prior value 0.55 removed</x:v>
      </x:c>
      <x:c r="F29" s="1945" t="str">
        <x:v>No reproducible source or mechanical formula</x:v>
      </x:c>
      <x:c r="G29" s="1945" t="str"/>
      <x:c r="H29" s="1945" t="str">
        <x:v>Current</x:v>
      </x:c>
      <x:c r="I29" s="1945" t="str">
        <x:v>ratio</x:v>
      </x:c>
      <x:c r="J29" s="1945" t="str">
        <x:v>NOT REVIEWED</x:v>
      </x:c>
      <x:c r="K29" s="1945" t="str">
        <x:v>NOT REVIEWED</x:v>
      </x:c>
      <x:c r="L29" s="1945" t="str">
        <x:v>NOT REVIEWED</x:v>
      </x:c>
      <x:c r="M29" s="1945" t="str">
        <x:v>NOT REVIEWED</x:v>
      </x:c>
      <x:c r="N29" s="1945" t="str">
        <x:v>NOT REVIEWED</x:v>
      </x:c>
      <x:c r="O29" s="1945" t="str">
        <x:v>NOT REVIEWED</x:v>
      </x:c>
      <x:c r="P29" s="1945" t="str">
        <x:v>NOT REVIEWED</x:v>
      </x:c>
      <x:c r="Q29" s="1945" t="str">
        <x:v>NOT SET</x:v>
      </x:c>
      <x:c r="R29" s="1945" t="str"/>
      <x:c r="S29" s="1945" t="str"/>
      <x:c r="T29" s="1945" t="str"/>
    </x:row>
    <x:row r="30">
      <x:c r="A30" s="1945" t="str">
        <x:v>SECONDARY</x:v>
      </x:c>
      <x:c r="B30" s="1945" t="str">
        <x:v>LIN-026</x:v>
      </x:c>
      <x:c r="C30" s="1945" t="str">
        <x:v>Royalty_Capture!A18:A19; Commodity_Rent_Bridge!D12; Commodity_Input_Staging!C9,C12</x:v>
      </x:c>
      <x:c r="D30" s="1945" t="str">
        <x:v>Reference-year labels</x:v>
      </x:c>
      <x:c r="E30" s="1945" t="str">
        <x:v>2024</x:v>
      </x:c>
      <x:c r="F30" s="1945" t="str">
        <x:v>Not a quantitative observation requiring a separate source</x:v>
      </x:c>
      <x:c r="G30" s="1945" t="str"/>
      <x:c r="H30" s="1945" t="str">
        <x:v>2024</x:v>
      </x:c>
      <x:c r="I30" s="1945" t="str">
        <x:v>year</x:v>
      </x:c>
      <x:c r="J30" s="1945" t="str">
        <x:v>NOT REVIEWED</x:v>
      </x:c>
      <x:c r="K30" s="1945" t="str">
        <x:v>NOT REVIEWED</x:v>
      </x:c>
      <x:c r="L30" s="1945" t="str">
        <x:v>NOT REVIEWED</x:v>
      </x:c>
      <x:c r="M30" s="1945" t="str">
        <x:v>NOT REVIEWED</x:v>
      </x:c>
      <x:c r="N30" s="1945" t="str">
        <x:v>NOT REVIEWED</x:v>
      </x:c>
      <x:c r="O30" s="1945" t="str">
        <x:v>NOT REVIEWED</x:v>
      </x:c>
      <x:c r="P30" s="1945" t="str">
        <x:v>NOT REVIEWED</x:v>
      </x:c>
      <x:c r="Q30" s="1945" t="str">
        <x:v>NOT SET</x:v>
      </x:c>
      <x:c r="R30" s="1945" t="str"/>
      <x:c r="S30" s="1945" t="str"/>
      <x:c r="T30" s="1945" t="str"/>
    </x:row>
    <x:row r="31">
      <x:c r="A31" s="1945" t="str">
        <x:v>SECONDARY</x:v>
      </x:c>
      <x:c r="B31" s="1945" t="str">
        <x:v>LIN-027</x:v>
      </x:c>
      <x:c r="C31" s="1945" t="str">
        <x:v>Rent_Flow_Method!E5:E17; Commodity_Diagnostics!D6:J16; Commodity_Input_Staging missing fields</x:v>
      </x:c>
      <x:c r="D31" s="1945" t="str">
        <x:v>Prior zero placeholders</x:v>
      </x:c>
      <x:c r="E31" s="1945" t="str">
        <x:v>Removed</x:v>
      </x:c>
      <x:c r="F31" s="1945" t="str">
        <x:v>No source because evidence is absent</x:v>
      </x:c>
      <x:c r="G31" s="1945" t="str"/>
      <x:c r="H31" s="1945" t="str">
        <x:v>Various</x:v>
      </x:c>
      <x:c r="I31" s="1945" t="str">
        <x:v>Various</x:v>
      </x:c>
      <x:c r="J31" s="1945" t="str">
        <x:v>NOT REVIEWED</x:v>
      </x:c>
      <x:c r="K31" s="1945" t="str">
        <x:v>NOT REVIEWED</x:v>
      </x:c>
      <x:c r="L31" s="1945" t="str">
        <x:v>NOT REVIEWED</x:v>
      </x:c>
      <x:c r="M31" s="1945" t="str">
        <x:v>NOT REVIEWED</x:v>
      </x:c>
      <x:c r="N31" s="1945" t="str">
        <x:v>NOT REVIEWED</x:v>
      </x:c>
      <x:c r="O31" s="1945" t="str">
        <x:v>NOT REVIEWED</x:v>
      </x:c>
      <x:c r="P31" s="1945" t="str">
        <x:v>NOT REVIEWED</x:v>
      </x:c>
      <x:c r="Q31" s="1945" t="str">
        <x:v>NOT SET</x:v>
      </x:c>
      <x:c r="R31" s="1945" t="str"/>
      <x:c r="S31" s="1945" t="str"/>
      <x:c r="T31" s="1945" t="str"/>
    </x:row>
    <x:row r="32">
      <x:c r="A32" s="1946" t="str">
        <x:v>SECONDARY</x:v>
      </x:c>
      <x:c r="B32" s="1946" t="str">
        <x:v>LIN-028</x:v>
      </x:c>
      <x:c r="C32" s="1946" t="str">
        <x:v>Land_Property!B6</x:v>
      </x:c>
      <x:c r="D32" s="1946" t="str">
        <x:v>Canada net stock of housing assets</x:v>
      </x:c>
      <x:c r="E32" s="1946" t="str">
        <x:v>4,400</x:v>
      </x:c>
      <x:c r="F32" s="1946" t="str">
        <x:v>Statistics Canada Housing Economic Account, 2025</x:v>
      </x:c>
      <x:c r="G32" s="1946" t="str">
        <x:v>https://www150.statcan.gc.ca/n1/daily-quotidien/260409/dq260409b-eng.htm</x:v>
      </x:c>
      <x:c r="H32" s="1946" t="str">
        <x:v>2025</x:v>
      </x:c>
      <x:c r="I32" s="1946" t="str">
        <x:v>$B</x:v>
      </x:c>
      <x:c r="J32" s="1946" t="str">
        <x:v>NOT REVIEWED</x:v>
      </x:c>
      <x:c r="K32" s="1946" t="str">
        <x:v>NOT REVIEWED</x:v>
      </x:c>
      <x:c r="L32" s="1946" t="str">
        <x:v>NOT REVIEWED</x:v>
      </x:c>
      <x:c r="M32" s="1946" t="str">
        <x:v>NOT REVIEWED</x:v>
      </x:c>
      <x:c r="N32" s="1946" t="str">
        <x:v>NOT REVIEWED</x:v>
      </x:c>
      <x:c r="O32" s="1946" t="str">
        <x:v>NOT REVIEWED</x:v>
      </x:c>
      <x:c r="P32" s="1946" t="str">
        <x:v>NOT REVIEWED</x:v>
      </x:c>
      <x:c r="Q32" s="1946" t="str">
        <x:v>NOT SET</x:v>
      </x:c>
      <x:c r="R32" s="1946" t="str"/>
      <x:c r="S32" s="1946" t="str"/>
      <x:c r="T32" s="1946" t="str"/>
    </x:row>
  </x:sheetData>
  <x:mergeCells>
    <x:mergeCell ref="A1:T1"/>
    <x:mergeCell ref="A2:T2"/>
  </x:mergeCells>
  <x:conditionalFormatting sqref="A5:A32">
    <x:cfRule type="expression" dxfId="35" priority="1">
      <x:formula>A5="REQUIRED SAMPLE"</x:formula>
    </x:cfRule>
  </x:conditionalFormatting>
  <x:conditionalFormatting sqref="P5:P32">
    <x:cfRule type="expression" dxfId="36" priority="2">
      <x:formula>P5="PASS"</x:formula>
    </x:cfRule>
    <x:cfRule type="expression" dxfId="37" priority="3">
      <x:formula>P5="PASS WITH NOTE"</x:formula>
    </x:cfRule>
    <x:cfRule type="expression" dxfId="38" priority="4">
      <x:formula>P5="FAIL"</x:formula>
    </x:cfRule>
    <x:cfRule type="expression" dxfId="39" priority="5">
      <x:formula>P5="SPECIALIST NEEDED"</x:formula>
    </x:cfRule>
  </x:conditionalFormatting>
  <x:dataValidations count="8">
    <x:dataValidation type="list" sqref="J5:J32">
      <x:formula1>"NOT REVIEWED,YES,NO,UNCLEAR,NOT APPLICABLE"</x:formula1>
    </x:dataValidation>
    <x:dataValidation type="list" sqref="K5:K32">
      <x:formula1>"NOT REVIEWED,YES,NO,UNCLEAR,NOT APPLICABLE"</x:formula1>
    </x:dataValidation>
    <x:dataValidation type="list" sqref="L5:L32">
      <x:formula1>"NOT REVIEWED,YES,NO,UNCLEAR,NOT APPLICABLE"</x:formula1>
    </x:dataValidation>
    <x:dataValidation type="list" sqref="M5:M32">
      <x:formula1>"NOT REVIEWED,YES,NO,UNCLEAR,NOT APPLICABLE"</x:formula1>
    </x:dataValidation>
    <x:dataValidation type="list" sqref="N5:N32">
      <x:formula1>"NOT REVIEWED,YES,NO,UNCLEAR,NOT APPLICABLE"</x:formula1>
    </x:dataValidation>
    <x:dataValidation type="list" sqref="O5:O32">
      <x:formula1>"NOT REVIEWED,YES,NO,UNCLEAR,NOT APPLICABLE"</x:formula1>
    </x:dataValidation>
    <x:dataValidation type="list" sqref="P5:P32">
      <x:formula1>"NOT REVIEWED,PASS,PASS WITH NOTE,FAIL,SPECIALIST NEEDED,NOT APPLICABLE"</x:formula1>
    </x:dataValidation>
    <x:dataValidation type="list" sqref="Q5:Q32">
      <x:formula1>"NOT SET,HIGH,MEDIUM,LOW"</x:formula1>
    </x:dataValidation>
  </x:dataValidations>
  <x:pageMargins left="0.7" right="0.7" top="0.75" bottom="0.75" header="0.3" footer="0.3"/>
  <x:tableParts count="1">
    <x:tablePart xmlns:r="http://schemas.openxmlformats.org/officeDocument/2006/relationships" r:id="R47713ffc26344d75"/>
  </x:tableParts>
</x:worksheet>
</file>

<file path=xl/worksheets/sheet64.xml><?xml version="1.0" encoding="utf-8"?>
<x:worksheet xmlns:x="http://schemas.openxmlformats.org/spreadsheetml/2006/main">
  <x:sheetFormatPr defaultRowHeight="15"/>
  <x:cols>
    <x:col min="1" max="1" width="12" hidden="0" customWidth="1"/>
    <x:col min="2" max="2" width="15" hidden="0" customWidth="1"/>
    <x:col min="3" max="3" width="18" hidden="0" customWidth="1"/>
    <x:col min="4" max="4" width="28" hidden="0" customWidth="1"/>
    <x:col min="5" max="5" width="34" hidden="0" customWidth="1"/>
    <x:col min="6" max="6" width="43" hidden="0" customWidth="1"/>
    <x:col min="7" max="7" width="24" hidden="0" customWidth="1"/>
    <x:col min="8" max="8" width="48" hidden="0" customWidth="1"/>
    <x:col min="9" max="9" width="48" hidden="0" customWidth="1"/>
    <x:col min="10" max="10" width="23" hidden="0" customWidth="1"/>
    <x:col min="11" max="11" width="40" hidden="0" customWidth="1"/>
    <x:col min="12" max="12" width="35" hidden="0" customWidth="1"/>
    <x:col min="13" max="13" width="31" hidden="0" customWidth="1"/>
    <x:col min="14" max="14" width="22" hidden="0" customWidth="1"/>
  </x:cols>
  <x:sheetData>
    <x:row r="1" ht="28" customHeight="1">
      <x:c r="A1" s="1916" t="str">
        <x:v>Internal Threshold and Scenario-Convention Review</x:v>
      </x:c>
      <x:c r="B1" s="1916"/>
      <x:c r="C1" s="1916"/>
      <x:c r="D1" s="1916"/>
      <x:c r="E1" s="1916"/>
      <x:c r="F1" s="1916"/>
      <x:c r="G1" s="1916"/>
      <x:c r="H1" s="1916"/>
      <x:c r="I1" s="1916"/>
      <x:c r="J1" s="1916"/>
      <x:c r="K1" s="1916"/>
      <x:c r="L1" s="1916"/>
      <x:c r="M1" s="1916"/>
      <x:c r="N1" s="1916"/>
    </x:row>
    <x:row r="2" ht="48" customHeight="1">
      <x:c r="A2" s="1920" t="str">
        <x:v>This is not a test of your intelligence. The sheet separates items you can confirm as transparent scenario conventions from technical thresholds requiring a qualified reviewer.</x:v>
      </x:c>
      <x:c r="B2" s="1920"/>
      <x:c r="C2" s="1920"/>
      <x:c r="D2" s="1920"/>
      <x:c r="E2" s="1920"/>
      <x:c r="F2" s="1920"/>
      <x:c r="G2" s="1920"/>
      <x:c r="H2" s="1920"/>
      <x:c r="I2" s="1920"/>
      <x:c r="J2" s="1920"/>
      <x:c r="K2" s="1920"/>
      <x:c r="L2" s="1920"/>
      <x:c r="M2" s="1920"/>
      <x:c r="N2" s="1920"/>
    </x:row>
    <x:row r="4">
      <x:c r="A4" s="1938" t="str">
        <x:v>Parameter ID</x:v>
      </x:c>
      <x:c r="B4" s="1939" t="str">
        <x:v>Current value</x:v>
      </x:c>
      <x:c r="C4" s="1939" t="str">
        <x:v>Units</x:v>
      </x:c>
      <x:c r="D4" s="1939" t="str">
        <x:v>Class</x:v>
      </x:c>
      <x:c r="E4" s="1939" t="str">
        <x:v>Purpose</x:v>
      </x:c>
      <x:c r="F4" s="1939" t="str">
        <x:v>Plain-English meaning</x:v>
      </x:c>
      <x:c r="G4" s="1939" t="str">
        <x:v>Can you approve it alone?</x:v>
      </x:c>
      <x:c r="H4" s="1939" t="str">
        <x:v>Recommended treatment</x:v>
      </x:c>
      <x:c r="I4" s="1939" t="str">
        <x:v>Evidence/source</x:v>
      </x:c>
      <x:c r="J4" s="1939" t="str">
        <x:v>Reviewer decision</x:v>
      </x:c>
      <x:c r="K4" s="1939" t="str">
        <x:v>Reason for decision</x:v>
      </x:c>
      <x:c r="L4" s="1939" t="str">
        <x:v>Specialist type</x:v>
      </x:c>
      <x:c r="M4" s="1939" t="str">
        <x:v>Publication consequence</x:v>
      </x:c>
      <x:c r="N4" s="1940" t="str">
        <x:v>Status</x:v>
      </x:c>
    </x:row>
    <x:row r="5">
      <x:c r="A5" s="1945" t="str">
        <x:v>P-001</x:v>
      </x:c>
      <x:c r="B5" s="1945" t="str">
        <x:v>1800</x:v>
      </x:c>
      <x:c r="C5" s="1945" t="str">
        <x:v>HHI points</x:v>
      </x:c>
      <x:c r="D5" s="1945" t="str">
        <x:v>OBSERVED LEGAL THRESHOLD</x:v>
      </x:c>
      <x:c r="E5" s="1945" t="str">
        <x:v>Canadian merger structural-presumption HHI level</x:v>
      </x:c>
      <x:c r="F5" s="1945" t="str">
        <x:v>A market with HHI above 1,800 may meet one part of Canada’s merger structural presumption.</x:v>
      </x:c>
      <x:c r="G5" s="1945" t="str">
        <x:v>VERIFY SOURCE ONLY</x:v>
      </x:c>
      <x:c r="H5" s="1945" t="str">
        <x:v>Keep as a sourced legal reference; do not call the workbook screen a legal finding.</x:v>
      </x:c>
      <x:c r="I5" s="1945" t="str">
        <x:v>Competition Act / Competition Bureau proposed Merger Enforcement Guidelines</x:v>
      </x:c>
      <x:c r="J5" s="1945" t="str">
        <x:v>VERIFY SOURCE</x:v>
      </x:c>
      <x:c r="K5" s="1945" t="str"/>
      <x:c r="L5" s="1945" t="str">
        <x:v>Competition/antitrust lawyer or economist</x:v>
      </x:c>
      <x:c r="M5" s="1945" t="str">
        <x:v>Screening only</x:v>
      </x:c>
      <x:c r="N5" s="1945" t="str">
        <x:v>NOT FINAL</x:v>
      </x:c>
    </x:row>
    <x:row r="6">
      <x:c r="A6" s="1945" t="str">
        <x:v>P-002</x:v>
      </x:c>
      <x:c r="B6" s="1945" t="str">
        <x:v>100</x:v>
      </x:c>
      <x:c r="C6" s="1945" t="str">
        <x:v>HHI points</x:v>
      </x:c>
      <x:c r="D6" s="1945" t="str">
        <x:v>OBSERVED LEGAL THRESHOLD</x:v>
      </x:c>
      <x:c r="E6" s="1945" t="str">
        <x:v>Required increase in HHI for Canadian merger structural presumption</x:v>
      </x:c>
      <x:c r="F6" s="1945" t="str">
        <x:v>The merger presumption also requires HHI to rise by more than 100 points.</x:v>
      </x:c>
      <x:c r="G6" s="1945" t="str">
        <x:v>VERIFY SOURCE ONLY</x:v>
      </x:c>
      <x:c r="H6" s="1945" t="str">
        <x:v>Document it; current workbook does not calculate the merger-specific increase.</x:v>
      </x:c>
      <x:c r="I6" s="1945" t="str">
        <x:v>Competition Act / Competition Bureau proposed Merger Enforcement Guidelines</x:v>
      </x:c>
      <x:c r="J6" s="1945" t="str">
        <x:v>VERIFY SOURCE</x:v>
      </x:c>
      <x:c r="K6" s="1945" t="str"/>
      <x:c r="L6" s="1945" t="str">
        <x:v>Competition/antitrust lawyer or economist</x:v>
      </x:c>
      <x:c r="M6" s="1945" t="str">
        <x:v>No legal conclusion</x:v>
      </x:c>
      <x:c r="N6" s="1945" t="str">
        <x:v>NOT FINAL</x:v>
      </x:c>
    </x:row>
    <x:row r="7">
      <x:c r="A7" s="1945" t="str">
        <x:v>P-003</x:v>
      </x:c>
      <x:c r="B7" s="1945" t="str">
        <x:v>1000</x:v>
      </x:c>
      <x:c r="C7" s="1945" t="str">
        <x:v>dollars</x:v>
      </x:c>
      <x:c r="D7" s="1945" t="str">
        <x:v>INTERNAL VALIDATION THRESHOLD</x:v>
      </x:c>
      <x:c r="E7" s="1945" t="str">
        <x:v>Alberta project-table arithmetic reconciliation tolerance</x:v>
      </x:c>
      <x:c r="F7" s="1945" t="str">
        <x:v>Arithmetic differences up to $1,000 are treated as rounding/display differences in Alberta project data.</x:v>
      </x:c>
      <x:c r="G7" s="1945" t="str">
        <x:v>NO</x:v>
      </x:c>
      <x:c r="H7" s="1945" t="str">
        <x:v>PROVISIONALLY RETAIN; specialist should confirm tolerance against source precision.</x:v>
      </x:c>
      <x:c r="I7" s="1945" t="str">
        <x:v>Internal audit tolerance; does not change source royalty payable</x:v>
      </x:c>
      <x:c r="J7" s="1945" t="str">
        <x:v>SPECIALIST NEEDED</x:v>
      </x:c>
      <x:c r="K7" s="1945" t="str"/>
      <x:c r="L7" s="1945" t="str">
        <x:v>Royalty accountant / audit specialist</x:v>
      </x:c>
      <x:c r="M7" s="1945" t="str">
        <x:v>Diagnostic checks only</x:v>
      </x:c>
      <x:c r="N7" s="1945" t="str">
        <x:v>NOT FINAL</x:v>
      </x:c>
    </x:row>
    <x:row r="8">
      <x:c r="A8" s="1945" t="str">
        <x:v>P-004</x:v>
      </x:c>
      <x:c r="B8" s="1945" t="str">
        <x:v>0.01</x:v>
      </x:c>
      <x:c r="C8" s="1945" t="str">
        <x:v>ratio</x:v>
      </x:c>
      <x:c r="D8" s="1945" t="str">
        <x:v>INTERNAL VALIDATION THRESHOLD</x:v>
      </x:c>
      <x:c r="E8" s="1945" t="str">
        <x:v>Relative labour-control review threshold</x:v>
      </x:c>
      <x:c r="F8" s="1945" t="str">
        <x:v>A labour-control difference of 1% or less passes the internal comparison.</x:v>
      </x:c>
      <x:c r="G8" s="1945" t="str">
        <x:v>NO</x:v>
      </x:c>
      <x:c r="H8" s="1945" t="str">
        <x:v>SPECIALIST REVIEW REQUIRED; 1% is an internal choice, not an official standard.</x:v>
      </x:c>
      <x:c r="I8" s="1945" t="str">
        <x:v>Internal diagnostic threshold; not a statistical confidence interval</x:v>
      </x:c>
      <x:c r="J8" s="1945" t="str">
        <x:v>SPECIALIST NEEDED</x:v>
      </x:c>
      <x:c r="K8" s="1945" t="str"/>
      <x:c r="L8" s="1945" t="str">
        <x:v>National-accounts specialist</x:v>
      </x:c>
      <x:c r="M8" s="1945" t="str">
        <x:v>Cannot support publication by itself</x:v>
      </x:c>
      <x:c r="N8" s="1945" t="str">
        <x:v>NOT FINAL</x:v>
      </x:c>
    </x:row>
    <x:row r="9">
      <x:c r="A9" s="1945" t="str">
        <x:v>P-005</x:v>
      </x:c>
      <x:c r="B9" s="1945" t="str">
        <x:v>1e-06</x:v>
      </x:c>
      <x:c r="C9" s="1945" t="str">
        <x:v>$B</x:v>
      </x:c>
      <x:c r="D9" s="1945" t="str">
        <x:v>INTERNAL VALIDATION THRESHOLD</x:v>
      </x:c>
      <x:c r="E9" s="1945" t="str">
        <x:v>Production-identity reconciliation tolerance</x:v>
      </x:c>
      <x:c r="F9" s="1945" t="str">
        <x:v>A production identity may differ by at most $0.000001B, equal to $1,000.</x:v>
      </x:c>
      <x:c r="G9" s="1945" t="str">
        <x:v>NO</x:v>
      </x:c>
      <x:c r="H9" s="1945" t="str">
        <x:v>PROVISIONALLY RETAIN as an exactness/rounding gate.</x:v>
      </x:c>
      <x:c r="I9" s="1945" t="str">
        <x:v>Equivalent to $1,000; internal exactness gate</x:v>
      </x:c>
      <x:c r="J9" s="1945" t="str">
        <x:v>SPECIALIST NEEDED</x:v>
      </x:c>
      <x:c r="K9" s="1945" t="str"/>
      <x:c r="L9" s="1945" t="str">
        <x:v>Accountant / national-accounts specialist</x:v>
      </x:c>
      <x:c r="M9" s="1945" t="str">
        <x:v>Reconciliation control only</x:v>
      </x:c>
      <x:c r="N9" s="1945" t="str">
        <x:v>NOT FINAL</x:v>
      </x:c>
    </x:row>
    <x:row r="10">
      <x:c r="A10" s="1945" t="str">
        <x:v>P-006</x:v>
      </x:c>
      <x:c r="B10" s="1945" t="str">
        <x:v>1.5</x:v>
      </x:c>
      <x:c r="C10" s="1945" t="str">
        <x:v>x</x:v>
      </x:c>
      <x:c r="D10" s="1945" t="str">
        <x:v>INTERNAL DIAGNOSTIC THRESHOLD</x:v>
      </x:c>
      <x:c r="E10" s="1945" t="str">
        <x:v>Capital-proxy high-distortion upper ratio</x:v>
      </x:c>
      <x:c r="F10" s="1945" t="str">
        <x:v>A proxy ratio above 1.50 is labelled high distortion.</x:v>
      </x:c>
      <x:c r="G10" s="1945" t="str">
        <x:v>NO</x:v>
      </x:c>
      <x:c r="H10" s="1945" t="str">
        <x:v>Retain only as a falsification label; never use it to estimate capital.</x:v>
      </x:c>
      <x:c r="I10" s="1945" t="str">
        <x:v>Falsification threshold; rejected proxy remains diagnostic only</x:v>
      </x:c>
      <x:c r="J10" s="1945" t="str">
        <x:v>SPECIALIST NEEDED</x:v>
      </x:c>
      <x:c r="K10" s="1945" t="str"/>
      <x:c r="L10" s="1945" t="str">
        <x:v>Capital-account specialist</x:v>
      </x:c>
      <x:c r="M10" s="1945" t="str">
        <x:v>Rejected proxy diagnostic</x:v>
      </x:c>
      <x:c r="N10" s="1945" t="str">
        <x:v>NOT FINAL</x:v>
      </x:c>
    </x:row>
    <x:row r="11">
      <x:c r="A11" s="1945" t="str">
        <x:v>P-007</x:v>
      </x:c>
      <x:c r="B11" s="1945" t="str">
        <x:v>0.67</x:v>
      </x:c>
      <x:c r="C11" s="1945" t="str">
        <x:v>x</x:v>
      </x:c>
      <x:c r="D11" s="1945" t="str">
        <x:v>INTERNAL DIAGNOSTIC THRESHOLD</x:v>
      </x:c>
      <x:c r="E11" s="1945" t="str">
        <x:v>Capital-proxy high-distortion lower ratio</x:v>
      </x:c>
      <x:c r="F11" s="1945" t="str">
        <x:v>A proxy ratio below 0.67 is labelled high distortion.</x:v>
      </x:c>
      <x:c r="G11" s="1945" t="str">
        <x:v>NO</x:v>
      </x:c>
      <x:c r="H11" s="1945" t="str">
        <x:v>Retain only as a falsification label; never use it to estimate capital.</x:v>
      </x:c>
      <x:c r="I11" s="1945" t="str">
        <x:v>Falsification threshold; rejected proxy remains diagnostic only</x:v>
      </x:c>
      <x:c r="J11" s="1945" t="str">
        <x:v>SPECIALIST NEEDED</x:v>
      </x:c>
      <x:c r="K11" s="1945" t="str"/>
      <x:c r="L11" s="1945" t="str">
        <x:v>Capital-account specialist</x:v>
      </x:c>
      <x:c r="M11" s="1945" t="str">
        <x:v>Rejected proxy diagnostic</x:v>
      </x:c>
      <x:c r="N11" s="1945" t="str">
        <x:v>NOT FINAL</x:v>
      </x:c>
    </x:row>
    <x:row r="12">
      <x:c r="A12" s="1945" t="str">
        <x:v>P-008</x:v>
      </x:c>
      <x:c r="B12" s="1945" t="str">
        <x:v>1.25</x:v>
      </x:c>
      <x:c r="C12" s="1945" t="str">
        <x:v>x</x:v>
      </x:c>
      <x:c r="D12" s="1945" t="str">
        <x:v>INTERNAL DIAGNOSTIC THRESHOLD</x:v>
      </x:c>
      <x:c r="E12" s="1945" t="str">
        <x:v>Capital-proxy material-distortion upper ratio</x:v>
      </x:c>
      <x:c r="F12" s="1945" t="str">
        <x:v>A proxy ratio above 1.25 is labelled material distortion.</x:v>
      </x:c>
      <x:c r="G12" s="1945" t="str">
        <x:v>NO</x:v>
      </x:c>
      <x:c r="H12" s="1945" t="str">
        <x:v>Retain only as a descriptive stress band.</x:v>
      </x:c>
      <x:c r="I12" s="1945" t="str">
        <x:v>Falsification threshold; rejected proxy remains diagnostic only</x:v>
      </x:c>
      <x:c r="J12" s="1945" t="str">
        <x:v>SPECIALIST NEEDED</x:v>
      </x:c>
      <x:c r="K12" s="1945" t="str"/>
      <x:c r="L12" s="1945" t="str">
        <x:v>Capital-account specialist</x:v>
      </x:c>
      <x:c r="M12" s="1945" t="str">
        <x:v>Rejected proxy diagnostic</x:v>
      </x:c>
      <x:c r="N12" s="1945" t="str">
        <x:v>NOT FINAL</x:v>
      </x:c>
    </x:row>
    <x:row r="13">
      <x:c r="A13" s="1945" t="str">
        <x:v>P-009</x:v>
      </x:c>
      <x:c r="B13" s="1945" t="str">
        <x:v>0.8</x:v>
      </x:c>
      <x:c r="C13" s="1945" t="str">
        <x:v>x</x:v>
      </x:c>
      <x:c r="D13" s="1945" t="str">
        <x:v>INTERNAL DIAGNOSTIC THRESHOLD</x:v>
      </x:c>
      <x:c r="E13" s="1945" t="str">
        <x:v>Capital-proxy material-distortion lower ratio</x:v>
      </x:c>
      <x:c r="F13" s="1945" t="str">
        <x:v>A proxy ratio below 0.80 is labelled material distortion.</x:v>
      </x:c>
      <x:c r="G13" s="1945" t="str">
        <x:v>NO</x:v>
      </x:c>
      <x:c r="H13" s="1945" t="str">
        <x:v>Retain only as a descriptive stress band.</x:v>
      </x:c>
      <x:c r="I13" s="1945" t="str">
        <x:v>Falsification threshold; rejected proxy remains diagnostic only</x:v>
      </x:c>
      <x:c r="J13" s="1945" t="str">
        <x:v>SPECIALIST NEEDED</x:v>
      </x:c>
      <x:c r="K13" s="1945" t="str"/>
      <x:c r="L13" s="1945" t="str">
        <x:v>Capital-account specialist</x:v>
      </x:c>
      <x:c r="M13" s="1945" t="str">
        <x:v>Rejected proxy diagnostic</x:v>
      </x:c>
      <x:c r="N13" s="1945" t="str">
        <x:v>NOT FINAL</x:v>
      </x:c>
    </x:row>
    <x:row r="14">
      <x:c r="A14" s="1945" t="str">
        <x:v>P-010</x:v>
      </x:c>
      <x:c r="B14" s="1945" t="str">
        <x:v>0.25</x:v>
      </x:c>
      <x:c r="C14" s="1945" t="str">
        <x:v>share</x:v>
      </x:c>
      <x:c r="D14" s="1945" t="str">
        <x:v>ILLUSTRATIVE TIMING ASSUMPTION</x:v>
      </x:c>
      <x:c r="E14" s="1945" t="str">
        <x:v>Prior fiscal-year weight in calendar-2024 bridge</x:v>
      </x:c>
      <x:c r="F14" s="1945" t="str">
        <x:v>One quarter of the prior fiscal year is used in an illustrative calendar-year blend.</x:v>
      </x:c>
      <x:c r="G14" s="1945" t="str">
        <x:v>YES, AS SCENARIO ONLY</x:v>
      </x:c>
      <x:c r="H14" s="1945" t="str">
        <x:v>Accept only if clearly labelled illustrative and never official.</x:v>
      </x:c>
      <x:c r="I14" s="1945" t="str">
        <x:v>Uniform quarterly-accrual illustration; not an official conversion</x:v>
      </x:c>
      <x:c r="J14" s="1945" t="str">
        <x:v>ACCEPT AS SCENARIO ONLY</x:v>
      </x:c>
      <x:c r="K14" s="1945" t="str"/>
      <x:c r="L14" s="1945" t="str">
        <x:v>Public-finance specialist for external use</x:v>
      </x:c>
      <x:c r="M14" s="1945" t="str">
        <x:v>No official calendar conversion</x:v>
      </x:c>
      <x:c r="N14" s="1945" t="str">
        <x:v>NOT FINAL</x:v>
      </x:c>
    </x:row>
    <x:row r="15">
      <x:c r="A15" s="1945" t="str">
        <x:v>P-011</x:v>
      </x:c>
      <x:c r="B15" s="1945" t="str">
        <x:v>0.75</x:v>
      </x:c>
      <x:c r="C15" s="1945" t="str">
        <x:v>share</x:v>
      </x:c>
      <x:c r="D15" s="1945" t="str">
        <x:v>ILLUSTRATIVE TIMING ASSUMPTION</x:v>
      </x:c>
      <x:c r="E15" s="1945" t="str">
        <x:v>Current fiscal-year weight in calendar-2024 bridge</x:v>
      </x:c>
      <x:c r="F15" s="1945" t="str">
        <x:v>Three quarters of the current fiscal year is used in the same illustrative blend.</x:v>
      </x:c>
      <x:c r="G15" s="1945" t="str">
        <x:v>YES, AS SCENARIO ONLY</x:v>
      </x:c>
      <x:c r="H15" s="1945" t="str">
        <x:v>Accept only if clearly labelled illustrative and never official.</x:v>
      </x:c>
      <x:c r="I15" s="1945" t="str">
        <x:v>Uniform quarterly-accrual illustration; not an official conversion</x:v>
      </x:c>
      <x:c r="J15" s="1945" t="str">
        <x:v>ACCEPT AS SCENARIO ONLY</x:v>
      </x:c>
      <x:c r="K15" s="1945" t="str"/>
      <x:c r="L15" s="1945" t="str">
        <x:v>Public-finance specialist for external use</x:v>
      </x:c>
      <x:c r="M15" s="1945" t="str">
        <x:v>No official calendar conversion</x:v>
      </x:c>
      <x:c r="N15" s="1945" t="str">
        <x:v>NOT FINAL</x:v>
      </x:c>
    </x:row>
    <x:row r="16">
      <x:c r="A16" s="1945" t="str">
        <x:v>P-012</x:v>
      </x:c>
      <x:c r="B16" s="1945" t="str">
        <x:v>0.5</x:v>
      </x:c>
      <x:c r="C16" s="1945" t="str">
        <x:v>share of annual deposits</x:v>
      </x:c>
      <x:c r="D16" s="1945" t="str">
        <x:v>SCENARIO TIMING ASSUMPTION</x:v>
      </x:c>
      <x:c r="E16" s="1945" t="str">
        <x:v>Mid-year deposit timing factor in fund-return calculation</x:v>
      </x:c>
      <x:c r="F16" s="1945" t="str">
        <x:v>Annual fund deposits are assumed to arrive halfway through the year on average.</x:v>
      </x:c>
      <x:c r="G16" s="1945" t="str">
        <x:v>YES, AS SCENARIO ONLY</x:v>
      </x:c>
      <x:c r="H16" s="1945" t="str">
        <x:v>Accept as a visible convention; run sensitivity at 0 and 1.</x:v>
      </x:c>
      <x:c r="I16" s="1945" t="str">
        <x:v>Deposits assumed to arrive evenly through the year</x:v>
      </x:c>
      <x:c r="J16" s="1945" t="str">
        <x:v>ACCEPT AS SCENARIO ONLY</x:v>
      </x:c>
      <x:c r="K16" s="1945" t="str"/>
      <x:c r="L16" s="1945" t="str">
        <x:v>Investment modeller for external forecast</x:v>
      </x:c>
      <x:c r="M16" s="1945" t="str">
        <x:v>Scenario output only</x:v>
      </x:c>
      <x:c r="N16" s="1945" t="str">
        <x:v>NOT FINAL</x:v>
      </x:c>
    </x:row>
    <x:row r="17">
      <x:c r="A17" s="1945" t="str">
        <x:v>P-013</x:v>
      </x:c>
      <x:c r="B17" s="1945" t="str">
        <x:v>2026</x:v>
      </x:c>
      <x:c r="C17" s="1945" t="str">
        <x:v>year</x:v>
      </x:c>
      <x:c r="D17" s="1945" t="str">
        <x:v>ILLUSTRATIVE SCENARIO INPUT</x:v>
      </x:c>
      <x:c r="E17" s="1945" t="str">
        <x:v>Illustrative transit-corridor project year</x:v>
      </x:c>
      <x:c r="F17" s="1945" t="str">
        <x:v>The example infrastructure project is assigned the year 2026.</x:v>
      </x:c>
      <x:c r="G17" s="1945" t="str">
        <x:v>YES, AS EXAMPLE ONLY</x:v>
      </x:c>
      <x:c r="H17" s="1945" t="str">
        <x:v>Do not approve for publication; replace with a real project.</x:v>
      </x:c>
      <x:c r="I17" s="1945" t="str">
        <x:v>Example only; replace with a defined project dataset</x:v>
      </x:c>
      <x:c r="J17" s="1945" t="str">
        <x:v>ACCEPT AS SCENARIO ONLY</x:v>
      </x:c>
      <x:c r="K17" s="1945" t="str"/>
      <x:c r="L17" s="1945" t="str">
        <x:v>None until a real dossier exists</x:v>
      </x:c>
      <x:c r="M17" s="1945" t="str">
        <x:v>Illustration only</x:v>
      </x:c>
      <x:c r="N17" s="1945" t="str">
        <x:v>NOT FINAL</x:v>
      </x:c>
    </x:row>
    <x:row r="18">
      <x:c r="A18" s="1945" t="str">
        <x:v>P-014</x:v>
      </x:c>
      <x:c r="B18" s="1945" t="str">
        <x:v>5.0</x:v>
      </x:c>
      <x:c r="C18" s="1945" t="str">
        <x:v>$B</x:v>
      </x:c>
      <x:c r="D18" s="1945" t="str">
        <x:v>ILLUSTRATIVE SCENARIO INPUT</x:v>
      </x:c>
      <x:c r="E18" s="1945" t="str">
        <x:v>Illustrative public project cost</x:v>
      </x:c>
      <x:c r="F18" s="1945" t="str">
        <x:v>The example project cost is $5B.</x:v>
      </x:c>
      <x:c r="G18" s="1945" t="str">
        <x:v>YES, AS EXAMPLE ONLY</x:v>
      </x:c>
      <x:c r="H18" s="1945" t="str">
        <x:v>Do not approve for publication; replace with evidence.</x:v>
      </x:c>
      <x:c r="I18" s="1945" t="str">
        <x:v>Example only; replace with project evidence</x:v>
      </x:c>
      <x:c r="J18" s="1945" t="str">
        <x:v>ACCEPT AS SCENARIO ONLY</x:v>
      </x:c>
      <x:c r="K18" s="1945" t="str"/>
      <x:c r="L18" s="1945" t="str">
        <x:v>None until a real dossier exists</x:v>
      </x:c>
      <x:c r="M18" s="1945" t="str">
        <x:v>Illustration only</x:v>
      </x:c>
      <x:c r="N18" s="1945" t="str">
        <x:v>NOT FINAL</x:v>
      </x:c>
    </x:row>
    <x:row r="19">
      <x:c r="A19" s="1945" t="str">
        <x:v>P-015</x:v>
      </x:c>
      <x:c r="B19" s="1945" t="str">
        <x:v>50.0</x:v>
      </x:c>
      <x:c r="C19" s="1945" t="str">
        <x:v>$B</x:v>
      </x:c>
      <x:c r="D19" s="1945" t="str">
        <x:v>ILLUSTRATIVE SCENARIO INPUT</x:v>
      </x:c>
      <x:c r="E19" s="1945" t="str">
        <x:v>Illustrative affected pre-project land value</x:v>
      </x:c>
      <x:c r="F19" s="1945" t="str">
        <x:v>The example assumes $50B of affected land value.</x:v>
      </x:c>
      <x:c r="G19" s="1945" t="str">
        <x:v>YES, AS EXAMPLE ONLY</x:v>
      </x:c>
      <x:c r="H19" s="1945" t="str">
        <x:v>Do not approve for publication; replace with evidence.</x:v>
      </x:c>
      <x:c r="I19" s="1945" t="str">
        <x:v>Example only; replace with assessed-value evidence</x:v>
      </x:c>
      <x:c r="J19" s="1945" t="str">
        <x:v>ACCEPT AS SCENARIO ONLY</x:v>
      </x:c>
      <x:c r="K19" s="1945" t="str"/>
      <x:c r="L19" s="1945" t="str">
        <x:v>Land economist / assessor</x:v>
      </x:c>
      <x:c r="M19" s="1945" t="str">
        <x:v>Illustration only</x:v>
      </x:c>
      <x:c r="N19" s="1945" t="str">
        <x:v>NOT FINAL</x:v>
      </x:c>
    </x:row>
    <x:row r="20">
      <x:c r="A20" s="1945" t="str">
        <x:v>P-016</x:v>
      </x:c>
      <x:c r="B20" s="1945" t="str">
        <x:v>0.05</x:v>
      </x:c>
      <x:c r="C20" s="1945" t="str">
        <x:v>rate</x:v>
      </x:c>
      <x:c r="D20" s="1945" t="str">
        <x:v>ILLUSTRATIVE SCENARIO INPUT</x:v>
      </x:c>
      <x:c r="E20" s="1945" t="str">
        <x:v>Illustrative control-area appreciation</x:v>
      </x:c>
      <x:c r="F20" s="1945" t="str">
        <x:v>The example control area appreciates by 5%.</x:v>
      </x:c>
      <x:c r="G20" s="1945" t="str">
        <x:v>YES, AS EXAMPLE ONLY</x:v>
      </x:c>
      <x:c r="H20" s="1945" t="str">
        <x:v>Do not approve as causal evidence.</x:v>
      </x:c>
      <x:c r="I20" s="1945" t="str">
        <x:v>Example only; requires causal control design</x:v>
      </x:c>
      <x:c r="J20" s="1945" t="str">
        <x:v>ACCEPT AS SCENARIO ONLY</x:v>
      </x:c>
      <x:c r="K20" s="1945" t="str"/>
      <x:c r="L20" s="1945" t="str">
        <x:v>Causal-inference / land-economics specialist</x:v>
      </x:c>
      <x:c r="M20" s="1945" t="str">
        <x:v>Illustration only</x:v>
      </x:c>
      <x:c r="N20" s="1945" t="str">
        <x:v>NOT FINAL</x:v>
      </x:c>
    </x:row>
    <x:row r="21">
      <x:c r="A21" s="1946" t="str">
        <x:v>P-017</x:v>
      </x:c>
      <x:c r="B21" s="1946" t="str">
        <x:v>0.15</x:v>
      </x:c>
      <x:c r="C21" s="1946" t="str">
        <x:v>rate</x:v>
      </x:c>
      <x:c r="D21" s="1946" t="str">
        <x:v>ILLUSTRATIVE SCENARIO INPUT</x:v>
      </x:c>
      <x:c r="E21" s="1946" t="str">
        <x:v>Illustrative project-area appreciation</x:v>
      </x:c>
      <x:c r="F21" s="1946" t="str">
        <x:v>The example project area appreciates by 15%.</x:v>
      </x:c>
      <x:c r="G21" s="1946" t="str">
        <x:v>YES, AS EXAMPLE ONLY</x:v>
      </x:c>
      <x:c r="H21" s="1946" t="str">
        <x:v>Do not approve as causal evidence.</x:v>
      </x:c>
      <x:c r="I21" s="1946" t="str">
        <x:v>Example only; requires causal control design</x:v>
      </x:c>
      <x:c r="J21" s="1946" t="str">
        <x:v>ACCEPT AS SCENARIO ONLY</x:v>
      </x:c>
      <x:c r="K21" s="1946" t="str"/>
      <x:c r="L21" s="1946" t="str">
        <x:v>Causal-inference / land-economics specialist</x:v>
      </x:c>
      <x:c r="M21" s="1946" t="str">
        <x:v>Illustration only</x:v>
      </x:c>
      <x:c r="N21" s="1946" t="str">
        <x:v>NOT FINAL</x:v>
      </x:c>
    </x:row>
  </x:sheetData>
  <x:mergeCells>
    <x:mergeCell ref="A1:N1"/>
    <x:mergeCell ref="A2:N2"/>
  </x:mergeCells>
  <x:conditionalFormatting sqref="J5:J21">
    <x:cfRule type="expression" dxfId="40" priority="1">
      <x:formula>J5="SPECIALIST NEEDED"</x:formula>
    </x:cfRule>
    <x:cfRule type="expression" dxfId="41" priority="2">
      <x:formula>J5="REJECT"</x:formula>
    </x:cfRule>
    <x:cfRule type="expression" dxfId="42" priority="3">
      <x:formula>J5="ACCEPT AS SCENARIO ONLY"</x:formula>
    </x:cfRule>
  </x:conditionalFormatting>
  <x:dataValidations count="2">
    <x:dataValidation type="list" sqref="J5:J21">
      <x:formula1>"VERIFY SOURCE,ACCEPT AS SCENARIO ONLY,ACCEPT PROVISIONALLY,REVISE,REJECT,SPECIALIST NEEDED"</x:formula1>
    </x:dataValidation>
    <x:dataValidation type="list" sqref="N5:N21">
      <x:formula1>"NOT FINAL,SOURCE VERIFIED,PROVISIONAL,APPROVED BY SPECIALIST,REJECTED"</x:formula1>
    </x:dataValidation>
  </x:dataValidations>
  <x:pageMargins left="0.7" right="0.7" top="0.75" bottom="0.75" header="0.3" footer="0.3"/>
  <x:tableParts count="1">
    <x:tablePart xmlns:r="http://schemas.openxmlformats.org/officeDocument/2006/relationships" r:id="R80f18e82ce0544cc"/>
  </x:tableParts>
</x:worksheet>
</file>

<file path=xl/worksheets/sheet65.xml><?xml version="1.0" encoding="utf-8"?>
<x:worksheet xmlns:x="http://schemas.openxmlformats.org/spreadsheetml/2006/main">
  <x:sheetFormatPr defaultRowHeight="15"/>
  <x:cols>
    <x:col min="1" max="1" width="35" hidden="0" customWidth="1"/>
    <x:col min="2" max="2" width="16" hidden="0" customWidth="1"/>
    <x:col min="3" max="3" width="5" hidden="0" customWidth="1"/>
    <x:col min="4" max="4" width="34" hidden="0" customWidth="1"/>
    <x:col min="5" max="5" width="16" hidden="0" customWidth="1"/>
    <x:col min="6" max="6" width="24" hidden="0" customWidth="1"/>
    <x:col min="7" max="7" width="24" hidden="0" customWidth="1"/>
    <x:col min="8" max="8" width="24" hidden="0" customWidth="1"/>
  </x:cols>
  <x:sheetData>
    <x:row r="1" ht="28" customHeight="1">
      <x:c r="A1" s="1916" t="str">
        <x:v>Human Review Progress and Publication Gate</x:v>
      </x:c>
      <x:c r="B1" s="1916"/>
      <x:c r="C1" s="1916"/>
      <x:c r="D1" s="1916"/>
      <x:c r="E1" s="1916"/>
      <x:c r="F1" s="1916"/>
      <x:c r="G1" s="1916"/>
      <x:c r="H1" s="1916"/>
    </x:row>
    <x:row r="2" ht="48" customHeight="1">
      <x:c r="A2" s="1920" t="str">
        <x:v>This sheet updates as decisions are entered in Human_Source_Checklist and Threshold_Approval. The model remains locked while required source checks fail or require specialist review.</x:v>
      </x:c>
      <x:c r="B2" s="1920"/>
      <x:c r="C2" s="1920"/>
      <x:c r="D2" s="1920"/>
      <x:c r="E2" s="1920"/>
      <x:c r="F2" s="1920"/>
      <x:c r="G2" s="1920"/>
      <x:c r="H2" s="1920"/>
    </x:row>
    <x:row r="4">
      <x:c r="A4" s="1922" t="str">
        <x:v>Required source sample</x:v>
      </x:c>
      <x:c r="B4" s="1922"/>
      <x:c r="C4" s="1922"/>
      <x:c r="D4" s="1922" t="str">
        <x:v>Threshold decisions</x:v>
      </x:c>
      <x:c r="E4" s="1922"/>
      <x:c r="F4" s="1922"/>
      <x:c r="G4" s="1922"/>
      <x:c r="H4" s="1922"/>
    </x:row>
    <x:row r="5">
      <x:c r="A5" s="1938" t="str">
        <x:v>Metric</x:v>
      </x:c>
      <x:c r="B5" s="1940" t="str">
        <x:v>Count</x:v>
      </x:c>
      <x:c r="D5" s="1938" t="str">
        <x:v>Metric</x:v>
      </x:c>
      <x:c r="E5" s="1940" t="str">
        <x:v>Count</x:v>
      </x:c>
    </x:row>
    <x:row r="6">
      <x:c r="A6" t="str">
        <x:v>Required sample rows</x:v>
      </x:c>
      <x:c r="B6" t="n">
        <x:v>14</x:v>
      </x:c>
      <x:c r="D6" t="str">
        <x:v>Parameters</x:v>
      </x:c>
      <x:c r="E6" t="n">
        <x:v>17</x:v>
      </x:c>
    </x:row>
    <x:row r="7">
      <x:c r="A7" t="str">
        <x:v>Reviewed required rows</x:v>
      </x:c>
      <x:c r="B7" t="n">
        <x:f>COUNTIFS(Human_Source_Checklist!$A$5:$A$32,"REQUIRED SAMPLE",Human_Source_Checklist!$P$5:$P$32,"&lt;&gt;NOT REVIEWED")</x:f>
        <x:v>0</x:v>
      </x:c>
      <x:c r="D7" t="str">
        <x:v>Source verification items</x:v>
      </x:c>
      <x:c r="E7" t="n">
        <x:f>COUNTIF(Threshold_Approval!$J$5:$J$21,"VERIFY SOURCE")</x:f>
        <x:v>2</x:v>
      </x:c>
    </x:row>
    <x:row r="8">
      <x:c r="A8" t="str">
        <x:v>Passed</x:v>
      </x:c>
      <x:c r="B8" t="n">
        <x:f>COUNTIFS(Human_Source_Checklist!$A$5:$A$32,"REQUIRED SAMPLE",Human_Source_Checklist!$P$5:$P$32,"PASS")</x:f>
        <x:v>0</x:v>
      </x:c>
      <x:c r="D8" t="str">
        <x:v>Scenario-only decisions</x:v>
      </x:c>
      <x:c r="E8" t="n">
        <x:f>COUNTIF(Threshold_Approval!$J$5:$J$21,"ACCEPT AS SCENARIO ONLY")</x:f>
        <x:v>8</x:v>
      </x:c>
    </x:row>
    <x:row r="9">
      <x:c r="A9" t="str">
        <x:v>Passed with note</x:v>
      </x:c>
      <x:c r="B9" t="n">
        <x:f>COUNTIFS(Human_Source_Checklist!$A$5:$A$32,"REQUIRED SAMPLE",Human_Source_Checklist!$P$5:$P$32,"PASS WITH NOTE")</x:f>
        <x:v>0</x:v>
      </x:c>
      <x:c r="D9" t="str">
        <x:v>Provisional accepts</x:v>
      </x:c>
      <x:c r="E9" t="n">
        <x:f>COUNTIF(Threshold_Approval!$J$5:$J$21,"ACCEPT PROVISIONALLY")</x:f>
        <x:v>0</x:v>
      </x:c>
    </x:row>
    <x:row r="10">
      <x:c r="A10" t="str">
        <x:v>Failed</x:v>
      </x:c>
      <x:c r="B10" t="n">
        <x:f>COUNTIFS(Human_Source_Checklist!$A$5:$A$32,"REQUIRED SAMPLE",Human_Source_Checklist!$P$5:$P$32,"FAIL")</x:f>
        <x:v>0</x:v>
      </x:c>
      <x:c r="D10" t="str">
        <x:v>Specialist needed</x:v>
      </x:c>
      <x:c r="E10" t="n">
        <x:f>COUNTIF(Threshold_Approval!$J$5:$J$21,"SPECIALIST NEEDED")</x:f>
        <x:v>7</x:v>
      </x:c>
    </x:row>
    <x:row r="11">
      <x:c r="A11" t="str">
        <x:v>Specialist needed</x:v>
      </x:c>
      <x:c r="B11" t="n">
        <x:f>COUNTIFS(Human_Source_Checklist!$A$5:$A$32,"REQUIRED SAMPLE",Human_Source_Checklist!$P$5:$P$32,"SPECIALIST NEEDED")</x:f>
        <x:v>0</x:v>
      </x:c>
      <x:c r="D11" t="str">
        <x:v>Rejected/revise</x:v>
      </x:c>
      <x:c r="E11" t="n">
        <x:f>COUNTIF(Threshold_Approval!$J$5:$J$21,"REJECT")+COUNTIF(Threshold_Approval!$J$5:$J$21,"REVISE")</x:f>
        <x:v>0</x:v>
      </x:c>
    </x:row>
    <x:row r="12">
      <x:c r="A12" t="str">
        <x:v>Not reviewed</x:v>
      </x:c>
      <x:c r="B12" t="n">
        <x:f>COUNTIFS(Human_Source_Checklist!$A$5:$A$32,"REQUIRED SAMPLE",Human_Source_Checklist!$P$5:$P$32,"NOT REVIEWED")</x:f>
        <x:v>14</x:v>
      </x:c>
    </x:row>
    <x:row r="15">
      <x:c r="A15" s="1922" t="str">
        <x:v>Mechanical review gate</x:v>
      </x:c>
      <x:c r="B15" s="1922"/>
      <x:c r="C15" s="1922"/>
      <x:c r="D15" s="1922" t="str">
        <x:v>What PASS does and does not mean</x:v>
      </x:c>
      <x:c r="E15" s="1922"/>
      <x:c r="F15" s="1922"/>
      <x:c r="G15" s="1922"/>
      <x:c r="H15" s="1922"/>
    </x:row>
    <x:row r="16">
      <x:c r="A16" s="1938" t="str">
        <x:v>Gate</x:v>
      </x:c>
      <x:c r="B16" s="1940" t="str">
        <x:v>Result</x:v>
      </x:c>
      <x:c r="D16" s="1950" t="str">
        <x:v>A PASS means the sampled source lineage matches the workbook and the visible scenario conventions have been classified. It does not authorize commodity economic rent, a national rent-capture percentage, or technical thresholds still awaiting specialist approval.</x:v>
      </x:c>
      <x:c r="E16" s="1950"/>
      <x:c r="F16" s="1950"/>
      <x:c r="G16" s="1950"/>
      <x:c r="H16" s="1950"/>
    </x:row>
    <x:row r="17">
      <x:c r="A17" t="str">
        <x:v>Required sample complete</x:v>
      </x:c>
      <x:c r="B17" t="str">
        <x:f>IF(B12=0,"PASS","OPEN")</x:f>
        <x:v>OPEN</x:v>
      </x:c>
      <x:c r="D17" s="1950"/>
      <x:c r="E17" s="1950"/>
      <x:c r="F17" s="1950"/>
      <x:c r="G17" s="1950"/>
      <x:c r="H17" s="1950"/>
    </x:row>
    <x:row r="18">
      <x:c r="A18" t="str">
        <x:v>No required failures</x:v>
      </x:c>
      <x:c r="B18" t="str">
        <x:f>IF(B10=0,"PASS","FAIL")</x:f>
        <x:v>PASS</x:v>
      </x:c>
      <x:c r="D18" s="1950"/>
      <x:c r="E18" s="1950"/>
      <x:c r="F18" s="1950"/>
      <x:c r="G18" s="1950"/>
      <x:c r="H18" s="1950"/>
    </x:row>
    <x:row r="19">
      <x:c r="A19" t="str">
        <x:v>No unresolved specialist items</x:v>
      </x:c>
      <x:c r="B19" t="str">
        <x:f>IF(B11=0,"PASS","OPEN")</x:f>
        <x:v>PASS</x:v>
      </x:c>
      <x:c r="D19" s="1950"/>
      <x:c r="E19" s="1950"/>
      <x:c r="F19" s="1950"/>
      <x:c r="G19" s="1950"/>
      <x:c r="H19" s="1950"/>
    </x:row>
    <x:row r="20">
      <x:c r="A20" t="str">
        <x:v>Threshold source items verified</x:v>
      </x:c>
      <x:c r="B20" t="str">
        <x:f>IF(COUNTIF(Threshold_Approval!$J$5:$J$21,"VERIFY SOURCE")=0,"PASS","OPEN")</x:f>
        <x:v>OPEN</x:v>
      </x:c>
      <x:c r="D20" s="1950"/>
      <x:c r="E20" s="1950"/>
      <x:c r="F20" s="1950"/>
      <x:c r="G20" s="1950"/>
      <x:c r="H20" s="1950"/>
    </x:row>
    <x:row r="21">
      <x:c r="A21" t="str">
        <x:v>Human source-review gate</x:v>
      </x:c>
      <x:c r="B21" t="str">
        <x:f>IF(AND(B17="PASS",B18="PASS",B19="PASS",B20="PASS"),"PASS",IF(B18="FAIL","FAIL","OPEN"))</x:f>
        <x:v>OPEN</x:v>
      </x:c>
      <x:c r="D21" s="1950"/>
      <x:c r="E21" s="1950"/>
      <x:c r="F21" s="1950"/>
      <x:c r="G21" s="1950"/>
      <x:c r="H21" s="1950"/>
    </x:row>
    <x:row r="24">
      <x:c r="A24" s="1922" t="str">
        <x:v>Current terminal state</x:v>
      </x:c>
      <x:c r="B24" s="1922"/>
      <x:c r="C24" s="1922"/>
      <x:c r="D24" s="1922"/>
      <x:c r="E24" s="1922"/>
      <x:c r="F24" s="1922"/>
      <x:c r="G24" s="1922"/>
      <x:c r="H24" s="1922"/>
    </x:row>
    <x:row r="25">
      <x:c r="A25" s="1954" t="str">
        <x:v>HUMAN REVIEW KIT PREPARED — REVIEW NOT YET PERFORMED. Commodity economic-rent rows remain at zero, the national rent-capture percentage remains unauthorized, and specialist review remains required for technical capital and threshold questions.</x:v>
      </x:c>
      <x:c r="B25" s="1954"/>
      <x:c r="C25" s="1954"/>
      <x:c r="D25" s="1954"/>
      <x:c r="E25" s="1954"/>
      <x:c r="F25" s="1954"/>
      <x:c r="G25" s="1954"/>
      <x:c r="H25" s="1954"/>
    </x:row>
    <x:row r="26">
      <x:c r="A26" s="1954"/>
      <x:c r="B26" s="1954"/>
      <x:c r="C26" s="1954"/>
      <x:c r="D26" s="1954"/>
      <x:c r="E26" s="1954"/>
      <x:c r="F26" s="1954"/>
      <x:c r="G26" s="1954"/>
      <x:c r="H26" s="1954"/>
    </x:row>
    <x:row r="27">
      <x:c r="A27" s="1954"/>
      <x:c r="B27" s="1954"/>
      <x:c r="C27" s="1954"/>
      <x:c r="D27" s="1954"/>
      <x:c r="E27" s="1954"/>
      <x:c r="F27" s="1954"/>
      <x:c r="G27" s="1954"/>
      <x:c r="H27" s="1954"/>
    </x:row>
    <x:row r="28">
      <x:c r="A28" s="1954"/>
      <x:c r="B28" s="1954"/>
      <x:c r="C28" s="1954"/>
      <x:c r="D28" s="1954"/>
      <x:c r="E28" s="1954"/>
      <x:c r="F28" s="1954"/>
      <x:c r="G28" s="1954"/>
      <x:c r="H28" s="1954"/>
    </x:row>
  </x:sheetData>
  <x:mergeCells>
    <x:mergeCell ref="A1:H1"/>
    <x:mergeCell ref="A2:H2"/>
    <x:mergeCell ref="A4:H4"/>
    <x:mergeCell ref="D4:H4"/>
    <x:mergeCell ref="A15:H15"/>
    <x:mergeCell ref="D15:H15"/>
    <x:mergeCell ref="D16:H21"/>
    <x:mergeCell ref="A24:H24"/>
    <x:mergeCell ref="A25:H28"/>
  </x:mergeCells>
  <x:conditionalFormatting sqref="B17:B21">
    <x:cfRule type="expression" dxfId="43" priority="1">
      <x:formula>B17="PASS"</x:formula>
    </x:cfRule>
    <x:cfRule type="expression" dxfId="44" priority="2">
      <x:formula>B17="OPEN"</x:formula>
    </x:cfRule>
    <x:cfRule type="expression" dxfId="45" priority="3">
      <x:formula>B17="FAIL"</x:formula>
    </x:cfRule>
  </x:conditionalFormatting>
  <x:pageMargins left="0.7" right="0.7" top="0.75" bottom="0.75" header="0.3" footer="0.3"/>
</x:worksheet>
</file>

<file path=xl/worksheets/sheet66.xml><?xml version="1.0" encoding="utf-8"?>
<x:worksheet xmlns:x="http://schemas.openxmlformats.org/spreadsheetml/2006/main">
  <x:sheetFormatPr defaultRowHeight="15"/>
  <x:cols>
    <x:col min="1" max="1" width="8" hidden="0" customWidth="1"/>
    <x:col min="2" max="2" width="12" hidden="0" customWidth="1"/>
    <x:col min="3" max="3" width="35" hidden="0" customWidth="1"/>
    <x:col min="4" max="4" width="48" hidden="0" customWidth="1"/>
    <x:col min="5" max="5" width="35" hidden="0" customWidth="1"/>
    <x:col min="6" max="6" width="39" hidden="0" customWidth="1"/>
    <x:col min="7" max="7" width="48" hidden="0" customWidth="1"/>
    <x:col min="8" max="8" width="42" hidden="0" customWidth="1"/>
    <x:col min="9" max="9" width="38" hidden="0" customWidth="1"/>
    <x:col min="10" max="10" width="31" hidden="0" customWidth="1"/>
    <x:col min="11" max="11" width="20" hidden="0" customWidth="1"/>
    <x:col min="12" max="12" width="38" hidden="0" customWidth="1"/>
    <x:col min="13" max="13" width="42" hidden="0" customWidth="1"/>
  </x:cols>
  <x:sheetData>
    <x:row r="1" ht="28" customHeight="1">
      <x:c r="A1" s="1916" t="str">
        <x:v>Required Source Review — Guided Walkthrough</x:v>
      </x:c>
      <x:c r="B1" s="1916"/>
      <x:c r="C1" s="1916"/>
      <x:c r="D1" s="1916"/>
      <x:c r="E1" s="1916"/>
      <x:c r="F1" s="1916"/>
      <x:c r="G1" s="1916"/>
      <x:c r="H1" s="1916"/>
      <x:c r="I1" s="1916"/>
      <x:c r="J1" s="1916"/>
      <x:c r="K1" s="1916"/>
      <x:c r="L1" s="1916"/>
      <x:c r="M1" s="1916"/>
    </x:row>
    <x:row r="2" ht="48" customHeight="1">
      <x:c r="A2" s="1920" t="str">
        <x:v>Complete these 14 checks in order. The instructions tell you what to search for, what result is expected, and when the correct answer is SPECIALIST NEEDED.</x:v>
      </x:c>
      <x:c r="B2" s="1920"/>
      <x:c r="C2" s="1920"/>
      <x:c r="D2" s="1920"/>
      <x:c r="E2" s="1920"/>
      <x:c r="F2" s="1920"/>
      <x:c r="G2" s="1920"/>
      <x:c r="H2" s="1920"/>
      <x:c r="I2" s="1920"/>
      <x:c r="J2" s="1920"/>
      <x:c r="K2" s="1920"/>
      <x:c r="L2" s="1920"/>
      <x:c r="M2" s="1920"/>
    </x:row>
    <x:row r="4">
      <x:c r="A4" s="1938" t="str">
        <x:v>Order</x:v>
      </x:c>
      <x:c r="B4" s="1939" t="str">
        <x:v>Lineage ID</x:v>
      </x:c>
      <x:c r="C4" s="1939" t="str">
        <x:v>Source / table</x:v>
      </x:c>
      <x:c r="D4" s="1939" t="str">
        <x:v>Source URL</x:v>
      </x:c>
      <x:c r="E4" s="1939" t="str">
        <x:v>Search for</x:v>
      </x:c>
      <x:c r="F4" s="1939" t="str">
        <x:v>Workbook claim</x:v>
      </x:c>
      <x:c r="G4" s="1939" t="str">
        <x:v>Simple review action</x:v>
      </x:c>
      <x:c r="H4" s="1939" t="str">
        <x:v>Expected result</x:v>
      </x:c>
      <x:c r="I4" s="1939" t="str">
        <x:v>Boundary warning</x:v>
      </x:c>
      <x:c r="J4" s="1939" t="str">
        <x:v>Suggested decision</x:v>
      </x:c>
      <x:c r="K4" s="1939" t="str">
        <x:v>Your decision</x:v>
      </x:c>
      <x:c r="L4" s="1939" t="str">
        <x:v>Exact location / note</x:v>
      </x:c>
      <x:c r="M4" s="1940" t="str">
        <x:v>Escalation question</x:v>
      </x:c>
    </x:row>
    <x:row r="5">
      <x:c r="A5" s="1945" t="n">
        <x:v>1</x:v>
      </x:c>
      <x:c r="B5" s="1945" t="str">
        <x:v>LIN-001</x:v>
      </x:c>
      <x:c r="C5" s="1945" t="str">
        <x:v>Statistics Canada table 10-10-0016-01</x:v>
      </x:c>
      <x:c r="D5" s="1945" t="str">
        <x:v>https://www150.statcan.gc.ca/t1/tbl1/en/tv.action?pid=1010001601</x:v>
      </x:c>
      <x:c r="E5" s="1945" t="str">
        <x:v>2024; rent; federal government; Alberta; Saskatchewan</x:v>
      </x:c>
      <x:c r="F5" s="1945" t="str">
        <x:v>The imported package contains 82 rent-component observations and all 14 jurisdiction balances.</x:v>
      </x:c>
      <x:c r="G5" s="1945" t="str">
        <x:v>Check three representative jurisdictions against the workbook, then confirm the receipt reports 82 observations and 14 balanced jurisdictions.</x:v>
      </x:c>
      <x:c r="H5" s="1945" t="str">
        <x:v>The selected source values match the corresponding CGFS_Rent_Components rows and the receipt count is 82.</x:v>
      </x:c>
      <x:c r="I5" s="1945" t="str">
        <x:v>This is government-finance rent, not economic resource rent.</x:v>
      </x:c>
      <x:c r="J5" s="1945" t="str">
        <x:v>PASS WITH NOTE if the representative values and receipt count match.</x:v>
      </x:c>
      <x:c r="K5" s="1945" t="str">
        <x:v>NOT REVIEWED</x:v>
      </x:c>
      <x:c r="L5" s="1945" t="str"/>
      <x:c r="M5" s="1945" t="str">
        <x:v>Ask a Statistics Canada/public-finance reviewer if the component classification is unclear.</x:v>
      </x:c>
    </x:row>
    <x:row r="6">
      <x:c r="A6" s="1945" t="n">
        <x:v>2</x:v>
      </x:c>
      <x:c r="B6" s="1945" t="str">
        <x:v>LIN-003</x:v>
      </x:c>
      <x:c r="C6" s="1945" t="str">
        <x:v>Workbook calculation from Statistics Canada CGFS rows</x:v>
      </x:c>
      <x:c r="D6" s="1945" t="str">
        <x:v>https://www150.statcan.gc.ca/t1/tbl1/en/tv.action?pid=1010001601</x:v>
      </x:c>
      <x:c r="E6" s="1945" t="str">
        <x:v>CGFS_Rent_Components C5:C18</x:v>
      </x:c>
      <x:c r="F6" s="1945" t="str">
        <x:v>The standardized 2024 CGFS rent total is $30.074B.</x:v>
      </x:c>
      <x:c r="G6" s="1945" t="str">
        <x:v>Use a calculator or Excel to add CGFS_Rent_Components C5:C18.</x:v>
      </x:c>
      <x:c r="H6" s="1945" t="str">
        <x:v>The sum equals 30.074.</x:v>
      </x:c>
      <x:c r="I6" s="1945" t="str">
        <x:v>This is a calculated government-finance total, not economic rent.</x:v>
      </x:c>
      <x:c r="J6" s="1945" t="str">
        <x:v>PASS when the sum reproduces exactly.</x:v>
      </x:c>
      <x:c r="K6" s="1945" t="str">
        <x:v>NOT REVIEWED</x:v>
      </x:c>
      <x:c r="L6" s="1945" t="str"/>
      <x:c r="M6" s="1945" t="str">
        <x:v>Escalate only if a source row differs from the workbook.</x:v>
      </x:c>
    </x:row>
    <x:row r="7">
      <x:c r="A7" s="1945" t="n">
        <x:v>3</x:v>
      </x:c>
      <x:c r="B7" s="1945" t="str">
        <x:v>LIN-004</x:v>
      </x:c>
      <x:c r="C7" s="1945" t="str">
        <x:v>Newfoundland and Labrador Public Accounts</x:v>
      </x:c>
      <x:c r="D7" s="1945" t="str">
        <x:v>https://www.gov.nl.ca/exec/tbs/files/Cash-Statements-2025-with-signed-letter-Final.pdf</x:v>
      </x:c>
      <x:c r="E7" s="1945" t="str">
        <x:v>offshore; statutory oil; water power; forestry; mining leases; quarry royalties; mining tax</x:v>
      </x:c>
      <x:c r="F7" s="1945" t="str">
        <x:v>The workbook includes $1.20904B of resource rentals/royalties and $0.097532B of resource-specific taxes.</x:v>
      </x:c>
      <x:c r="G7" s="1945" t="str">
        <x:v>Use the PDF search function for the listed terms and record the page numbers. Add the disclosed lines.</x:v>
      </x:c>
      <x:c r="H7" s="1945" t="str">
        <x:v>The source lines reproduce the workbook components or reveal a correction.</x:v>
      </x:c>
      <x:c r="I7" s="1945" t="str">
        <x:v>The fiscal year is 2024-25, not calendar 2024; the row is explicitly partial.</x:v>
      </x:c>
      <x:c r="J7" s="1945" t="str">
        <x:v>PASS WITH NOTE if values reproduce and exclusions remain visible.</x:v>
      </x:c>
      <x:c r="K7" s="1945" t="str">
        <x:v>NOT REVIEWED</x:v>
      </x:c>
      <x:c r="L7" s="1945" t="str"/>
      <x:c r="M7" s="1945" t="str">
        <x:v>Ask a public-sector accountant if a line may duplicate another category.</x:v>
      </x:c>
    </x:row>
    <x:row r="8">
      <x:c r="A8" s="1945" t="n">
        <x:v>4</x:v>
      </x:c>
      <x:c r="B8" s="1945" t="str">
        <x:v>LIN-008</x:v>
      </x:c>
      <x:c r="C8" s="1945" t="str">
        <x:v>Saskatchewan Public Accounts 2024-25</x:v>
      </x:c>
      <x:c r="D8" s="1945" t="str">
        <x:v>https://www.saskatchewan.ca/-/media/news-release-backgrounders/2025/jun/2024-25-public-accounts-volume-1-4751.pdf</x:v>
      </x:c>
      <x:c r="E8" s="1945" t="str">
        <x:v>oil and natural gas; potash; other; resource surcharge</x:v>
      </x:c>
      <x:c r="F8" s="1945" t="str">
        <x:v>The row totals $2.573657B from four disclosed components.</x:v>
      </x:c>
      <x:c r="G8" s="1945" t="str">
        <x:v>Find the four lines, record their page/table, and add them.</x:v>
      </x:c>
      <x:c r="H8" s="1945" t="str">
        <x:v>$1.151637B + $0.604095B + $0.288422B + $0.529503B = $2.573657B.</x:v>
      </x:c>
      <x:c r="I8" s="1945" t="str">
        <x:v>Fiscal-year public revenue is not commodity economic rent.</x:v>
      </x:c>
      <x:c r="J8" s="1945" t="str">
        <x:v>PASS when all four values and the sum match.</x:v>
      </x:c>
      <x:c r="K8" s="1945" t="str">
        <x:v>NOT REVIEWED</x:v>
      </x:c>
      <x:c r="L8" s="1945" t="str"/>
      <x:c r="M8" s="1945" t="str">
        <x:v>Escalate if the surcharge should not be combined with royalties for a specific analysis.</x:v>
      </x:c>
    </x:row>
    <x:row r="9">
      <x:c r="A9" s="1945" t="n">
        <x:v>5</x:v>
      </x:c>
      <x:c r="B9" s="1945" t="str">
        <x:v>LIN-009</x:v>
      </x:c>
      <x:c r="C9" s="1945" t="str">
        <x:v>Government of Alberta final revenue results</x:v>
      </x:c>
      <x:c r="D9" s="1945" t="str">
        <x:v>https://www.alberta.ca/revenue</x:v>
      </x:c>
      <x:c r="E9" s="1945" t="str">
        <x:v>non-renewable resource revenue; 2024-25 actual</x:v>
      </x:c>
      <x:c r="F9" s="1945" t="str">
        <x:v>Alberta reports $21.986B of non-renewable resource revenue.</x:v>
      </x:c>
      <x:c r="G9" s="1945" t="str">
        <x:v>Find the 2024-25 actual total and confirm the workbook did not split or reclassify it.</x:v>
      </x:c>
      <x:c r="H9" s="1945" t="str">
        <x:v>The official total is $21.986B.</x:v>
      </x:c>
      <x:c r="I9" s="1945" t="str">
        <x:v>This is provincial fiscal revenue and broader than oil-sands project royalties.</x:v>
      </x:c>
      <x:c r="J9" s="1945" t="str">
        <x:v>PASS WITH NOTE when the total and boundary match.</x:v>
      </x:c>
      <x:c r="K9" s="1945" t="str">
        <x:v>NOT REVIEWED</x:v>
      </x:c>
      <x:c r="L9" s="1945" t="str"/>
      <x:c r="M9" s="1945" t="str">
        <x:v>Ask a public-finance specialist about accrual-versus-cash treatment.</x:v>
      </x:c>
    </x:row>
    <x:row r="10">
      <x:c r="A10" s="1945" t="n">
        <x:v>6</x:v>
      </x:c>
      <x:c r="B10" s="1945" t="str">
        <x:v>LIN-012</x:v>
      </x:c>
      <x:c r="C10" s="1945" t="str">
        <x:v>Workbook lower-bound calculation</x:v>
      </x:c>
      <x:c r="D10" s="1945" t="str"/>
      <x:c r="E10" s="1945" t="str">
        <x:v>Royalty_Capture G5:G19 and include flags K5:K19</x:v>
      </x:c>
      <x:c r="F10" s="1945" t="str">
        <x:v>The observed public resource-revenue lower bound is $29.127059697B.</x:v>
      </x:c>
      <x:c r="G10" s="1945" t="str">
        <x:v>Add only rows marked Yes in column K. Confirm missing governments remain blank.</x:v>
      </x:c>
      <x:c r="H10" s="1945" t="str">
        <x:v>The included rows sum to $29.127059697B.</x:v>
      </x:c>
      <x:c r="I10" s="1945" t="str">
        <x:v>Mixed calendar and fiscal periods mean this is only an incomplete lower bound.</x:v>
      </x:c>
      <x:c r="J10" s="1945" t="str">
        <x:v>PASS WITH NOTE if the arithmetic and warning both match.</x:v>
      </x:c>
      <x:c r="K10" s="1945" t="str">
        <x:v>NOT REVIEWED</x:v>
      </x:c>
      <x:c r="L10" s="1945" t="str"/>
      <x:c r="M10" s="1945" t="str">
        <x:v>Ask a public-finance specialist before using it as a national annual total.</x:v>
      </x:c>
    </x:row>
    <x:row r="11">
      <x:c r="A11" s="1945" t="n">
        <x:v>7</x:v>
      </x:c>
      <x:c r="B11" s="1945" t="str">
        <x:v>LIN-013</x:v>
      </x:c>
      <x:c r="C11" s="1945" t="str">
        <x:v>Statistics Canada table 10-10-0172-01</x:v>
      </x:c>
      <x:c r="D11" s="1945" t="str">
        <x:v>https://www150.statcan.gc.ca/t1/tbl1/en/tv.action?pid=1010017201</x:v>
      </x:c>
      <x:c r="E11" s="1945" t="str">
        <x:v>Canada; 2024; taxes on property</x:v>
      </x:c>
      <x:c r="F11" s="1945" t="str">
        <x:v>Consolidated Canadian taxes on property were $103.254B in 2024.</x:v>
      </x:c>
      <x:c r="G11" s="1945" t="str">
        <x:v>Filter the table to Canada, 2024 and the taxes-on-property measure. Check the unit.</x:v>
      </x:c>
      <x:c r="H11" s="1945" t="str">
        <x:v>The value converts to $103.254B.</x:v>
      </x:c>
      <x:c r="I11" s="1945" t="str">
        <x:v>This is property-tax revenue, not pure land rent.</x:v>
      </x:c>
      <x:c r="J11" s="1945" t="str">
        <x:v>PASS WITH NOTE when value, year and unit match.</x:v>
      </x:c>
      <x:c r="K11" s="1945" t="str">
        <x:v>NOT REVIEWED</x:v>
      </x:c>
      <x:c r="L11" s="1945" t="str"/>
      <x:c r="M11" s="1945" t="str">
        <x:v>Escalate only if the table measure or consolidation boundary is unclear.</x:v>
      </x:c>
    </x:row>
    <x:row r="12">
      <x:c r="A12" s="1945" t="n">
        <x:v>8</x:v>
      </x:c>
      <x:c r="B12" s="1945" t="str">
        <x:v>LIN-014</x:v>
      </x:c>
      <x:c r="C12" s="1945" t="str">
        <x:v>Alberta Energy Regulator liability management</x:v>
      </x:c>
      <x:c r="D12" s="1945" t="str">
        <x:v>https://www.aer.ca/understanding-resource-development/how-we-regulate/oil-and-gas-liability-management</x:v>
      </x:c>
      <x:c r="E12" s="1945" t="str">
        <x:v>36.6; active and inactive; closure liability</x:v>
      </x:c>
      <x:c r="F12" s="1945" t="str">
        <x:v>Estimated Alberta oil-and-gas closure liability was $36.6B at December 31, 2024.</x:v>
      </x:c>
      <x:c r="G12" s="1945" t="str">
        <x:v>Find the $36.6B statement and confirm the date and scope.</x:v>
      </x:c>
      <x:c r="H12" s="1945" t="str">
        <x:v>The source states approximately $36.6B for active and inactive oil-and-gas liability.</x:v>
      </x:c>
      <x:c r="I12" s="1945" t="str">
        <x:v>This is an estimated liability stock, not cash security and not an annual flow.</x:v>
      </x:c>
      <x:c r="J12" s="1945" t="str">
        <x:v>PASS WITH NOTE if the amount, date and warning match.</x:v>
      </x:c>
      <x:c r="K12" s="1945" t="str">
        <x:v>NOT REVIEWED</x:v>
      </x:c>
      <x:c r="L12" s="1945" t="str"/>
      <x:c r="M12" s="1945" t="str">
        <x:v>Ask an environmental-liability accountant about valuation methodology.</x:v>
      </x:c>
    </x:row>
    <x:row r="13">
      <x:c r="A13" s="1945" t="n">
        <x:v>9</x:v>
      </x:c>
      <x:c r="B13" s="1945" t="str">
        <x:v>LIN-017</x:v>
      </x:c>
      <x:c r="C13" s="1945" t="str">
        <x:v>Statistics Canada table 36-10-0624-01</x:v>
      </x:c>
      <x:c r="D13" s="1945" t="str">
        <x:v>https://www150.statcan.gc.ca/t1/tbl1/en/tv.action?pid=3610062401</x:v>
      </x:c>
      <x:c r="E13" s="1945" t="str">
        <x:v>2024; metallic minerals; output</x:v>
      </x:c>
      <x:c r="F13" s="1945" t="str">
        <x:v>The metallic-minerals output control is $47.618B.</x:v>
      </x:c>
      <x:c r="G13" s="1945" t="str">
        <x:v>Filter to the metallic-minerals output measure for 2024 and check the unit/scalar.</x:v>
      </x:c>
      <x:c r="H13" s="1945" t="str">
        <x:v>The official value converts to $47.618B.</x:v>
      </x:c>
      <x:c r="I13" s="1945" t="str">
        <x:v>This is an aggregated output control, not metallic-mineral economic rent.</x:v>
      </x:c>
      <x:c r="J13" s="1945" t="str">
        <x:v>PASS WITH NOTE when value and boundary match.</x:v>
      </x:c>
      <x:c r="K13" s="1945" t="str">
        <x:v>NOT REVIEWED</x:v>
      </x:c>
      <x:c r="L13" s="1945" t="str"/>
      <x:c r="M13" s="1945" t="str">
        <x:v>Ask a national-accounts specialist if commodity/product treatment is unclear.</x:v>
      </x:c>
    </x:row>
    <x:row r="14">
      <x:c r="A14" s="1945" t="n">
        <x:v>10</x:v>
      </x:c>
      <x:c r="B14" s="1945" t="str">
        <x:v>LIN-020</x:v>
      </x:c>
      <x:c r="C14" s="1945" t="str">
        <x:v>Statistics Canada table 36-10-0489-04</x:v>
      </x:c>
      <x:c r="D14" s="1945" t="str">
        <x:v>https://www150.statcan.gc.ca/t1/tbl1/en/tv.action?pid=3610048904</x:v>
      </x:c>
      <x:c r="E14" s="1945" t="str">
        <x:v>2024; potash mining; oil sands; compensation; thousands of dollars</x:v>
      </x:c>
      <x:c r="F14" s="1945" t="str">
        <x:v>Ten labour benchmarks were imported after correcting the unit conversion.</x:v>
      </x:c>
      <x:c r="G14" s="1945" t="str">
        <x:v>Spot-check the potash and oil-sands rows. Confirm the source unit is thousands of dollars and the workbook divides correctly to $B.</x:v>
      </x:c>
      <x:c r="H14" s="1945" t="str">
        <x:v>Both sample rows match after conversion; the register count is ten.</x:v>
      </x:c>
      <x:c r="I14" s="1945" t="str">
        <x:v>These are industry labour controls, not commodity allocations.</x:v>
      </x:c>
      <x:c r="J14" s="1945" t="str">
        <x:v>PASS WITH NOTE if both rows and unit scaling match.</x:v>
      </x:c>
      <x:c r="K14" s="1945" t="str">
        <x:v>NOT REVIEWED</x:v>
      </x:c>
      <x:c r="L14" s="1945" t="str"/>
      <x:c r="M14" s="1945" t="str">
        <x:v>Ask a national-accounts specialist about industry/commodity compatibility.</x:v>
      </x:c>
    </x:row>
    <x:row r="15">
      <x:c r="A15" s="1945" t="n">
        <x:v>11</x:v>
      </x:c>
      <x:c r="B15" s="1945" t="str">
        <x:v>LIN-021</x:v>
      </x:c>
      <x:c r="C15" s="1945" t="str">
        <x:v>Statistics Canada table 36-10-0001-01</x:v>
      </x:c>
      <x:c r="D15" s="1945" t="str">
        <x:v>https://www150.statcan.gc.ca/t1/tbl1/en/tv.action?pid=3610000101</x:v>
      </x:c>
      <x:c r="E15" s="1945" t="str">
        <x:v>oil sands extraction; output; employee compensation; taxes; GOS</x:v>
      </x:c>
      <x:c r="F15" s="1945" t="str">
        <x:v>The oil-sands industry production account reconstructs output exactly.</x:v>
      </x:c>
      <x:c r="G15" s="1945" t="str">
        <x:v>Check the cited source vectors/rows and independently add inputs, labour, taxes and GOS.</x:v>
      </x:c>
      <x:c r="H15" s="1945" t="str">
        <x:v>The components reproduce $134.491196B and the identity difference is zero.</x:v>
      </x:c>
      <x:c r="I15" s="1945" t="str">
        <x:v>Industry reconciliation does not prove crude-bitumen economic rent.</x:v>
      </x:c>
      <x:c r="J15" s="1945" t="str">
        <x:v>SPECIALIST NEEDED for boundary; PASS for arithmetic if it reproduces.</x:v>
      </x:c>
      <x:c r="K15" s="1945" t="str">
        <x:v>NOT REVIEWED</x:v>
      </x:c>
      <x:c r="L15" s="1945" t="str"/>
      <x:c r="M15" s="1945" t="str">
        <x:v>Ask a national-accounts specialist whether the industry boundary includes upgrading consistently.</x:v>
      </x:c>
    </x:row>
    <x:row r="16">
      <x:c r="A16" s="1945" t="n">
        <x:v>12</x:v>
      </x:c>
      <x:c r="B16" s="1945" t="str">
        <x:v>LIN-022</x:v>
      </x:c>
      <x:c r="C16" s="1945" t="str">
        <x:v>Statistics Canada table 36-10-0001-01</x:v>
      </x:c>
      <x:c r="D16" s="1945" t="str">
        <x:v>https://www150.statcan.gc.ca/t1/tbl1/en/tv.action?pid=3610000101</x:v>
      </x:c>
      <x:c r="E16" s="1945" t="str">
        <x:v>potash mining; output; compensation; taxes; GMI; GOS</x:v>
      </x:c>
      <x:c r="F16" s="1945" t="str">
        <x:v>The potash industry production account reconstructs output exactly.</x:v>
      </x:c>
      <x:c r="G16" s="1945" t="str">
        <x:v>Check the cited rows and independently add intermediate inputs, labour, taxes, GMI and GOS.</x:v>
      </x:c>
      <x:c r="H16" s="1945" t="str">
        <x:v>The components reproduce $8.492848B and the identity difference is zero.</x:v>
      </x:c>
      <x:c r="I16" s="1945" t="str">
        <x:v>The labour benchmark difference is under review; capital and economic rent remain locked.</x:v>
      </x:c>
      <x:c r="J16" s="1945" t="str">
        <x:v>SPECIALIST NEEDED for labour/boundary; PASS for arithmetic if it reproduces.</x:v>
      </x:c>
      <x:c r="K16" s="1945" t="str">
        <x:v>NOT REVIEWED</x:v>
      </x:c>
      <x:c r="L16" s="1945" t="str"/>
      <x:c r="M16" s="1945" t="str">
        <x:v>Ask a national-accounts specialist why the compensation controls differ.</x:v>
      </x:c>
    </x:row>
    <x:row r="17">
      <x:c r="A17" s="1945" t="n">
        <x:v>13</x:v>
      </x:c>
      <x:c r="B17" s="1945" t="str">
        <x:v>LIN-023</x:v>
      </x:c>
      <x:c r="C17" s="1945" t="str">
        <x:v>Government of Alberta oil-sands project data</x:v>
      </x:c>
      <x:c r="D17" s="1945" t="str">
        <x:v>https://www.alberta.ca/royalty-oil-sands-project-data.aspx</x:v>
      </x:c>
      <x:c r="E17" s="1945" t="str">
        <x:v>three sample projects; royalty payable; royalty type; rate; unrecovered balance</x:v>
      </x:c>
      <x:c r="F17" s="1945" t="str">
        <x:v>The workbook normalized 110 project rows and uses a $1,000 arithmetic tolerance.</x:v>
      </x:c>
      <x:c r="G17" s="1945" t="str">
        <x:v>Choose three projects—one GROSS and two NET. Compare every copied source field and reproduce the royalty check.</x:v>
      </x:c>
      <x:c r="H17" s="1945" t="str">
        <x:v>The three projects match; any difference is explained by display rate/adjustment or is within the disclosed tolerance.</x:v>
      </x:c>
      <x:c r="I17" s="1945" t="str">
        <x:v>These are royalty-calculation accounts, not ordinary financial statements or economic rent.</x:v>
      </x:c>
      <x:c r="J17" s="1945" t="str">
        <x:v>PASS WITH NOTE for copied fields; SPECIALIST NEEDED for tolerance approval.</x:v>
      </x:c>
      <x:c r="K17" s="1945" t="str">
        <x:v>NOT REVIEWED</x:v>
      </x:c>
      <x:c r="L17" s="1945" t="str"/>
      <x:c r="M17" s="1945" t="str">
        <x:v>Ask a royalty accountant whether the $1,000 tolerance is appropriate.</x:v>
      </x:c>
    </x:row>
    <x:row r="18">
      <x:c r="A18" s="1946" t="n">
        <x:v>14</x:v>
      </x:c>
      <x:c r="B18" s="1946" t="str">
        <x:v>LIN-024</x:v>
      </x:c>
      <x:c r="C18" s="1946" t="str">
        <x:v>Statistics Canada table 38-10-0006-01</x:v>
      </x:c>
      <x:c r="D18" s="1946" t="str">
        <x:v>https://www150.statcan.gc.ca/t1/tbl1/en/tv.action?pid=3810000601</x:v>
      </x:c>
      <x:c r="E18" s="1946" t="str">
        <x:v>selected natural-resource assets; 2023 or 2024; asset value</x:v>
      </x:c>
      <x:c r="F18" s="1946" t="str">
        <x:v>Resource_Rent contains official natural-resource asset values but applies assumed yields separately.</x:v>
      </x:c>
      <x:c r="G18" s="1946" t="str">
        <x:v>Check two selected asset values against the table and confirm the workbook labels the annual yields as assumptions.</x:v>
      </x:c>
      <x:c r="H18" s="1946" t="str">
        <x:v>The asset stock values match and no modelled yield is described as observed rent.</x:v>
      </x:c>
      <x:c r="I18" s="1946" t="str">
        <x:v>Asset wealth is a stock/NPV concept, not one year’s economic rent.</x:v>
      </x:c>
      <x:c r="J18" s="1946" t="str">
        <x:v>PASS WITH NOTE if values and scenario separation match.</x:v>
      </x:c>
      <x:c r="K18" s="1946" t="str">
        <x:v>NOT REVIEWED</x:v>
      </x:c>
      <x:c r="L18" s="1946" t="str"/>
      <x:c r="M18" s="1946" t="str">
        <x:v>Ask a resource economist about using asset wealth in policy scenarios.</x:v>
      </x:c>
    </x:row>
  </x:sheetData>
  <x:mergeCells>
    <x:mergeCell ref="A1:M1"/>
    <x:mergeCell ref="A2:M2"/>
  </x:mergeCells>
  <x:conditionalFormatting sqref="K5:K18">
    <x:cfRule type="expression" dxfId="46" priority="1">
      <x:formula>K5="PASS"</x:formula>
    </x:cfRule>
    <x:cfRule type="expression" dxfId="47" priority="2">
      <x:formula>K5="FAIL"</x:formula>
    </x:cfRule>
    <x:cfRule type="expression" dxfId="48" priority="3">
      <x:formula>K5="SPECIALIST NEEDED"</x:formula>
    </x:cfRule>
  </x:conditionalFormatting>
  <x:dataValidations count="1">
    <x:dataValidation type="list" sqref="K5:K18">
      <x:formula1>"NOT REVIEWED,PASS,PASS WITH NOTE,FAIL,SPECIALIST NEEDED,NOT APPLICABLE"</x:formula1>
    </x:dataValidation>
  </x:dataValidations>
  <x:pageMargins left="0.7" right="0.7" top="0.75" bottom="0.75" header="0.3" footer="0.3"/>
  <x:tableParts count="1">
    <x:tablePart xmlns:r="http://schemas.openxmlformats.org/officeDocument/2006/relationships" r:id="Ra4d38f7ef0ab434c"/>
  </x:tableParts>
</x:worksheet>
</file>